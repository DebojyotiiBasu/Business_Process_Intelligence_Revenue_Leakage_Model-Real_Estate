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bojyoti (DJ)\Downloads\"/>
    </mc:Choice>
  </mc:AlternateContent>
  <xr:revisionPtr revIDLastSave="0" documentId="13_ncr:1_{4D057E70-C571-4FEA-A2CC-3F6B86DAADD4}" xr6:coauthVersionLast="47" xr6:coauthVersionMax="47" xr10:uidLastSave="{00000000-0000-0000-0000-000000000000}"/>
  <bookViews>
    <workbookView xWindow="28680" yWindow="-120" windowWidth="29040" windowHeight="16440" xr2:uid="{00000000-000D-0000-FFFF-FFFF00000000}"/>
  </bookViews>
  <sheets>
    <sheet name="Executive Summary" sheetId="8" r:id="rId1"/>
    <sheet name="KPI Sheet" sheetId="4" r:id="rId2"/>
    <sheet name="Pivot Sheet" sheetId="5" r:id="rId3"/>
    <sheet name="Lease_Tracking" sheetId="1" r:id="rId4"/>
    <sheet name="Rent_Collections" sheetId="2" r:id="rId5"/>
    <sheet name="Maintenance_Log" sheetId="3" r:id="rId6"/>
  </sheets>
  <definedNames>
    <definedName name="_xlnm._FilterDatabase" localSheetId="4" hidden="1">Rent_Collections!$A$1:$G$1</definedName>
  </definedNames>
  <calcPr calcId="191029"/>
  <pivotCaches>
    <pivotCache cacheId="0" r:id="rId7"/>
    <pivotCache cacheId="1" r:id="rId8"/>
    <pivotCache cacheId="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8" i="8" l="1"/>
  <c r="Q13" i="8"/>
  <c r="Q12" i="8"/>
  <c r="Q11" i="8"/>
  <c r="Q22" i="8" s="1"/>
  <c r="Q10" i="8"/>
  <c r="Q9" i="8"/>
  <c r="Q26" i="8"/>
  <c r="Q25" i="8"/>
  <c r="Q24" i="8" l="1"/>
  <c r="B26" i="4" l="1"/>
  <c r="B25" i="4"/>
  <c r="B168" i="5"/>
  <c r="B27" i="5"/>
  <c r="B24" i="4"/>
  <c r="B22" i="4"/>
  <c r="B21" i="4"/>
  <c r="B20" i="4"/>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J12" i="1"/>
  <c r="J24" i="1"/>
  <c r="J36" i="1"/>
  <c r="J48" i="1"/>
  <c r="J60" i="1"/>
  <c r="J72" i="1"/>
  <c r="J84" i="1"/>
  <c r="J96" i="1"/>
  <c r="J108" i="1"/>
  <c r="J120" i="1"/>
  <c r="J132" i="1"/>
  <c r="J144" i="1"/>
  <c r="J156" i="1"/>
  <c r="J168" i="1"/>
  <c r="J180" i="1"/>
  <c r="J192" i="1"/>
  <c r="J204" i="1"/>
  <c r="J216" i="1"/>
  <c r="J228" i="1"/>
  <c r="J240" i="1"/>
  <c r="J252" i="1"/>
  <c r="J264" i="1"/>
  <c r="J276" i="1"/>
  <c r="J288" i="1"/>
  <c r="J300" i="1"/>
  <c r="I6" i="1"/>
  <c r="J6" i="1" s="1"/>
  <c r="I7" i="1"/>
  <c r="J7" i="1" s="1"/>
  <c r="I8" i="1"/>
  <c r="J8" i="1" s="1"/>
  <c r="I9" i="1"/>
  <c r="J9" i="1" s="1"/>
  <c r="I10" i="1"/>
  <c r="J10" i="1" s="1"/>
  <c r="I11" i="1"/>
  <c r="J11" i="1" s="1"/>
  <c r="I12" i="1"/>
  <c r="I13" i="1"/>
  <c r="J13" i="1" s="1"/>
  <c r="I14" i="1"/>
  <c r="J14" i="1" s="1"/>
  <c r="I15" i="1"/>
  <c r="J15" i="1" s="1"/>
  <c r="I16" i="1"/>
  <c r="J16" i="1" s="1"/>
  <c r="I17" i="1"/>
  <c r="J17" i="1" s="1"/>
  <c r="I18" i="1"/>
  <c r="J18" i="1" s="1"/>
  <c r="I19" i="1"/>
  <c r="J19" i="1" s="1"/>
  <c r="I20" i="1"/>
  <c r="J20" i="1" s="1"/>
  <c r="I21" i="1"/>
  <c r="J21" i="1" s="1"/>
  <c r="I22" i="1"/>
  <c r="J22" i="1" s="1"/>
  <c r="I23" i="1"/>
  <c r="J23" i="1" s="1"/>
  <c r="I24" i="1"/>
  <c r="I25" i="1"/>
  <c r="J25" i="1" s="1"/>
  <c r="I26" i="1"/>
  <c r="J26" i="1" s="1"/>
  <c r="I27" i="1"/>
  <c r="J27" i="1" s="1"/>
  <c r="I28" i="1"/>
  <c r="J28" i="1" s="1"/>
  <c r="I29" i="1"/>
  <c r="J29" i="1" s="1"/>
  <c r="I30" i="1"/>
  <c r="J30" i="1" s="1"/>
  <c r="I31" i="1"/>
  <c r="J31" i="1" s="1"/>
  <c r="I32" i="1"/>
  <c r="J32" i="1" s="1"/>
  <c r="I33" i="1"/>
  <c r="J33" i="1" s="1"/>
  <c r="I34" i="1"/>
  <c r="J34" i="1" s="1"/>
  <c r="I35" i="1"/>
  <c r="J35" i="1" s="1"/>
  <c r="I36" i="1"/>
  <c r="I37" i="1"/>
  <c r="J37" i="1" s="1"/>
  <c r="I38" i="1"/>
  <c r="J38" i="1" s="1"/>
  <c r="I39" i="1"/>
  <c r="J39" i="1" s="1"/>
  <c r="I40" i="1"/>
  <c r="J40" i="1" s="1"/>
  <c r="I41" i="1"/>
  <c r="J41" i="1" s="1"/>
  <c r="I42" i="1"/>
  <c r="J42" i="1" s="1"/>
  <c r="I43" i="1"/>
  <c r="J43" i="1" s="1"/>
  <c r="I44" i="1"/>
  <c r="J44" i="1" s="1"/>
  <c r="I45" i="1"/>
  <c r="J45" i="1" s="1"/>
  <c r="I46" i="1"/>
  <c r="J46" i="1" s="1"/>
  <c r="I47" i="1"/>
  <c r="J47" i="1" s="1"/>
  <c r="I48" i="1"/>
  <c r="I49" i="1"/>
  <c r="J49" i="1" s="1"/>
  <c r="I50" i="1"/>
  <c r="J50" i="1" s="1"/>
  <c r="I51" i="1"/>
  <c r="J51" i="1" s="1"/>
  <c r="I52" i="1"/>
  <c r="J52" i="1" s="1"/>
  <c r="I53" i="1"/>
  <c r="J53" i="1" s="1"/>
  <c r="I54" i="1"/>
  <c r="J54" i="1" s="1"/>
  <c r="I55" i="1"/>
  <c r="J55" i="1" s="1"/>
  <c r="I56" i="1"/>
  <c r="J56" i="1" s="1"/>
  <c r="I57" i="1"/>
  <c r="J57" i="1" s="1"/>
  <c r="I58" i="1"/>
  <c r="J58" i="1" s="1"/>
  <c r="I59" i="1"/>
  <c r="J59" i="1" s="1"/>
  <c r="I60" i="1"/>
  <c r="I61" i="1"/>
  <c r="J61" i="1" s="1"/>
  <c r="I62" i="1"/>
  <c r="J62" i="1" s="1"/>
  <c r="I63" i="1"/>
  <c r="J63" i="1" s="1"/>
  <c r="I64" i="1"/>
  <c r="J64" i="1" s="1"/>
  <c r="I65" i="1"/>
  <c r="J65" i="1" s="1"/>
  <c r="I66" i="1"/>
  <c r="J66" i="1" s="1"/>
  <c r="I67" i="1"/>
  <c r="J67" i="1" s="1"/>
  <c r="I68" i="1"/>
  <c r="J68" i="1" s="1"/>
  <c r="I69" i="1"/>
  <c r="J69" i="1" s="1"/>
  <c r="I70" i="1"/>
  <c r="J70" i="1" s="1"/>
  <c r="I71" i="1"/>
  <c r="J71" i="1" s="1"/>
  <c r="I72" i="1"/>
  <c r="I73" i="1"/>
  <c r="J73" i="1" s="1"/>
  <c r="I74" i="1"/>
  <c r="J74" i="1" s="1"/>
  <c r="I75" i="1"/>
  <c r="J75" i="1" s="1"/>
  <c r="I76" i="1"/>
  <c r="J76" i="1" s="1"/>
  <c r="I77" i="1"/>
  <c r="J77" i="1" s="1"/>
  <c r="I78" i="1"/>
  <c r="J78" i="1" s="1"/>
  <c r="I79" i="1"/>
  <c r="J79" i="1" s="1"/>
  <c r="I80" i="1"/>
  <c r="J80" i="1" s="1"/>
  <c r="I81" i="1"/>
  <c r="J81" i="1" s="1"/>
  <c r="I82" i="1"/>
  <c r="J82" i="1" s="1"/>
  <c r="I83" i="1"/>
  <c r="J83" i="1" s="1"/>
  <c r="I84" i="1"/>
  <c r="I85" i="1"/>
  <c r="J85" i="1" s="1"/>
  <c r="I86" i="1"/>
  <c r="J86" i="1" s="1"/>
  <c r="I87" i="1"/>
  <c r="J87" i="1" s="1"/>
  <c r="I88" i="1"/>
  <c r="J88" i="1" s="1"/>
  <c r="I89" i="1"/>
  <c r="J89" i="1" s="1"/>
  <c r="I90" i="1"/>
  <c r="J90" i="1" s="1"/>
  <c r="I91" i="1"/>
  <c r="J91" i="1" s="1"/>
  <c r="I92" i="1"/>
  <c r="J92" i="1" s="1"/>
  <c r="I93" i="1"/>
  <c r="J93" i="1" s="1"/>
  <c r="I94" i="1"/>
  <c r="J94" i="1" s="1"/>
  <c r="I95" i="1"/>
  <c r="J95" i="1" s="1"/>
  <c r="I96" i="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I301" i="1"/>
  <c r="J301" i="1" s="1"/>
  <c r="I3" i="1"/>
  <c r="J3" i="1" s="1"/>
  <c r="I4" i="1"/>
  <c r="J4" i="1" s="1"/>
  <c r="I5" i="1"/>
  <c r="J5" i="1" s="1"/>
  <c r="I2" i="1"/>
  <c r="J2" i="1" s="1"/>
  <c r="N244" i="1"/>
  <c r="O244" i="1" s="1"/>
  <c r="N202" i="1"/>
  <c r="O202" i="1" s="1"/>
  <c r="N168" i="1"/>
  <c r="O168" i="1" s="1"/>
  <c r="N100" i="1"/>
  <c r="O100" i="1" s="1"/>
  <c r="N10" i="1"/>
  <c r="O10" i="1" s="1"/>
  <c r="N122" i="1"/>
  <c r="O122" i="1" s="1"/>
  <c r="N86" i="1"/>
  <c r="O86" i="1" s="1"/>
  <c r="N148" i="1"/>
  <c r="O148" i="1" s="1"/>
  <c r="N162" i="1"/>
  <c r="O162" i="1" s="1"/>
  <c r="N260" i="1"/>
  <c r="O260" i="1" s="1"/>
  <c r="N139" i="1"/>
  <c r="O139" i="1" s="1"/>
  <c r="N126" i="1"/>
  <c r="O126" i="1" s="1"/>
  <c r="N243" i="1"/>
  <c r="O243" i="1" s="1"/>
  <c r="N245" i="1"/>
  <c r="O245" i="1" s="1"/>
  <c r="N94" i="1"/>
  <c r="O94" i="1" s="1"/>
  <c r="N154" i="1"/>
  <c r="O154" i="1" s="1"/>
  <c r="N193" i="1"/>
  <c r="O193" i="1" s="1"/>
  <c r="N59" i="1"/>
  <c r="O59" i="1" s="1"/>
  <c r="N27" i="1"/>
  <c r="O27" i="1" s="1"/>
  <c r="N135" i="1"/>
  <c r="O135" i="1" s="1"/>
  <c r="N99" i="1"/>
  <c r="O99" i="1" s="1"/>
  <c r="N125" i="1"/>
  <c r="O125" i="1" s="1"/>
  <c r="N71" i="1"/>
  <c r="O71" i="1" s="1"/>
  <c r="N102" i="1"/>
  <c r="O102" i="1" s="1"/>
  <c r="N49" i="1"/>
  <c r="O49" i="1" s="1"/>
  <c r="N87" i="1"/>
  <c r="O87" i="1" s="1"/>
  <c r="N224" i="1"/>
  <c r="O224" i="1" s="1"/>
  <c r="N72" i="1"/>
  <c r="O72" i="1" s="1"/>
  <c r="N289" i="1"/>
  <c r="O289" i="1" s="1"/>
  <c r="N120" i="1"/>
  <c r="O120" i="1" s="1"/>
  <c r="N150" i="1"/>
  <c r="O150" i="1" s="1"/>
  <c r="N141" i="1"/>
  <c r="O141" i="1" s="1"/>
  <c r="N229" i="1"/>
  <c r="O229" i="1" s="1"/>
  <c r="N237" i="1"/>
  <c r="O237" i="1" s="1"/>
  <c r="N172" i="1"/>
  <c r="O172" i="1" s="1"/>
  <c r="N38" i="1"/>
  <c r="O38" i="1" s="1"/>
  <c r="N92" i="1"/>
  <c r="O92" i="1" s="1"/>
  <c r="N290" i="1"/>
  <c r="O290" i="1" s="1"/>
  <c r="N181" i="1"/>
  <c r="O181" i="1" s="1"/>
  <c r="N93" i="1"/>
  <c r="O93" i="1" s="1"/>
  <c r="N225" i="1"/>
  <c r="O225" i="1" s="1"/>
  <c r="N283" i="1"/>
  <c r="O283" i="1" s="1"/>
  <c r="N127" i="1"/>
  <c r="O127" i="1" s="1"/>
  <c r="N23" i="1"/>
  <c r="O23" i="1" s="1"/>
  <c r="N178" i="1"/>
  <c r="O178" i="1" s="1"/>
  <c r="N147" i="1"/>
  <c r="O147" i="1" s="1"/>
  <c r="N73" i="1"/>
  <c r="O73" i="1" s="1"/>
  <c r="N241" i="1"/>
  <c r="O241" i="1" s="1"/>
  <c r="N118" i="1"/>
  <c r="O118" i="1" s="1"/>
  <c r="N36" i="1"/>
  <c r="O36" i="1" s="1"/>
  <c r="N180" i="1"/>
  <c r="O180" i="1" s="1"/>
  <c r="N145" i="1"/>
  <c r="O145" i="1" s="1"/>
  <c r="N110" i="1"/>
  <c r="O110" i="1" s="1"/>
  <c r="N232" i="1"/>
  <c r="O232" i="1" s="1"/>
  <c r="N42" i="1"/>
  <c r="O42" i="1" s="1"/>
  <c r="N152" i="1"/>
  <c r="O152" i="1" s="1"/>
  <c r="N220" i="1"/>
  <c r="O220" i="1" s="1"/>
  <c r="N52" i="1"/>
  <c r="O52" i="1" s="1"/>
  <c r="N98" i="1"/>
  <c r="O98" i="1" s="1"/>
  <c r="N47" i="1"/>
  <c r="O47" i="1" s="1"/>
  <c r="N19" i="1"/>
  <c r="O19" i="1" s="1"/>
  <c r="N75" i="1"/>
  <c r="O75" i="1" s="1"/>
  <c r="N4" i="1"/>
  <c r="O4" i="1" s="1"/>
  <c r="N247" i="1"/>
  <c r="O247" i="1" s="1"/>
  <c r="N256" i="1"/>
  <c r="O256" i="1" s="1"/>
  <c r="N173" i="1"/>
  <c r="O173" i="1" s="1"/>
  <c r="N34" i="1"/>
  <c r="O34" i="1" s="1"/>
  <c r="N155" i="1"/>
  <c r="O155" i="1" s="1"/>
  <c r="N170" i="1"/>
  <c r="O170" i="1" s="1"/>
  <c r="N60" i="1"/>
  <c r="O60" i="1" s="1"/>
  <c r="N130" i="1"/>
  <c r="O130" i="1" s="1"/>
  <c r="N25" i="1"/>
  <c r="O25" i="1" s="1"/>
  <c r="N285" i="1"/>
  <c r="O285" i="1" s="1"/>
  <c r="N2" i="1"/>
  <c r="O2" i="1" s="1"/>
  <c r="N56" i="1"/>
  <c r="O56" i="1" s="1"/>
  <c r="N83" i="1"/>
  <c r="O83" i="1" s="1"/>
  <c r="N179" i="1"/>
  <c r="O179" i="1" s="1"/>
  <c r="N268" i="1"/>
  <c r="O268" i="1" s="1"/>
  <c r="N124" i="1"/>
  <c r="O124" i="1" s="1"/>
  <c r="N250" i="1"/>
  <c r="O250" i="1" s="1"/>
  <c r="N157" i="1"/>
  <c r="O157" i="1" s="1"/>
  <c r="N82" i="1"/>
  <c r="O82" i="1" s="1"/>
  <c r="N112" i="1"/>
  <c r="O112" i="1" s="1"/>
  <c r="N37" i="1"/>
  <c r="O37" i="1" s="1"/>
  <c r="N21" i="1"/>
  <c r="O21" i="1" s="1"/>
  <c r="N175" i="1"/>
  <c r="O175" i="1" s="1"/>
  <c r="N253" i="1"/>
  <c r="O253" i="1" s="1"/>
  <c r="N64" i="1"/>
  <c r="O64" i="1" s="1"/>
  <c r="N26" i="1"/>
  <c r="O26" i="1" s="1"/>
  <c r="N146" i="1"/>
  <c r="O146" i="1" s="1"/>
  <c r="N197" i="1"/>
  <c r="O197" i="1" s="1"/>
  <c r="N211" i="1"/>
  <c r="O211" i="1" s="1"/>
  <c r="N119" i="1"/>
  <c r="O119" i="1" s="1"/>
  <c r="N277" i="1"/>
  <c r="O277" i="1" s="1"/>
  <c r="N278" i="1"/>
  <c r="O278" i="1" s="1"/>
  <c r="N298" i="1"/>
  <c r="O298" i="1" s="1"/>
  <c r="N149" i="1"/>
  <c r="O149" i="1" s="1"/>
  <c r="N58" i="1"/>
  <c r="O58" i="1" s="1"/>
  <c r="N115" i="1"/>
  <c r="O115" i="1" s="1"/>
  <c r="N108" i="1"/>
  <c r="O108" i="1" s="1"/>
  <c r="N79" i="1"/>
  <c r="O79" i="1" s="1"/>
  <c r="N233" i="1"/>
  <c r="O233" i="1" s="1"/>
  <c r="N213" i="1"/>
  <c r="O213" i="1" s="1"/>
  <c r="N14" i="1"/>
  <c r="O14" i="1" s="1"/>
  <c r="N295" i="1"/>
  <c r="O295" i="1" s="1"/>
  <c r="N183" i="1"/>
  <c r="O183" i="1" s="1"/>
  <c r="N276" i="1"/>
  <c r="O276" i="1" s="1"/>
  <c r="N235" i="1"/>
  <c r="O235" i="1" s="1"/>
  <c r="N212" i="1"/>
  <c r="O212" i="1" s="1"/>
  <c r="N140" i="1"/>
  <c r="O140" i="1" s="1"/>
  <c r="N300" i="1"/>
  <c r="O300" i="1" s="1"/>
  <c r="N248" i="1"/>
  <c r="O248" i="1" s="1"/>
  <c r="N201" i="1"/>
  <c r="O201" i="1" s="1"/>
  <c r="N153" i="1"/>
  <c r="O153" i="1" s="1"/>
  <c r="N137" i="1"/>
  <c r="O137" i="1" s="1"/>
  <c r="N128" i="1"/>
  <c r="O128" i="1" s="1"/>
  <c r="N279" i="1"/>
  <c r="O279" i="1" s="1"/>
  <c r="N273" i="1"/>
  <c r="O273" i="1" s="1"/>
  <c r="N39" i="1"/>
  <c r="O39" i="1" s="1"/>
  <c r="N76" i="1"/>
  <c r="O76" i="1" s="1"/>
  <c r="N240" i="1"/>
  <c r="O240" i="1" s="1"/>
  <c r="N40" i="1"/>
  <c r="O40" i="1" s="1"/>
  <c r="N205" i="1"/>
  <c r="O205" i="1" s="1"/>
  <c r="N221" i="1"/>
  <c r="O221" i="1" s="1"/>
  <c r="N67" i="1"/>
  <c r="O67" i="1" s="1"/>
  <c r="N218" i="1"/>
  <c r="O218" i="1" s="1"/>
  <c r="N190" i="1"/>
  <c r="O190" i="1" s="1"/>
  <c r="N231" i="1"/>
  <c r="O231" i="1" s="1"/>
  <c r="N69" i="1"/>
  <c r="O69" i="1" s="1"/>
  <c r="N222" i="1"/>
  <c r="O222" i="1" s="1"/>
  <c r="N101" i="1"/>
  <c r="O101" i="1" s="1"/>
  <c r="N261" i="1"/>
  <c r="O261" i="1" s="1"/>
  <c r="N176" i="1"/>
  <c r="O176" i="1" s="1"/>
  <c r="N271" i="1"/>
  <c r="O271" i="1" s="1"/>
  <c r="N166" i="1"/>
  <c r="O166" i="1" s="1"/>
  <c r="N62" i="1"/>
  <c r="O62" i="1" s="1"/>
  <c r="N267" i="1"/>
  <c r="O267" i="1" s="1"/>
  <c r="N68" i="1"/>
  <c r="O68" i="1" s="1"/>
  <c r="N228" i="1"/>
  <c r="O228" i="1" s="1"/>
  <c r="N296" i="1"/>
  <c r="O296" i="1" s="1"/>
  <c r="N265" i="1"/>
  <c r="O265" i="1" s="1"/>
  <c r="N263" i="1"/>
  <c r="O263" i="1" s="1"/>
  <c r="N169" i="1"/>
  <c r="O169" i="1" s="1"/>
  <c r="N227" i="1"/>
  <c r="O227" i="1" s="1"/>
  <c r="N66" i="1"/>
  <c r="O66" i="1" s="1"/>
  <c r="N121" i="1"/>
  <c r="O121" i="1" s="1"/>
  <c r="N266" i="1"/>
  <c r="O266" i="1" s="1"/>
  <c r="N164" i="1"/>
  <c r="O164" i="1" s="1"/>
  <c r="N105" i="1"/>
  <c r="O105" i="1" s="1"/>
  <c r="N214" i="1"/>
  <c r="O214" i="1" s="1"/>
  <c r="N123" i="1"/>
  <c r="O123" i="1" s="1"/>
  <c r="N30" i="1"/>
  <c r="O30" i="1" s="1"/>
  <c r="N292" i="1"/>
  <c r="O292" i="1" s="1"/>
  <c r="N9" i="1"/>
  <c r="O9" i="1" s="1"/>
  <c r="N217" i="1"/>
  <c r="O217" i="1" s="1"/>
  <c r="N226" i="1"/>
  <c r="O226" i="1" s="1"/>
  <c r="N163" i="1"/>
  <c r="O163" i="1" s="1"/>
  <c r="N258" i="1"/>
  <c r="O258" i="1" s="1"/>
  <c r="N85" i="1"/>
  <c r="O85" i="1" s="1"/>
  <c r="N61" i="1"/>
  <c r="O61" i="1" s="1"/>
  <c r="N134" i="1"/>
  <c r="O134" i="1" s="1"/>
  <c r="N262" i="1"/>
  <c r="O262" i="1" s="1"/>
  <c r="N230" i="1"/>
  <c r="O230" i="1" s="1"/>
  <c r="N191" i="1"/>
  <c r="O191" i="1" s="1"/>
  <c r="N22" i="1"/>
  <c r="O22" i="1" s="1"/>
  <c r="N182" i="1"/>
  <c r="O182" i="1" s="1"/>
  <c r="N199" i="1"/>
  <c r="O199" i="1" s="1"/>
  <c r="N104" i="1"/>
  <c r="O104" i="1" s="1"/>
  <c r="N74" i="1"/>
  <c r="O74" i="1" s="1"/>
  <c r="N131" i="1"/>
  <c r="O131" i="1" s="1"/>
  <c r="N103" i="1"/>
  <c r="O103" i="1" s="1"/>
  <c r="N280" i="1"/>
  <c r="O280" i="1" s="1"/>
  <c r="N33" i="1"/>
  <c r="O33" i="1" s="1"/>
  <c r="N16" i="1"/>
  <c r="O16" i="1" s="1"/>
  <c r="N236" i="1"/>
  <c r="O236" i="1" s="1"/>
  <c r="N13" i="1"/>
  <c r="O13" i="1" s="1"/>
  <c r="N88" i="1"/>
  <c r="O88" i="1" s="1"/>
  <c r="N35" i="1"/>
  <c r="O35" i="1" s="1"/>
  <c r="N275" i="1"/>
  <c r="O275" i="1" s="1"/>
  <c r="N142" i="1"/>
  <c r="O142" i="1" s="1"/>
  <c r="N206" i="1"/>
  <c r="O206" i="1" s="1"/>
  <c r="N165" i="1"/>
  <c r="O165" i="1" s="1"/>
  <c r="N281" i="1"/>
  <c r="O281" i="1" s="1"/>
  <c r="N65" i="1"/>
  <c r="O65" i="1" s="1"/>
  <c r="N203" i="1"/>
  <c r="O203" i="1" s="1"/>
  <c r="N57" i="1"/>
  <c r="O57" i="1" s="1"/>
  <c r="N53" i="1"/>
  <c r="O53" i="1" s="1"/>
  <c r="N188" i="1"/>
  <c r="O188" i="1" s="1"/>
  <c r="N171" i="1"/>
  <c r="O171" i="1" s="1"/>
  <c r="N156" i="1"/>
  <c r="O156" i="1" s="1"/>
  <c r="N77" i="1"/>
  <c r="O77" i="1" s="1"/>
  <c r="N286" i="1"/>
  <c r="O286" i="1" s="1"/>
  <c r="N200" i="1"/>
  <c r="O200" i="1" s="1"/>
  <c r="N287" i="1"/>
  <c r="O287" i="1" s="1"/>
  <c r="N282" i="1"/>
  <c r="O282" i="1" s="1"/>
  <c r="N5" i="1"/>
  <c r="O5" i="1" s="1"/>
  <c r="N12" i="1"/>
  <c r="O12" i="1" s="1"/>
  <c r="N96" i="1"/>
  <c r="O96" i="1" s="1"/>
  <c r="N194" i="1"/>
  <c r="O194" i="1" s="1"/>
  <c r="N81" i="1"/>
  <c r="O81" i="1" s="1"/>
  <c r="N55" i="1"/>
  <c r="O55" i="1" s="1"/>
  <c r="N249" i="1"/>
  <c r="O249" i="1" s="1"/>
  <c r="N186" i="1"/>
  <c r="O186" i="1" s="1"/>
  <c r="N136" i="1"/>
  <c r="O136" i="1" s="1"/>
  <c r="N113" i="1"/>
  <c r="O113" i="1" s="1"/>
  <c r="N107" i="1"/>
  <c r="O107" i="1" s="1"/>
  <c r="N246" i="1"/>
  <c r="O246" i="1" s="1"/>
  <c r="N187" i="1"/>
  <c r="O187" i="1" s="1"/>
  <c r="N117" i="1"/>
  <c r="O117" i="1" s="1"/>
  <c r="N167" i="1"/>
  <c r="O167" i="1" s="1"/>
  <c r="N204" i="1"/>
  <c r="O204" i="1" s="1"/>
  <c r="N7" i="1"/>
  <c r="O7" i="1" s="1"/>
  <c r="N269" i="1"/>
  <c r="O269" i="1" s="1"/>
  <c r="N50" i="1"/>
  <c r="O50" i="1" s="1"/>
  <c r="N78" i="1"/>
  <c r="O78" i="1" s="1"/>
  <c r="N160" i="1"/>
  <c r="O160" i="1" s="1"/>
  <c r="N185" i="1"/>
  <c r="O185" i="1" s="1"/>
  <c r="N189" i="1"/>
  <c r="O189" i="1" s="1"/>
  <c r="N6" i="1"/>
  <c r="O6" i="1" s="1"/>
  <c r="N207" i="1"/>
  <c r="O207" i="1" s="1"/>
  <c r="N159" i="1"/>
  <c r="O159" i="1" s="1"/>
  <c r="N28" i="1"/>
  <c r="O28" i="1" s="1"/>
  <c r="N3" i="1"/>
  <c r="O3" i="1" s="1"/>
  <c r="N45" i="1"/>
  <c r="O45" i="1" s="1"/>
  <c r="N97" i="1"/>
  <c r="O97" i="1" s="1"/>
  <c r="N216" i="1"/>
  <c r="O216" i="1" s="1"/>
  <c r="N114" i="1"/>
  <c r="O114" i="1" s="1"/>
  <c r="N116" i="1"/>
  <c r="O116" i="1" s="1"/>
  <c r="N41" i="1"/>
  <c r="O41" i="1" s="1"/>
  <c r="N301" i="1"/>
  <c r="O301" i="1" s="1"/>
  <c r="N54" i="1"/>
  <c r="O54" i="1" s="1"/>
  <c r="N174" i="1"/>
  <c r="O174" i="1" s="1"/>
  <c r="N195" i="1"/>
  <c r="O195" i="1" s="1"/>
  <c r="N95" i="1"/>
  <c r="O95" i="1" s="1"/>
  <c r="N89" i="1"/>
  <c r="O89" i="1" s="1"/>
  <c r="N274" i="1"/>
  <c r="O274" i="1" s="1"/>
  <c r="N257" i="1"/>
  <c r="O257" i="1" s="1"/>
  <c r="N291" i="1"/>
  <c r="O291" i="1" s="1"/>
  <c r="N223" i="1"/>
  <c r="O223" i="1" s="1"/>
  <c r="N18" i="1"/>
  <c r="O18" i="1" s="1"/>
  <c r="N294" i="1"/>
  <c r="O294" i="1" s="1"/>
  <c r="N133" i="1"/>
  <c r="O133" i="1" s="1"/>
  <c r="N272" i="1"/>
  <c r="O272" i="1" s="1"/>
  <c r="N161" i="1"/>
  <c r="O161" i="1" s="1"/>
  <c r="N184" i="1"/>
  <c r="O184" i="1" s="1"/>
  <c r="N288" i="1"/>
  <c r="O288" i="1" s="1"/>
  <c r="N17" i="1"/>
  <c r="O17" i="1" s="1"/>
  <c r="N44" i="1"/>
  <c r="O44" i="1" s="1"/>
  <c r="N43" i="1"/>
  <c r="O43" i="1" s="1"/>
  <c r="N297" i="1"/>
  <c r="O297" i="1" s="1"/>
  <c r="N177" i="1"/>
  <c r="O177" i="1" s="1"/>
  <c r="N138" i="1"/>
  <c r="O138" i="1" s="1"/>
  <c r="N209" i="1"/>
  <c r="O209" i="1" s="1"/>
  <c r="N151" i="1"/>
  <c r="O151" i="1" s="1"/>
  <c r="N238" i="1"/>
  <c r="O238" i="1" s="1"/>
  <c r="N8" i="1"/>
  <c r="O8" i="1" s="1"/>
  <c r="N48" i="1"/>
  <c r="O48" i="1" s="1"/>
  <c r="N91" i="1"/>
  <c r="O91" i="1" s="1"/>
  <c r="N31" i="1"/>
  <c r="O31" i="1" s="1"/>
  <c r="N80" i="1"/>
  <c r="O80" i="1" s="1"/>
  <c r="N198" i="1"/>
  <c r="O198" i="1" s="1"/>
  <c r="N210" i="1"/>
  <c r="O210" i="1" s="1"/>
  <c r="N51" i="1"/>
  <c r="O51" i="1" s="1"/>
  <c r="N219" i="1"/>
  <c r="O219" i="1" s="1"/>
  <c r="N208" i="1"/>
  <c r="O208" i="1" s="1"/>
  <c r="N270" i="1"/>
  <c r="O270" i="1" s="1"/>
  <c r="N70" i="1"/>
  <c r="O70" i="1" s="1"/>
  <c r="N46" i="1"/>
  <c r="O46" i="1" s="1"/>
  <c r="N132" i="1"/>
  <c r="O132" i="1" s="1"/>
  <c r="N15" i="1"/>
  <c r="O15" i="1" s="1"/>
  <c r="N143" i="1"/>
  <c r="O143" i="1" s="1"/>
  <c r="N109" i="1"/>
  <c r="O109" i="1" s="1"/>
  <c r="N293" i="1"/>
  <c r="O293" i="1" s="1"/>
  <c r="N192" i="1"/>
  <c r="O192" i="1" s="1"/>
  <c r="N144" i="1"/>
  <c r="O144" i="1" s="1"/>
  <c r="N158" i="1"/>
  <c r="O158" i="1" s="1"/>
  <c r="N239" i="1"/>
  <c r="O239" i="1" s="1"/>
  <c r="N251" i="1"/>
  <c r="O251" i="1" s="1"/>
  <c r="N24" i="1"/>
  <c r="O24" i="1" s="1"/>
  <c r="N242" i="1"/>
  <c r="O242" i="1" s="1"/>
  <c r="N215" i="1"/>
  <c r="O215" i="1" s="1"/>
  <c r="N252" i="1"/>
  <c r="O252" i="1" s="1"/>
  <c r="N63" i="1"/>
  <c r="O63" i="1" s="1"/>
  <c r="N299" i="1"/>
  <c r="O299" i="1" s="1"/>
  <c r="N111" i="1"/>
  <c r="O111" i="1" s="1"/>
  <c r="N129" i="1"/>
  <c r="O129" i="1" s="1"/>
  <c r="N11" i="1"/>
  <c r="O11" i="1" s="1"/>
  <c r="N254" i="1"/>
  <c r="O254" i="1" s="1"/>
  <c r="N255" i="1"/>
  <c r="O255" i="1" s="1"/>
  <c r="N84" i="1"/>
  <c r="O84" i="1" s="1"/>
  <c r="N196" i="1"/>
  <c r="O196" i="1" s="1"/>
  <c r="N284" i="1"/>
  <c r="O284" i="1" s="1"/>
  <c r="N259" i="1"/>
  <c r="O259" i="1" s="1"/>
  <c r="N90" i="1"/>
  <c r="O90" i="1" s="1"/>
  <c r="N32" i="1"/>
  <c r="O32" i="1" s="1"/>
  <c r="N29" i="1"/>
  <c r="O29" i="1" s="1"/>
  <c r="N234" i="1"/>
  <c r="O234" i="1" s="1"/>
  <c r="N264" i="1"/>
  <c r="O264" i="1" s="1"/>
  <c r="N106" i="1"/>
  <c r="O106" i="1" s="1"/>
  <c r="N20" i="1"/>
  <c r="O20" i="1" s="1"/>
  <c r="B18" i="4"/>
  <c r="M250" i="1"/>
  <c r="M157" i="1"/>
  <c r="M147" i="1"/>
  <c r="M82" i="1"/>
  <c r="M112" i="1"/>
  <c r="M37" i="1"/>
  <c r="M21" i="1"/>
  <c r="M175" i="1"/>
  <c r="M253" i="1"/>
  <c r="M64" i="1"/>
  <c r="M26" i="1"/>
  <c r="M146" i="1"/>
  <c r="M59" i="1"/>
  <c r="M127" i="1"/>
  <c r="M197" i="1"/>
  <c r="M211" i="1"/>
  <c r="M111" i="1"/>
  <c r="M119" i="1"/>
  <c r="M277" i="1"/>
  <c r="M278" i="1"/>
  <c r="M86" i="1"/>
  <c r="M298" i="1"/>
  <c r="M149" i="1"/>
  <c r="M58" i="1"/>
  <c r="M115" i="1"/>
  <c r="M108" i="1"/>
  <c r="M11" i="1"/>
  <c r="M244" i="1"/>
  <c r="M79" i="1"/>
  <c r="M233" i="1"/>
  <c r="M284" i="1"/>
  <c r="M290" i="1"/>
  <c r="M93" i="1"/>
  <c r="M213" i="1"/>
  <c r="M126" i="1"/>
  <c r="M14" i="1"/>
  <c r="M229" i="1"/>
  <c r="M75" i="1"/>
  <c r="M295" i="1"/>
  <c r="M183" i="1"/>
  <c r="M276" i="1"/>
  <c r="M235" i="1"/>
  <c r="M212" i="1"/>
  <c r="M140" i="1"/>
  <c r="M300" i="1"/>
  <c r="M248" i="1"/>
  <c r="M201" i="1"/>
  <c r="M256" i="1"/>
  <c r="M283" i="1"/>
  <c r="M34" i="1"/>
  <c r="M148" i="1"/>
  <c r="M170" i="1"/>
  <c r="M215" i="1"/>
  <c r="M32" i="1"/>
  <c r="M153" i="1"/>
  <c r="M137" i="1"/>
  <c r="M128" i="1"/>
  <c r="M279" i="1"/>
  <c r="M273" i="1"/>
  <c r="M39" i="1"/>
  <c r="M260" i="1"/>
  <c r="M76" i="1"/>
  <c r="M240" i="1"/>
  <c r="M40" i="1"/>
  <c r="M205" i="1"/>
  <c r="M221" i="1"/>
  <c r="M67" i="1"/>
  <c r="M218" i="1"/>
  <c r="M190" i="1"/>
  <c r="M231" i="1"/>
  <c r="M124" i="1"/>
  <c r="M69" i="1"/>
  <c r="M120" i="1"/>
  <c r="M222" i="1"/>
  <c r="M101" i="1"/>
  <c r="M261" i="1"/>
  <c r="M176" i="1"/>
  <c r="M271" i="1"/>
  <c r="M166" i="1"/>
  <c r="M62" i="1"/>
  <c r="M267" i="1"/>
  <c r="M90" i="1"/>
  <c r="M193" i="1"/>
  <c r="M68" i="1"/>
  <c r="M228" i="1"/>
  <c r="M296" i="1"/>
  <c r="M265" i="1"/>
  <c r="M263" i="1"/>
  <c r="M169" i="1"/>
  <c r="M155" i="1"/>
  <c r="M227" i="1"/>
  <c r="M66" i="1"/>
  <c r="M121" i="1"/>
  <c r="M266" i="1"/>
  <c r="M164" i="1"/>
  <c r="M152" i="1"/>
  <c r="M105" i="1"/>
  <c r="M214" i="1"/>
  <c r="M123" i="1"/>
  <c r="M30" i="1"/>
  <c r="M292" i="1"/>
  <c r="M9" i="1"/>
  <c r="M217" i="1"/>
  <c r="M226" i="1"/>
  <c r="M129" i="1"/>
  <c r="M163" i="1"/>
  <c r="M258" i="1"/>
  <c r="M85" i="1"/>
  <c r="M61" i="1"/>
  <c r="M134" i="1"/>
  <c r="M262" i="1"/>
  <c r="M230" i="1"/>
  <c r="M191" i="1"/>
  <c r="M22" i="1"/>
  <c r="M182" i="1"/>
  <c r="M27" i="1"/>
  <c r="M23" i="1"/>
  <c r="M199" i="1"/>
  <c r="M60" i="1"/>
  <c r="M38" i="1"/>
  <c r="M243" i="1"/>
  <c r="M220" i="1"/>
  <c r="M94" i="1"/>
  <c r="M104" i="1"/>
  <c r="M285" i="1"/>
  <c r="M74" i="1"/>
  <c r="M98" i="1"/>
  <c r="M131" i="1"/>
  <c r="M103" i="1"/>
  <c r="M280" i="1"/>
  <c r="M33" i="1"/>
  <c r="M106" i="1"/>
  <c r="M52" i="1"/>
  <c r="M4" i="1"/>
  <c r="M16" i="1"/>
  <c r="M162" i="1"/>
  <c r="M236" i="1"/>
  <c r="M13" i="1"/>
  <c r="M88" i="1"/>
  <c r="M254" i="1"/>
  <c r="M29" i="1"/>
  <c r="M247" i="1"/>
  <c r="M35" i="1"/>
  <c r="M10" i="1"/>
  <c r="M63" i="1"/>
  <c r="M275" i="1"/>
  <c r="M142" i="1"/>
  <c r="M206" i="1"/>
  <c r="M165" i="1"/>
  <c r="M73" i="1"/>
  <c r="M125" i="1"/>
  <c r="M281" i="1"/>
  <c r="M19" i="1"/>
  <c r="M181" i="1"/>
  <c r="M36" i="1"/>
  <c r="M65" i="1"/>
  <c r="M42" i="1"/>
  <c r="M245" i="1"/>
  <c r="M224" i="1"/>
  <c r="M168" i="1"/>
  <c r="M203" i="1"/>
  <c r="M173" i="1"/>
  <c r="M57" i="1"/>
  <c r="M53" i="1"/>
  <c r="M141" i="1"/>
  <c r="M92" i="1"/>
  <c r="M188" i="1"/>
  <c r="M99" i="1"/>
  <c r="M84" i="1"/>
  <c r="M83" i="1"/>
  <c r="M171" i="1"/>
  <c r="M156" i="1"/>
  <c r="M77" i="1"/>
  <c r="M286" i="1"/>
  <c r="M200" i="1"/>
  <c r="M287" i="1"/>
  <c r="M282" i="1"/>
  <c r="M5" i="1"/>
  <c r="M12" i="1"/>
  <c r="M96" i="1"/>
  <c r="M194" i="1"/>
  <c r="M81" i="1"/>
  <c r="M255" i="1"/>
  <c r="M55" i="1"/>
  <c r="M249" i="1"/>
  <c r="M186" i="1"/>
  <c r="M136" i="1"/>
  <c r="M71" i="1"/>
  <c r="M179" i="1"/>
  <c r="M113" i="1"/>
  <c r="M107" i="1"/>
  <c r="M246" i="1"/>
  <c r="M187" i="1"/>
  <c r="M87" i="1"/>
  <c r="M117" i="1"/>
  <c r="M167" i="1"/>
  <c r="M204" i="1"/>
  <c r="M7" i="1"/>
  <c r="M269" i="1"/>
  <c r="M49" i="1"/>
  <c r="M50" i="1"/>
  <c r="M78" i="1"/>
  <c r="M160" i="1"/>
  <c r="M20" i="1"/>
  <c r="M185" i="1"/>
  <c r="M189" i="1"/>
  <c r="M234" i="1"/>
  <c r="M6" i="1"/>
  <c r="M241" i="1"/>
  <c r="M178" i="1"/>
  <c r="M207" i="1"/>
  <c r="M139" i="1"/>
  <c r="M202" i="1"/>
  <c r="M159" i="1"/>
  <c r="M110" i="1"/>
  <c r="M25" i="1"/>
  <c r="M130" i="1"/>
  <c r="M102" i="1"/>
  <c r="M225" i="1"/>
  <c r="M28" i="1"/>
  <c r="M3" i="1"/>
  <c r="M196" i="1"/>
  <c r="M299" i="1"/>
  <c r="M45" i="1"/>
  <c r="M97" i="1"/>
  <c r="M216" i="1"/>
  <c r="M114" i="1"/>
  <c r="M116" i="1"/>
  <c r="M41" i="1"/>
  <c r="M301" i="1"/>
  <c r="M54" i="1"/>
  <c r="M174" i="1"/>
  <c r="M195" i="1"/>
  <c r="M95" i="1"/>
  <c r="M89" i="1"/>
  <c r="M274" i="1"/>
  <c r="M257" i="1"/>
  <c r="M291" i="1"/>
  <c r="M223" i="1"/>
  <c r="M18" i="1"/>
  <c r="M118" i="1"/>
  <c r="M294" i="1"/>
  <c r="M133" i="1"/>
  <c r="M47" i="1"/>
  <c r="M180" i="1"/>
  <c r="M272" i="1"/>
  <c r="M2" i="1"/>
  <c r="M161" i="1"/>
  <c r="M259" i="1"/>
  <c r="M184" i="1"/>
  <c r="M288" i="1"/>
  <c r="M17" i="1"/>
  <c r="M135" i="1"/>
  <c r="M172" i="1"/>
  <c r="M44" i="1"/>
  <c r="M43" i="1"/>
  <c r="M264" i="1"/>
  <c r="M289" i="1"/>
  <c r="M297" i="1"/>
  <c r="M72" i="1"/>
  <c r="M122" i="1"/>
  <c r="M268" i="1"/>
  <c r="M177" i="1"/>
  <c r="M138" i="1"/>
  <c r="M209" i="1"/>
  <c r="M151" i="1"/>
  <c r="M238" i="1"/>
  <c r="M237" i="1"/>
  <c r="M8" i="1"/>
  <c r="M48" i="1"/>
  <c r="M91" i="1"/>
  <c r="M31" i="1"/>
  <c r="M80" i="1"/>
  <c r="M198" i="1"/>
  <c r="M210" i="1"/>
  <c r="M51" i="1"/>
  <c r="M219" i="1"/>
  <c r="M208" i="1"/>
  <c r="M270" i="1"/>
  <c r="M70" i="1"/>
  <c r="M46" i="1"/>
  <c r="M154" i="1"/>
  <c r="M132" i="1"/>
  <c r="M15" i="1"/>
  <c r="M143" i="1"/>
  <c r="M100" i="1"/>
  <c r="M109" i="1"/>
  <c r="M145" i="1"/>
  <c r="M293" i="1"/>
  <c r="M150" i="1"/>
  <c r="M192" i="1"/>
  <c r="M144" i="1"/>
  <c r="M158" i="1"/>
  <c r="M239" i="1"/>
  <c r="M232" i="1"/>
  <c r="M251" i="1"/>
  <c r="M252" i="1"/>
  <c r="M24" i="1"/>
  <c r="M242" i="1"/>
  <c r="M56" i="1"/>
  <c r="B16" i="4"/>
  <c r="B15" i="4"/>
  <c r="B14" i="4"/>
  <c r="P7" i="2"/>
  <c r="P5" i="2"/>
  <c r="P6" i="2"/>
  <c r="B13" i="4"/>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M2" i="2"/>
  <c r="M3" i="2"/>
  <c r="M9" i="2"/>
  <c r="M13" i="2"/>
  <c r="M15" i="2"/>
  <c r="M21" i="2"/>
  <c r="M25" i="2"/>
  <c r="M27" i="2"/>
  <c r="M33" i="2"/>
  <c r="M37" i="2"/>
  <c r="M39" i="2"/>
  <c r="M45" i="2"/>
  <c r="M49" i="2"/>
  <c r="M51" i="2"/>
  <c r="M57" i="2"/>
  <c r="M61" i="2"/>
  <c r="M63" i="2"/>
  <c r="M69" i="2"/>
  <c r="M73" i="2"/>
  <c r="M75" i="2"/>
  <c r="M81" i="2"/>
  <c r="M85" i="2"/>
  <c r="M87" i="2"/>
  <c r="M93" i="2"/>
  <c r="M97" i="2"/>
  <c r="M99" i="2"/>
  <c r="M105" i="2"/>
  <c r="M109" i="2"/>
  <c r="M111" i="2"/>
  <c r="M117" i="2"/>
  <c r="M121" i="2"/>
  <c r="M123" i="2"/>
  <c r="M129" i="2"/>
  <c r="M133" i="2"/>
  <c r="M135" i="2"/>
  <c r="M141" i="2"/>
  <c r="M145" i="2"/>
  <c r="M147" i="2"/>
  <c r="M153" i="2"/>
  <c r="M157" i="2"/>
  <c r="M159" i="2"/>
  <c r="M165" i="2"/>
  <c r="M169" i="2"/>
  <c r="M171" i="2"/>
  <c r="M177" i="2"/>
  <c r="M181" i="2"/>
  <c r="M183" i="2"/>
  <c r="M189" i="2"/>
  <c r="M193" i="2"/>
  <c r="M195" i="2"/>
  <c r="M201" i="2"/>
  <c r="M205" i="2"/>
  <c r="M207" i="2"/>
  <c r="M213" i="2"/>
  <c r="M217" i="2"/>
  <c r="M219" i="2"/>
  <c r="M225" i="2"/>
  <c r="M229" i="2"/>
  <c r="M231" i="2"/>
  <c r="M237" i="2"/>
  <c r="M241" i="2"/>
  <c r="M243" i="2"/>
  <c r="M249" i="2"/>
  <c r="M253" i="2"/>
  <c r="M255" i="2"/>
  <c r="M261" i="2"/>
  <c r="M265" i="2"/>
  <c r="M267" i="2"/>
  <c r="M273" i="2"/>
  <c r="M277" i="2"/>
  <c r="M279" i="2"/>
  <c r="M285" i="2"/>
  <c r="M289" i="2"/>
  <c r="M291" i="2"/>
  <c r="M297" i="2"/>
  <c r="M301" i="2"/>
  <c r="M303" i="2"/>
  <c r="M309" i="2"/>
  <c r="M313" i="2"/>
  <c r="M315" i="2"/>
  <c r="M321" i="2"/>
  <c r="M325" i="2"/>
  <c r="M327" i="2"/>
  <c r="M333" i="2"/>
  <c r="M337" i="2"/>
  <c r="M339" i="2"/>
  <c r="M345" i="2"/>
  <c r="M349" i="2"/>
  <c r="M351" i="2"/>
  <c r="M357" i="2"/>
  <c r="M361" i="2"/>
  <c r="M363" i="2"/>
  <c r="M369" i="2"/>
  <c r="M373" i="2"/>
  <c r="M375" i="2"/>
  <c r="M381" i="2"/>
  <c r="M385" i="2"/>
  <c r="M387" i="2"/>
  <c r="M393" i="2"/>
  <c r="M397" i="2"/>
  <c r="M399" i="2"/>
  <c r="M405" i="2"/>
  <c r="M409" i="2"/>
  <c r="M411" i="2"/>
  <c r="M417" i="2"/>
  <c r="M421" i="2"/>
  <c r="M423" i="2"/>
  <c r="M429" i="2"/>
  <c r="M433" i="2"/>
  <c r="M435" i="2"/>
  <c r="M441" i="2"/>
  <c r="M445" i="2"/>
  <c r="M447" i="2"/>
  <c r="M453" i="2"/>
  <c r="M457" i="2"/>
  <c r="M459" i="2"/>
  <c r="M465" i="2"/>
  <c r="M469" i="2"/>
  <c r="M471" i="2"/>
  <c r="M477" i="2"/>
  <c r="M481" i="2"/>
  <c r="M483" i="2"/>
  <c r="M489" i="2"/>
  <c r="M493" i="2"/>
  <c r="M495" i="2"/>
  <c r="M501" i="2"/>
  <c r="M505" i="2"/>
  <c r="M507" i="2"/>
  <c r="M513" i="2"/>
  <c r="M517" i="2"/>
  <c r="M519" i="2"/>
  <c r="M525" i="2"/>
  <c r="M529" i="2"/>
  <c r="M531" i="2"/>
  <c r="M537" i="2"/>
  <c r="M541" i="2"/>
  <c r="M543" i="2"/>
  <c r="M549" i="2"/>
  <c r="M553" i="2"/>
  <c r="M555" i="2"/>
  <c r="M561" i="2"/>
  <c r="M565" i="2"/>
  <c r="M567" i="2"/>
  <c r="M573" i="2"/>
  <c r="M577" i="2"/>
  <c r="M579" i="2"/>
  <c r="M585" i="2"/>
  <c r="M589" i="2"/>
  <c r="M591" i="2"/>
  <c r="M597" i="2"/>
  <c r="M601" i="2"/>
  <c r="L97" i="2"/>
  <c r="L265" i="2"/>
  <c r="L337" i="2"/>
  <c r="L421" i="2"/>
  <c r="L505" i="2"/>
  <c r="L577" i="2"/>
  <c r="K217" i="2"/>
  <c r="L217" i="2" s="1"/>
  <c r="J2" i="2"/>
  <c r="K2" i="2" s="1"/>
  <c r="L2" i="2" s="1"/>
  <c r="J3" i="2"/>
  <c r="K3" i="2" s="1"/>
  <c r="L3" i="2" s="1"/>
  <c r="J4" i="2"/>
  <c r="K4" i="2" s="1"/>
  <c r="L4" i="2" s="1"/>
  <c r="M4" i="2" s="1"/>
  <c r="J5" i="2"/>
  <c r="K5" i="2" s="1"/>
  <c r="L5" i="2" s="1"/>
  <c r="M5" i="2" s="1"/>
  <c r="J6" i="2"/>
  <c r="K6" i="2" s="1"/>
  <c r="L6" i="2" s="1"/>
  <c r="M6" i="2" s="1"/>
  <c r="J7" i="2"/>
  <c r="K7" i="2" s="1"/>
  <c r="L7" i="2" s="1"/>
  <c r="M7" i="2" s="1"/>
  <c r="J8" i="2"/>
  <c r="K8" i="2" s="1"/>
  <c r="L8" i="2" s="1"/>
  <c r="M8" i="2" s="1"/>
  <c r="J9" i="2"/>
  <c r="K9" i="2" s="1"/>
  <c r="L9" i="2" s="1"/>
  <c r="J10" i="2"/>
  <c r="K10" i="2" s="1"/>
  <c r="L10" i="2" s="1"/>
  <c r="M10" i="2" s="1"/>
  <c r="J11" i="2"/>
  <c r="K11" i="2" s="1"/>
  <c r="L11" i="2" s="1"/>
  <c r="M11" i="2" s="1"/>
  <c r="J12" i="2"/>
  <c r="K12" i="2" s="1"/>
  <c r="L12" i="2" s="1"/>
  <c r="M12" i="2" s="1"/>
  <c r="J13" i="2"/>
  <c r="K13" i="2" s="1"/>
  <c r="L13" i="2" s="1"/>
  <c r="J14" i="2"/>
  <c r="K14" i="2" s="1"/>
  <c r="L14" i="2" s="1"/>
  <c r="M14" i="2" s="1"/>
  <c r="J15" i="2"/>
  <c r="K15" i="2" s="1"/>
  <c r="L15" i="2" s="1"/>
  <c r="J16" i="2"/>
  <c r="K16" i="2" s="1"/>
  <c r="L16" i="2" s="1"/>
  <c r="M16" i="2" s="1"/>
  <c r="J17" i="2"/>
  <c r="K17" i="2" s="1"/>
  <c r="L17" i="2" s="1"/>
  <c r="M17" i="2" s="1"/>
  <c r="J18" i="2"/>
  <c r="K18" i="2" s="1"/>
  <c r="L18" i="2" s="1"/>
  <c r="M18" i="2" s="1"/>
  <c r="J19" i="2"/>
  <c r="K19" i="2" s="1"/>
  <c r="L19" i="2" s="1"/>
  <c r="M19" i="2" s="1"/>
  <c r="J20" i="2"/>
  <c r="K20" i="2" s="1"/>
  <c r="L20" i="2" s="1"/>
  <c r="M20" i="2" s="1"/>
  <c r="J21" i="2"/>
  <c r="K21" i="2" s="1"/>
  <c r="L21" i="2" s="1"/>
  <c r="J22" i="2"/>
  <c r="K22" i="2" s="1"/>
  <c r="L22" i="2" s="1"/>
  <c r="M22" i="2" s="1"/>
  <c r="J23" i="2"/>
  <c r="K23" i="2" s="1"/>
  <c r="L23" i="2" s="1"/>
  <c r="M23" i="2" s="1"/>
  <c r="J24" i="2"/>
  <c r="K24" i="2" s="1"/>
  <c r="L24" i="2" s="1"/>
  <c r="M24" i="2" s="1"/>
  <c r="J25" i="2"/>
  <c r="K25" i="2" s="1"/>
  <c r="L25" i="2" s="1"/>
  <c r="J26" i="2"/>
  <c r="K26" i="2" s="1"/>
  <c r="L26" i="2" s="1"/>
  <c r="M26" i="2" s="1"/>
  <c r="J27" i="2"/>
  <c r="K27" i="2" s="1"/>
  <c r="L27" i="2" s="1"/>
  <c r="J28" i="2"/>
  <c r="K28" i="2" s="1"/>
  <c r="L28" i="2" s="1"/>
  <c r="M28" i="2" s="1"/>
  <c r="J29" i="2"/>
  <c r="K29" i="2" s="1"/>
  <c r="L29" i="2" s="1"/>
  <c r="M29" i="2" s="1"/>
  <c r="J30" i="2"/>
  <c r="K30" i="2" s="1"/>
  <c r="L30" i="2" s="1"/>
  <c r="M30" i="2" s="1"/>
  <c r="J31" i="2"/>
  <c r="K31" i="2" s="1"/>
  <c r="L31" i="2" s="1"/>
  <c r="M31" i="2" s="1"/>
  <c r="J32" i="2"/>
  <c r="K32" i="2" s="1"/>
  <c r="L32" i="2" s="1"/>
  <c r="M32" i="2" s="1"/>
  <c r="J33" i="2"/>
  <c r="K33" i="2" s="1"/>
  <c r="L33" i="2" s="1"/>
  <c r="J34" i="2"/>
  <c r="K34" i="2" s="1"/>
  <c r="L34" i="2" s="1"/>
  <c r="M34" i="2" s="1"/>
  <c r="J35" i="2"/>
  <c r="K35" i="2" s="1"/>
  <c r="L35" i="2" s="1"/>
  <c r="M35" i="2" s="1"/>
  <c r="J36" i="2"/>
  <c r="K36" i="2" s="1"/>
  <c r="L36" i="2" s="1"/>
  <c r="M36" i="2" s="1"/>
  <c r="J37" i="2"/>
  <c r="K37" i="2" s="1"/>
  <c r="L37" i="2" s="1"/>
  <c r="J38" i="2"/>
  <c r="K38" i="2" s="1"/>
  <c r="L38" i="2" s="1"/>
  <c r="M38" i="2" s="1"/>
  <c r="J39" i="2"/>
  <c r="K39" i="2" s="1"/>
  <c r="L39" i="2" s="1"/>
  <c r="J40" i="2"/>
  <c r="K40" i="2" s="1"/>
  <c r="L40" i="2" s="1"/>
  <c r="M40" i="2" s="1"/>
  <c r="J41" i="2"/>
  <c r="K41" i="2" s="1"/>
  <c r="L41" i="2" s="1"/>
  <c r="M41" i="2" s="1"/>
  <c r="J42" i="2"/>
  <c r="K42" i="2" s="1"/>
  <c r="L42" i="2" s="1"/>
  <c r="M42" i="2" s="1"/>
  <c r="J43" i="2"/>
  <c r="K43" i="2" s="1"/>
  <c r="L43" i="2" s="1"/>
  <c r="M43" i="2" s="1"/>
  <c r="J44" i="2"/>
  <c r="K44" i="2" s="1"/>
  <c r="L44" i="2" s="1"/>
  <c r="M44" i="2" s="1"/>
  <c r="J45" i="2"/>
  <c r="K45" i="2" s="1"/>
  <c r="L45" i="2" s="1"/>
  <c r="J46" i="2"/>
  <c r="K46" i="2" s="1"/>
  <c r="L46" i="2" s="1"/>
  <c r="M46" i="2" s="1"/>
  <c r="J47" i="2"/>
  <c r="K47" i="2" s="1"/>
  <c r="L47" i="2" s="1"/>
  <c r="M47" i="2" s="1"/>
  <c r="J48" i="2"/>
  <c r="K48" i="2" s="1"/>
  <c r="L48" i="2" s="1"/>
  <c r="M48" i="2" s="1"/>
  <c r="J49" i="2"/>
  <c r="K49" i="2" s="1"/>
  <c r="L49" i="2" s="1"/>
  <c r="J50" i="2"/>
  <c r="K50" i="2" s="1"/>
  <c r="L50" i="2" s="1"/>
  <c r="M50" i="2" s="1"/>
  <c r="J51" i="2"/>
  <c r="K51" i="2" s="1"/>
  <c r="L51" i="2" s="1"/>
  <c r="J52" i="2"/>
  <c r="K52" i="2" s="1"/>
  <c r="L52" i="2" s="1"/>
  <c r="M52" i="2" s="1"/>
  <c r="J53" i="2"/>
  <c r="K53" i="2" s="1"/>
  <c r="L53" i="2" s="1"/>
  <c r="M53" i="2" s="1"/>
  <c r="J54" i="2"/>
  <c r="K54" i="2" s="1"/>
  <c r="L54" i="2" s="1"/>
  <c r="M54" i="2" s="1"/>
  <c r="J55" i="2"/>
  <c r="K55" i="2" s="1"/>
  <c r="L55" i="2" s="1"/>
  <c r="M55" i="2" s="1"/>
  <c r="J56" i="2"/>
  <c r="K56" i="2" s="1"/>
  <c r="L56" i="2" s="1"/>
  <c r="M56" i="2" s="1"/>
  <c r="J57" i="2"/>
  <c r="K57" i="2" s="1"/>
  <c r="L57" i="2" s="1"/>
  <c r="J58" i="2"/>
  <c r="K58" i="2" s="1"/>
  <c r="L58" i="2" s="1"/>
  <c r="M58" i="2" s="1"/>
  <c r="J59" i="2"/>
  <c r="K59" i="2" s="1"/>
  <c r="L59" i="2" s="1"/>
  <c r="M59" i="2" s="1"/>
  <c r="J60" i="2"/>
  <c r="K60" i="2" s="1"/>
  <c r="L60" i="2" s="1"/>
  <c r="M60" i="2" s="1"/>
  <c r="J61" i="2"/>
  <c r="K61" i="2" s="1"/>
  <c r="L61" i="2" s="1"/>
  <c r="J62" i="2"/>
  <c r="K62" i="2" s="1"/>
  <c r="L62" i="2" s="1"/>
  <c r="M62" i="2" s="1"/>
  <c r="J63" i="2"/>
  <c r="K63" i="2" s="1"/>
  <c r="L63" i="2" s="1"/>
  <c r="J64" i="2"/>
  <c r="K64" i="2" s="1"/>
  <c r="L64" i="2" s="1"/>
  <c r="M64" i="2" s="1"/>
  <c r="J65" i="2"/>
  <c r="K65" i="2" s="1"/>
  <c r="L65" i="2" s="1"/>
  <c r="M65" i="2" s="1"/>
  <c r="J66" i="2"/>
  <c r="K66" i="2" s="1"/>
  <c r="L66" i="2" s="1"/>
  <c r="M66" i="2" s="1"/>
  <c r="J67" i="2"/>
  <c r="K67" i="2" s="1"/>
  <c r="L67" i="2" s="1"/>
  <c r="M67" i="2" s="1"/>
  <c r="J68" i="2"/>
  <c r="K68" i="2" s="1"/>
  <c r="L68" i="2" s="1"/>
  <c r="M68" i="2" s="1"/>
  <c r="J69" i="2"/>
  <c r="K69" i="2" s="1"/>
  <c r="L69" i="2" s="1"/>
  <c r="J70" i="2"/>
  <c r="K70" i="2" s="1"/>
  <c r="L70" i="2" s="1"/>
  <c r="M70" i="2" s="1"/>
  <c r="J71" i="2"/>
  <c r="K71" i="2" s="1"/>
  <c r="L71" i="2" s="1"/>
  <c r="M71" i="2" s="1"/>
  <c r="J72" i="2"/>
  <c r="K72" i="2" s="1"/>
  <c r="L72" i="2" s="1"/>
  <c r="M72" i="2" s="1"/>
  <c r="J73" i="2"/>
  <c r="K73" i="2" s="1"/>
  <c r="L73" i="2" s="1"/>
  <c r="J74" i="2"/>
  <c r="K74" i="2" s="1"/>
  <c r="L74" i="2" s="1"/>
  <c r="M74" i="2" s="1"/>
  <c r="J75" i="2"/>
  <c r="K75" i="2" s="1"/>
  <c r="L75" i="2" s="1"/>
  <c r="J76" i="2"/>
  <c r="K76" i="2" s="1"/>
  <c r="L76" i="2" s="1"/>
  <c r="M76" i="2" s="1"/>
  <c r="J77" i="2"/>
  <c r="K77" i="2" s="1"/>
  <c r="L77" i="2" s="1"/>
  <c r="M77" i="2" s="1"/>
  <c r="J78" i="2"/>
  <c r="K78" i="2" s="1"/>
  <c r="L78" i="2" s="1"/>
  <c r="M78" i="2" s="1"/>
  <c r="J79" i="2"/>
  <c r="K79" i="2" s="1"/>
  <c r="L79" i="2" s="1"/>
  <c r="M79" i="2" s="1"/>
  <c r="J80" i="2"/>
  <c r="K80" i="2" s="1"/>
  <c r="L80" i="2" s="1"/>
  <c r="M80" i="2" s="1"/>
  <c r="J81" i="2"/>
  <c r="K81" i="2" s="1"/>
  <c r="L81" i="2" s="1"/>
  <c r="J82" i="2"/>
  <c r="K82" i="2" s="1"/>
  <c r="L82" i="2" s="1"/>
  <c r="M82" i="2" s="1"/>
  <c r="J83" i="2"/>
  <c r="K83" i="2" s="1"/>
  <c r="L83" i="2" s="1"/>
  <c r="M83" i="2" s="1"/>
  <c r="J84" i="2"/>
  <c r="K84" i="2" s="1"/>
  <c r="L84" i="2" s="1"/>
  <c r="M84" i="2" s="1"/>
  <c r="J85" i="2"/>
  <c r="K85" i="2" s="1"/>
  <c r="L85" i="2" s="1"/>
  <c r="J86" i="2"/>
  <c r="K86" i="2" s="1"/>
  <c r="L86" i="2" s="1"/>
  <c r="M86" i="2" s="1"/>
  <c r="J87" i="2"/>
  <c r="K87" i="2" s="1"/>
  <c r="L87" i="2" s="1"/>
  <c r="J88" i="2"/>
  <c r="K88" i="2" s="1"/>
  <c r="L88" i="2" s="1"/>
  <c r="M88" i="2" s="1"/>
  <c r="J89" i="2"/>
  <c r="K89" i="2" s="1"/>
  <c r="L89" i="2" s="1"/>
  <c r="M89" i="2" s="1"/>
  <c r="J90" i="2"/>
  <c r="K90" i="2" s="1"/>
  <c r="L90" i="2" s="1"/>
  <c r="M90" i="2" s="1"/>
  <c r="J91" i="2"/>
  <c r="K91" i="2" s="1"/>
  <c r="L91" i="2" s="1"/>
  <c r="M91" i="2" s="1"/>
  <c r="J92" i="2"/>
  <c r="K92" i="2" s="1"/>
  <c r="L92" i="2" s="1"/>
  <c r="M92" i="2" s="1"/>
  <c r="J93" i="2"/>
  <c r="K93" i="2" s="1"/>
  <c r="L93" i="2" s="1"/>
  <c r="J94" i="2"/>
  <c r="K94" i="2" s="1"/>
  <c r="L94" i="2" s="1"/>
  <c r="M94" i="2" s="1"/>
  <c r="J95" i="2"/>
  <c r="K95" i="2" s="1"/>
  <c r="L95" i="2" s="1"/>
  <c r="M95" i="2" s="1"/>
  <c r="J96" i="2"/>
  <c r="K96" i="2" s="1"/>
  <c r="L96" i="2" s="1"/>
  <c r="M96" i="2" s="1"/>
  <c r="J97" i="2"/>
  <c r="K97" i="2" s="1"/>
  <c r="J98" i="2"/>
  <c r="K98" i="2" s="1"/>
  <c r="L98" i="2" s="1"/>
  <c r="M98" i="2" s="1"/>
  <c r="J99" i="2"/>
  <c r="K99" i="2" s="1"/>
  <c r="L99" i="2" s="1"/>
  <c r="J100" i="2"/>
  <c r="K100" i="2" s="1"/>
  <c r="L100" i="2" s="1"/>
  <c r="M100" i="2" s="1"/>
  <c r="J101" i="2"/>
  <c r="K101" i="2" s="1"/>
  <c r="L101" i="2" s="1"/>
  <c r="M101" i="2" s="1"/>
  <c r="J102" i="2"/>
  <c r="K102" i="2" s="1"/>
  <c r="L102" i="2" s="1"/>
  <c r="M102" i="2" s="1"/>
  <c r="J103" i="2"/>
  <c r="K103" i="2" s="1"/>
  <c r="L103" i="2" s="1"/>
  <c r="M103" i="2" s="1"/>
  <c r="J104" i="2"/>
  <c r="K104" i="2" s="1"/>
  <c r="L104" i="2" s="1"/>
  <c r="M104" i="2" s="1"/>
  <c r="J105" i="2"/>
  <c r="K105" i="2" s="1"/>
  <c r="L105" i="2" s="1"/>
  <c r="J106" i="2"/>
  <c r="K106" i="2" s="1"/>
  <c r="L106" i="2" s="1"/>
  <c r="M106" i="2" s="1"/>
  <c r="J107" i="2"/>
  <c r="K107" i="2" s="1"/>
  <c r="L107" i="2" s="1"/>
  <c r="M107" i="2" s="1"/>
  <c r="J108" i="2"/>
  <c r="K108" i="2" s="1"/>
  <c r="L108" i="2" s="1"/>
  <c r="M108" i="2" s="1"/>
  <c r="J109" i="2"/>
  <c r="K109" i="2" s="1"/>
  <c r="L109" i="2" s="1"/>
  <c r="J110" i="2"/>
  <c r="K110" i="2" s="1"/>
  <c r="L110" i="2" s="1"/>
  <c r="M110" i="2" s="1"/>
  <c r="J111" i="2"/>
  <c r="K111" i="2" s="1"/>
  <c r="L111" i="2" s="1"/>
  <c r="J112" i="2"/>
  <c r="K112" i="2" s="1"/>
  <c r="L112" i="2" s="1"/>
  <c r="M112" i="2" s="1"/>
  <c r="J113" i="2"/>
  <c r="K113" i="2" s="1"/>
  <c r="L113" i="2" s="1"/>
  <c r="M113" i="2" s="1"/>
  <c r="J114" i="2"/>
  <c r="K114" i="2" s="1"/>
  <c r="L114" i="2" s="1"/>
  <c r="M114" i="2" s="1"/>
  <c r="J115" i="2"/>
  <c r="K115" i="2" s="1"/>
  <c r="L115" i="2" s="1"/>
  <c r="M115" i="2" s="1"/>
  <c r="J116" i="2"/>
  <c r="K116" i="2" s="1"/>
  <c r="L116" i="2" s="1"/>
  <c r="M116" i="2" s="1"/>
  <c r="J117" i="2"/>
  <c r="K117" i="2" s="1"/>
  <c r="L117" i="2" s="1"/>
  <c r="J118" i="2"/>
  <c r="K118" i="2" s="1"/>
  <c r="L118" i="2" s="1"/>
  <c r="M118" i="2" s="1"/>
  <c r="J119" i="2"/>
  <c r="K119" i="2" s="1"/>
  <c r="L119" i="2" s="1"/>
  <c r="M119" i="2" s="1"/>
  <c r="J120" i="2"/>
  <c r="K120" i="2" s="1"/>
  <c r="L120" i="2" s="1"/>
  <c r="M120" i="2" s="1"/>
  <c r="J121" i="2"/>
  <c r="K121" i="2" s="1"/>
  <c r="L121" i="2" s="1"/>
  <c r="J122" i="2"/>
  <c r="K122" i="2" s="1"/>
  <c r="L122" i="2" s="1"/>
  <c r="M122" i="2" s="1"/>
  <c r="J123" i="2"/>
  <c r="K123" i="2" s="1"/>
  <c r="L123" i="2" s="1"/>
  <c r="J124" i="2"/>
  <c r="K124" i="2" s="1"/>
  <c r="L124" i="2" s="1"/>
  <c r="M124" i="2" s="1"/>
  <c r="J125" i="2"/>
  <c r="K125" i="2" s="1"/>
  <c r="L125" i="2" s="1"/>
  <c r="M125" i="2" s="1"/>
  <c r="J126" i="2"/>
  <c r="K126" i="2" s="1"/>
  <c r="L126" i="2" s="1"/>
  <c r="M126" i="2" s="1"/>
  <c r="J127" i="2"/>
  <c r="K127" i="2" s="1"/>
  <c r="L127" i="2" s="1"/>
  <c r="M127" i="2" s="1"/>
  <c r="J128" i="2"/>
  <c r="K128" i="2" s="1"/>
  <c r="L128" i="2" s="1"/>
  <c r="M128" i="2" s="1"/>
  <c r="J129" i="2"/>
  <c r="K129" i="2" s="1"/>
  <c r="L129" i="2" s="1"/>
  <c r="J130" i="2"/>
  <c r="K130" i="2" s="1"/>
  <c r="L130" i="2" s="1"/>
  <c r="M130" i="2" s="1"/>
  <c r="J131" i="2"/>
  <c r="K131" i="2" s="1"/>
  <c r="L131" i="2" s="1"/>
  <c r="M131" i="2" s="1"/>
  <c r="J132" i="2"/>
  <c r="K132" i="2" s="1"/>
  <c r="L132" i="2" s="1"/>
  <c r="M132" i="2" s="1"/>
  <c r="J133" i="2"/>
  <c r="K133" i="2" s="1"/>
  <c r="L133" i="2" s="1"/>
  <c r="J134" i="2"/>
  <c r="K134" i="2" s="1"/>
  <c r="L134" i="2" s="1"/>
  <c r="M134" i="2" s="1"/>
  <c r="J135" i="2"/>
  <c r="K135" i="2" s="1"/>
  <c r="L135" i="2" s="1"/>
  <c r="J136" i="2"/>
  <c r="K136" i="2" s="1"/>
  <c r="L136" i="2" s="1"/>
  <c r="M136" i="2" s="1"/>
  <c r="J137" i="2"/>
  <c r="K137" i="2" s="1"/>
  <c r="L137" i="2" s="1"/>
  <c r="M137" i="2" s="1"/>
  <c r="J138" i="2"/>
  <c r="K138" i="2" s="1"/>
  <c r="L138" i="2" s="1"/>
  <c r="M138" i="2" s="1"/>
  <c r="J139" i="2"/>
  <c r="K139" i="2" s="1"/>
  <c r="L139" i="2" s="1"/>
  <c r="M139" i="2" s="1"/>
  <c r="J140" i="2"/>
  <c r="K140" i="2" s="1"/>
  <c r="L140" i="2" s="1"/>
  <c r="M140" i="2" s="1"/>
  <c r="J141" i="2"/>
  <c r="K141" i="2" s="1"/>
  <c r="L141" i="2" s="1"/>
  <c r="J142" i="2"/>
  <c r="K142" i="2" s="1"/>
  <c r="L142" i="2" s="1"/>
  <c r="M142" i="2" s="1"/>
  <c r="J143" i="2"/>
  <c r="K143" i="2" s="1"/>
  <c r="L143" i="2" s="1"/>
  <c r="M143" i="2" s="1"/>
  <c r="J144" i="2"/>
  <c r="K144" i="2" s="1"/>
  <c r="L144" i="2" s="1"/>
  <c r="M144" i="2" s="1"/>
  <c r="J145" i="2"/>
  <c r="K145" i="2" s="1"/>
  <c r="L145" i="2" s="1"/>
  <c r="J146" i="2"/>
  <c r="K146" i="2" s="1"/>
  <c r="L146" i="2" s="1"/>
  <c r="M146" i="2" s="1"/>
  <c r="J147" i="2"/>
  <c r="K147" i="2" s="1"/>
  <c r="L147" i="2" s="1"/>
  <c r="J148" i="2"/>
  <c r="K148" i="2" s="1"/>
  <c r="L148" i="2" s="1"/>
  <c r="M148" i="2" s="1"/>
  <c r="J149" i="2"/>
  <c r="K149" i="2" s="1"/>
  <c r="L149" i="2" s="1"/>
  <c r="M149" i="2" s="1"/>
  <c r="J150" i="2"/>
  <c r="K150" i="2" s="1"/>
  <c r="L150" i="2" s="1"/>
  <c r="M150" i="2" s="1"/>
  <c r="J151" i="2"/>
  <c r="K151" i="2" s="1"/>
  <c r="L151" i="2" s="1"/>
  <c r="M151" i="2" s="1"/>
  <c r="J152" i="2"/>
  <c r="K152" i="2" s="1"/>
  <c r="L152" i="2" s="1"/>
  <c r="M152" i="2" s="1"/>
  <c r="J153" i="2"/>
  <c r="K153" i="2" s="1"/>
  <c r="L153" i="2" s="1"/>
  <c r="J154" i="2"/>
  <c r="K154" i="2" s="1"/>
  <c r="L154" i="2" s="1"/>
  <c r="M154" i="2" s="1"/>
  <c r="J155" i="2"/>
  <c r="K155" i="2" s="1"/>
  <c r="L155" i="2" s="1"/>
  <c r="M155" i="2" s="1"/>
  <c r="J156" i="2"/>
  <c r="K156" i="2" s="1"/>
  <c r="L156" i="2" s="1"/>
  <c r="M156" i="2" s="1"/>
  <c r="J157" i="2"/>
  <c r="K157" i="2" s="1"/>
  <c r="L157" i="2" s="1"/>
  <c r="J158" i="2"/>
  <c r="K158" i="2" s="1"/>
  <c r="L158" i="2" s="1"/>
  <c r="M158" i="2" s="1"/>
  <c r="J159" i="2"/>
  <c r="K159" i="2" s="1"/>
  <c r="L159" i="2" s="1"/>
  <c r="J160" i="2"/>
  <c r="K160" i="2" s="1"/>
  <c r="L160" i="2" s="1"/>
  <c r="M160" i="2" s="1"/>
  <c r="J161" i="2"/>
  <c r="K161" i="2" s="1"/>
  <c r="L161" i="2" s="1"/>
  <c r="M161" i="2" s="1"/>
  <c r="J162" i="2"/>
  <c r="K162" i="2" s="1"/>
  <c r="L162" i="2" s="1"/>
  <c r="M162" i="2" s="1"/>
  <c r="J163" i="2"/>
  <c r="K163" i="2" s="1"/>
  <c r="L163" i="2" s="1"/>
  <c r="M163" i="2" s="1"/>
  <c r="J164" i="2"/>
  <c r="K164" i="2" s="1"/>
  <c r="L164" i="2" s="1"/>
  <c r="M164" i="2" s="1"/>
  <c r="J165" i="2"/>
  <c r="K165" i="2" s="1"/>
  <c r="L165" i="2" s="1"/>
  <c r="J166" i="2"/>
  <c r="K166" i="2" s="1"/>
  <c r="L166" i="2" s="1"/>
  <c r="M166" i="2" s="1"/>
  <c r="J167" i="2"/>
  <c r="K167" i="2" s="1"/>
  <c r="L167" i="2" s="1"/>
  <c r="M167" i="2" s="1"/>
  <c r="J168" i="2"/>
  <c r="K168" i="2" s="1"/>
  <c r="L168" i="2" s="1"/>
  <c r="M168" i="2" s="1"/>
  <c r="J169" i="2"/>
  <c r="K169" i="2" s="1"/>
  <c r="L169" i="2" s="1"/>
  <c r="J170" i="2"/>
  <c r="K170" i="2" s="1"/>
  <c r="L170" i="2" s="1"/>
  <c r="M170" i="2" s="1"/>
  <c r="J171" i="2"/>
  <c r="K171" i="2" s="1"/>
  <c r="L171" i="2" s="1"/>
  <c r="J172" i="2"/>
  <c r="K172" i="2" s="1"/>
  <c r="L172" i="2" s="1"/>
  <c r="M172" i="2" s="1"/>
  <c r="J173" i="2"/>
  <c r="K173" i="2" s="1"/>
  <c r="L173" i="2" s="1"/>
  <c r="M173" i="2" s="1"/>
  <c r="J174" i="2"/>
  <c r="K174" i="2" s="1"/>
  <c r="L174" i="2" s="1"/>
  <c r="M174" i="2" s="1"/>
  <c r="J175" i="2"/>
  <c r="K175" i="2" s="1"/>
  <c r="L175" i="2" s="1"/>
  <c r="M175" i="2" s="1"/>
  <c r="J176" i="2"/>
  <c r="K176" i="2" s="1"/>
  <c r="L176" i="2" s="1"/>
  <c r="M176" i="2" s="1"/>
  <c r="J177" i="2"/>
  <c r="K177" i="2" s="1"/>
  <c r="L177" i="2" s="1"/>
  <c r="J178" i="2"/>
  <c r="K178" i="2" s="1"/>
  <c r="L178" i="2" s="1"/>
  <c r="M178" i="2" s="1"/>
  <c r="J179" i="2"/>
  <c r="K179" i="2" s="1"/>
  <c r="L179" i="2" s="1"/>
  <c r="M179" i="2" s="1"/>
  <c r="J180" i="2"/>
  <c r="K180" i="2" s="1"/>
  <c r="L180" i="2" s="1"/>
  <c r="M180" i="2" s="1"/>
  <c r="J181" i="2"/>
  <c r="K181" i="2" s="1"/>
  <c r="L181" i="2" s="1"/>
  <c r="J182" i="2"/>
  <c r="K182" i="2" s="1"/>
  <c r="L182" i="2" s="1"/>
  <c r="M182" i="2" s="1"/>
  <c r="J183" i="2"/>
  <c r="K183" i="2" s="1"/>
  <c r="L183" i="2" s="1"/>
  <c r="J184" i="2"/>
  <c r="K184" i="2" s="1"/>
  <c r="L184" i="2" s="1"/>
  <c r="M184" i="2" s="1"/>
  <c r="J185" i="2"/>
  <c r="K185" i="2" s="1"/>
  <c r="L185" i="2" s="1"/>
  <c r="M185" i="2" s="1"/>
  <c r="J186" i="2"/>
  <c r="K186" i="2" s="1"/>
  <c r="L186" i="2" s="1"/>
  <c r="M186" i="2" s="1"/>
  <c r="J187" i="2"/>
  <c r="K187" i="2" s="1"/>
  <c r="L187" i="2" s="1"/>
  <c r="M187" i="2" s="1"/>
  <c r="J188" i="2"/>
  <c r="K188" i="2" s="1"/>
  <c r="L188" i="2" s="1"/>
  <c r="M188" i="2" s="1"/>
  <c r="J189" i="2"/>
  <c r="K189" i="2" s="1"/>
  <c r="L189" i="2" s="1"/>
  <c r="J190" i="2"/>
  <c r="K190" i="2" s="1"/>
  <c r="L190" i="2" s="1"/>
  <c r="M190" i="2" s="1"/>
  <c r="J191" i="2"/>
  <c r="K191" i="2" s="1"/>
  <c r="L191" i="2" s="1"/>
  <c r="M191" i="2" s="1"/>
  <c r="J192" i="2"/>
  <c r="K192" i="2" s="1"/>
  <c r="L192" i="2" s="1"/>
  <c r="M192" i="2" s="1"/>
  <c r="J193" i="2"/>
  <c r="K193" i="2" s="1"/>
  <c r="L193" i="2" s="1"/>
  <c r="J194" i="2"/>
  <c r="K194" i="2" s="1"/>
  <c r="L194" i="2" s="1"/>
  <c r="M194" i="2" s="1"/>
  <c r="J195" i="2"/>
  <c r="K195" i="2" s="1"/>
  <c r="L195" i="2" s="1"/>
  <c r="J196" i="2"/>
  <c r="K196" i="2" s="1"/>
  <c r="L196" i="2" s="1"/>
  <c r="M196" i="2" s="1"/>
  <c r="J197" i="2"/>
  <c r="K197" i="2" s="1"/>
  <c r="L197" i="2" s="1"/>
  <c r="M197" i="2" s="1"/>
  <c r="J198" i="2"/>
  <c r="K198" i="2" s="1"/>
  <c r="L198" i="2" s="1"/>
  <c r="M198" i="2" s="1"/>
  <c r="J199" i="2"/>
  <c r="K199" i="2" s="1"/>
  <c r="L199" i="2" s="1"/>
  <c r="M199" i="2" s="1"/>
  <c r="J200" i="2"/>
  <c r="K200" i="2" s="1"/>
  <c r="L200" i="2" s="1"/>
  <c r="M200" i="2" s="1"/>
  <c r="J201" i="2"/>
  <c r="K201" i="2" s="1"/>
  <c r="L201" i="2" s="1"/>
  <c r="J202" i="2"/>
  <c r="K202" i="2" s="1"/>
  <c r="L202" i="2" s="1"/>
  <c r="M202" i="2" s="1"/>
  <c r="J203" i="2"/>
  <c r="K203" i="2" s="1"/>
  <c r="L203" i="2" s="1"/>
  <c r="M203" i="2" s="1"/>
  <c r="J204" i="2"/>
  <c r="K204" i="2" s="1"/>
  <c r="L204" i="2" s="1"/>
  <c r="M204" i="2" s="1"/>
  <c r="J205" i="2"/>
  <c r="K205" i="2" s="1"/>
  <c r="L205" i="2" s="1"/>
  <c r="J206" i="2"/>
  <c r="K206" i="2" s="1"/>
  <c r="L206" i="2" s="1"/>
  <c r="M206" i="2" s="1"/>
  <c r="J207" i="2"/>
  <c r="K207" i="2" s="1"/>
  <c r="L207" i="2" s="1"/>
  <c r="J208" i="2"/>
  <c r="K208" i="2" s="1"/>
  <c r="L208" i="2" s="1"/>
  <c r="M208" i="2" s="1"/>
  <c r="J209" i="2"/>
  <c r="K209" i="2" s="1"/>
  <c r="L209" i="2" s="1"/>
  <c r="M209" i="2" s="1"/>
  <c r="J210" i="2"/>
  <c r="K210" i="2" s="1"/>
  <c r="L210" i="2" s="1"/>
  <c r="M210" i="2" s="1"/>
  <c r="J211" i="2"/>
  <c r="K211" i="2" s="1"/>
  <c r="L211" i="2" s="1"/>
  <c r="M211" i="2" s="1"/>
  <c r="J212" i="2"/>
  <c r="K212" i="2" s="1"/>
  <c r="L212" i="2" s="1"/>
  <c r="M212" i="2" s="1"/>
  <c r="J213" i="2"/>
  <c r="K213" i="2" s="1"/>
  <c r="L213" i="2" s="1"/>
  <c r="J214" i="2"/>
  <c r="K214" i="2" s="1"/>
  <c r="L214" i="2" s="1"/>
  <c r="M214" i="2" s="1"/>
  <c r="J215" i="2"/>
  <c r="K215" i="2" s="1"/>
  <c r="L215" i="2" s="1"/>
  <c r="M215" i="2" s="1"/>
  <c r="J216" i="2"/>
  <c r="K216" i="2" s="1"/>
  <c r="L216" i="2" s="1"/>
  <c r="M216" i="2" s="1"/>
  <c r="J217" i="2"/>
  <c r="J218" i="2"/>
  <c r="K218" i="2" s="1"/>
  <c r="L218" i="2" s="1"/>
  <c r="M218" i="2" s="1"/>
  <c r="J219" i="2"/>
  <c r="K219" i="2" s="1"/>
  <c r="L219" i="2" s="1"/>
  <c r="J220" i="2"/>
  <c r="K220" i="2" s="1"/>
  <c r="L220" i="2" s="1"/>
  <c r="M220" i="2" s="1"/>
  <c r="J221" i="2"/>
  <c r="K221" i="2" s="1"/>
  <c r="L221" i="2" s="1"/>
  <c r="M221" i="2" s="1"/>
  <c r="J222" i="2"/>
  <c r="K222" i="2" s="1"/>
  <c r="L222" i="2" s="1"/>
  <c r="M222" i="2" s="1"/>
  <c r="J223" i="2"/>
  <c r="K223" i="2" s="1"/>
  <c r="L223" i="2" s="1"/>
  <c r="M223" i="2" s="1"/>
  <c r="J224" i="2"/>
  <c r="K224" i="2" s="1"/>
  <c r="L224" i="2" s="1"/>
  <c r="M224" i="2" s="1"/>
  <c r="J225" i="2"/>
  <c r="K225" i="2" s="1"/>
  <c r="L225" i="2" s="1"/>
  <c r="J226" i="2"/>
  <c r="K226" i="2" s="1"/>
  <c r="L226" i="2" s="1"/>
  <c r="M226" i="2" s="1"/>
  <c r="J227" i="2"/>
  <c r="K227" i="2" s="1"/>
  <c r="L227" i="2" s="1"/>
  <c r="M227" i="2" s="1"/>
  <c r="J228" i="2"/>
  <c r="K228" i="2" s="1"/>
  <c r="L228" i="2" s="1"/>
  <c r="M228" i="2" s="1"/>
  <c r="J229" i="2"/>
  <c r="K229" i="2" s="1"/>
  <c r="L229" i="2" s="1"/>
  <c r="J230" i="2"/>
  <c r="K230" i="2" s="1"/>
  <c r="L230" i="2" s="1"/>
  <c r="M230" i="2" s="1"/>
  <c r="J231" i="2"/>
  <c r="K231" i="2" s="1"/>
  <c r="L231" i="2" s="1"/>
  <c r="J232" i="2"/>
  <c r="K232" i="2" s="1"/>
  <c r="L232" i="2" s="1"/>
  <c r="M232" i="2" s="1"/>
  <c r="J233" i="2"/>
  <c r="K233" i="2" s="1"/>
  <c r="L233" i="2" s="1"/>
  <c r="M233" i="2" s="1"/>
  <c r="J234" i="2"/>
  <c r="K234" i="2" s="1"/>
  <c r="L234" i="2" s="1"/>
  <c r="M234" i="2" s="1"/>
  <c r="J235" i="2"/>
  <c r="K235" i="2" s="1"/>
  <c r="L235" i="2" s="1"/>
  <c r="M235" i="2" s="1"/>
  <c r="J236" i="2"/>
  <c r="K236" i="2" s="1"/>
  <c r="L236" i="2" s="1"/>
  <c r="M236" i="2" s="1"/>
  <c r="J237" i="2"/>
  <c r="K237" i="2" s="1"/>
  <c r="L237" i="2" s="1"/>
  <c r="J238" i="2"/>
  <c r="K238" i="2" s="1"/>
  <c r="L238" i="2" s="1"/>
  <c r="M238" i="2" s="1"/>
  <c r="J239" i="2"/>
  <c r="K239" i="2" s="1"/>
  <c r="L239" i="2" s="1"/>
  <c r="M239" i="2" s="1"/>
  <c r="J240" i="2"/>
  <c r="K240" i="2" s="1"/>
  <c r="L240" i="2" s="1"/>
  <c r="M240" i="2" s="1"/>
  <c r="J241" i="2"/>
  <c r="K241" i="2" s="1"/>
  <c r="L241" i="2" s="1"/>
  <c r="J242" i="2"/>
  <c r="K242" i="2" s="1"/>
  <c r="L242" i="2" s="1"/>
  <c r="M242" i="2" s="1"/>
  <c r="J243" i="2"/>
  <c r="K243" i="2" s="1"/>
  <c r="L243" i="2" s="1"/>
  <c r="J244" i="2"/>
  <c r="K244" i="2" s="1"/>
  <c r="L244" i="2" s="1"/>
  <c r="M244" i="2" s="1"/>
  <c r="J245" i="2"/>
  <c r="K245" i="2" s="1"/>
  <c r="L245" i="2" s="1"/>
  <c r="M245" i="2" s="1"/>
  <c r="J246" i="2"/>
  <c r="K246" i="2" s="1"/>
  <c r="L246" i="2" s="1"/>
  <c r="M246" i="2" s="1"/>
  <c r="J247" i="2"/>
  <c r="K247" i="2" s="1"/>
  <c r="L247" i="2" s="1"/>
  <c r="M247" i="2" s="1"/>
  <c r="J248" i="2"/>
  <c r="K248" i="2" s="1"/>
  <c r="L248" i="2" s="1"/>
  <c r="M248" i="2" s="1"/>
  <c r="J249" i="2"/>
  <c r="K249" i="2" s="1"/>
  <c r="L249" i="2" s="1"/>
  <c r="J250" i="2"/>
  <c r="K250" i="2" s="1"/>
  <c r="L250" i="2" s="1"/>
  <c r="M250" i="2" s="1"/>
  <c r="J251" i="2"/>
  <c r="K251" i="2" s="1"/>
  <c r="L251" i="2" s="1"/>
  <c r="M251" i="2" s="1"/>
  <c r="J252" i="2"/>
  <c r="K252" i="2" s="1"/>
  <c r="L252" i="2" s="1"/>
  <c r="M252" i="2" s="1"/>
  <c r="J253" i="2"/>
  <c r="K253" i="2" s="1"/>
  <c r="L253" i="2" s="1"/>
  <c r="J254" i="2"/>
  <c r="K254" i="2" s="1"/>
  <c r="L254" i="2" s="1"/>
  <c r="M254" i="2" s="1"/>
  <c r="J255" i="2"/>
  <c r="K255" i="2" s="1"/>
  <c r="L255" i="2" s="1"/>
  <c r="J256" i="2"/>
  <c r="K256" i="2" s="1"/>
  <c r="L256" i="2" s="1"/>
  <c r="M256" i="2" s="1"/>
  <c r="J257" i="2"/>
  <c r="K257" i="2" s="1"/>
  <c r="L257" i="2" s="1"/>
  <c r="M257" i="2" s="1"/>
  <c r="J258" i="2"/>
  <c r="K258" i="2" s="1"/>
  <c r="L258" i="2" s="1"/>
  <c r="M258" i="2" s="1"/>
  <c r="J259" i="2"/>
  <c r="K259" i="2" s="1"/>
  <c r="L259" i="2" s="1"/>
  <c r="M259" i="2" s="1"/>
  <c r="J260" i="2"/>
  <c r="K260" i="2" s="1"/>
  <c r="L260" i="2" s="1"/>
  <c r="M260" i="2" s="1"/>
  <c r="J261" i="2"/>
  <c r="K261" i="2" s="1"/>
  <c r="L261" i="2" s="1"/>
  <c r="J262" i="2"/>
  <c r="K262" i="2" s="1"/>
  <c r="L262" i="2" s="1"/>
  <c r="M262" i="2" s="1"/>
  <c r="J263" i="2"/>
  <c r="K263" i="2" s="1"/>
  <c r="L263" i="2" s="1"/>
  <c r="M263" i="2" s="1"/>
  <c r="J264" i="2"/>
  <c r="K264" i="2" s="1"/>
  <c r="L264" i="2" s="1"/>
  <c r="M264" i="2" s="1"/>
  <c r="J265" i="2"/>
  <c r="K265" i="2" s="1"/>
  <c r="J266" i="2"/>
  <c r="K266" i="2" s="1"/>
  <c r="L266" i="2" s="1"/>
  <c r="M266" i="2" s="1"/>
  <c r="J267" i="2"/>
  <c r="K267" i="2" s="1"/>
  <c r="L267" i="2" s="1"/>
  <c r="J268" i="2"/>
  <c r="K268" i="2" s="1"/>
  <c r="L268" i="2" s="1"/>
  <c r="M268" i="2" s="1"/>
  <c r="J269" i="2"/>
  <c r="K269" i="2" s="1"/>
  <c r="L269" i="2" s="1"/>
  <c r="M269" i="2" s="1"/>
  <c r="J270" i="2"/>
  <c r="K270" i="2" s="1"/>
  <c r="L270" i="2" s="1"/>
  <c r="M270" i="2" s="1"/>
  <c r="J271" i="2"/>
  <c r="K271" i="2" s="1"/>
  <c r="L271" i="2" s="1"/>
  <c r="M271" i="2" s="1"/>
  <c r="J272" i="2"/>
  <c r="K272" i="2" s="1"/>
  <c r="L272" i="2" s="1"/>
  <c r="M272" i="2" s="1"/>
  <c r="J273" i="2"/>
  <c r="K273" i="2" s="1"/>
  <c r="L273" i="2" s="1"/>
  <c r="J274" i="2"/>
  <c r="K274" i="2" s="1"/>
  <c r="L274" i="2" s="1"/>
  <c r="M274" i="2" s="1"/>
  <c r="J275" i="2"/>
  <c r="K275" i="2" s="1"/>
  <c r="L275" i="2" s="1"/>
  <c r="M275" i="2" s="1"/>
  <c r="J276" i="2"/>
  <c r="K276" i="2" s="1"/>
  <c r="L276" i="2" s="1"/>
  <c r="M276" i="2" s="1"/>
  <c r="J277" i="2"/>
  <c r="K277" i="2" s="1"/>
  <c r="L277" i="2" s="1"/>
  <c r="J278" i="2"/>
  <c r="K278" i="2" s="1"/>
  <c r="L278" i="2" s="1"/>
  <c r="M278" i="2" s="1"/>
  <c r="J279" i="2"/>
  <c r="K279" i="2" s="1"/>
  <c r="L279" i="2" s="1"/>
  <c r="J280" i="2"/>
  <c r="K280" i="2" s="1"/>
  <c r="L280" i="2" s="1"/>
  <c r="M280" i="2" s="1"/>
  <c r="J281" i="2"/>
  <c r="K281" i="2" s="1"/>
  <c r="L281" i="2" s="1"/>
  <c r="M281" i="2" s="1"/>
  <c r="J282" i="2"/>
  <c r="K282" i="2" s="1"/>
  <c r="L282" i="2" s="1"/>
  <c r="M282" i="2" s="1"/>
  <c r="J283" i="2"/>
  <c r="K283" i="2" s="1"/>
  <c r="L283" i="2" s="1"/>
  <c r="M283" i="2" s="1"/>
  <c r="J284" i="2"/>
  <c r="K284" i="2" s="1"/>
  <c r="L284" i="2" s="1"/>
  <c r="M284" i="2" s="1"/>
  <c r="J285" i="2"/>
  <c r="K285" i="2" s="1"/>
  <c r="L285" i="2" s="1"/>
  <c r="J286" i="2"/>
  <c r="K286" i="2" s="1"/>
  <c r="L286" i="2" s="1"/>
  <c r="M286" i="2" s="1"/>
  <c r="J287" i="2"/>
  <c r="K287" i="2" s="1"/>
  <c r="L287" i="2" s="1"/>
  <c r="M287" i="2" s="1"/>
  <c r="J288" i="2"/>
  <c r="K288" i="2" s="1"/>
  <c r="L288" i="2" s="1"/>
  <c r="M288" i="2" s="1"/>
  <c r="J289" i="2"/>
  <c r="K289" i="2" s="1"/>
  <c r="L289" i="2" s="1"/>
  <c r="J290" i="2"/>
  <c r="K290" i="2" s="1"/>
  <c r="L290" i="2" s="1"/>
  <c r="M290" i="2" s="1"/>
  <c r="J291" i="2"/>
  <c r="K291" i="2" s="1"/>
  <c r="L291" i="2" s="1"/>
  <c r="J292" i="2"/>
  <c r="K292" i="2" s="1"/>
  <c r="L292" i="2" s="1"/>
  <c r="M292" i="2" s="1"/>
  <c r="J293" i="2"/>
  <c r="K293" i="2" s="1"/>
  <c r="L293" i="2" s="1"/>
  <c r="M293" i="2" s="1"/>
  <c r="J294" i="2"/>
  <c r="K294" i="2" s="1"/>
  <c r="L294" i="2" s="1"/>
  <c r="M294" i="2" s="1"/>
  <c r="J295" i="2"/>
  <c r="K295" i="2" s="1"/>
  <c r="L295" i="2" s="1"/>
  <c r="M295" i="2" s="1"/>
  <c r="J296" i="2"/>
  <c r="K296" i="2" s="1"/>
  <c r="L296" i="2" s="1"/>
  <c r="M296" i="2" s="1"/>
  <c r="J297" i="2"/>
  <c r="K297" i="2" s="1"/>
  <c r="L297" i="2" s="1"/>
  <c r="J298" i="2"/>
  <c r="K298" i="2" s="1"/>
  <c r="L298" i="2" s="1"/>
  <c r="M298" i="2" s="1"/>
  <c r="J299" i="2"/>
  <c r="K299" i="2" s="1"/>
  <c r="L299" i="2" s="1"/>
  <c r="M299" i="2" s="1"/>
  <c r="J300" i="2"/>
  <c r="K300" i="2" s="1"/>
  <c r="L300" i="2" s="1"/>
  <c r="M300" i="2" s="1"/>
  <c r="J301" i="2"/>
  <c r="K301" i="2" s="1"/>
  <c r="L301" i="2" s="1"/>
  <c r="J302" i="2"/>
  <c r="K302" i="2" s="1"/>
  <c r="L302" i="2" s="1"/>
  <c r="M302" i="2" s="1"/>
  <c r="J303" i="2"/>
  <c r="K303" i="2" s="1"/>
  <c r="L303" i="2" s="1"/>
  <c r="J304" i="2"/>
  <c r="K304" i="2" s="1"/>
  <c r="L304" i="2" s="1"/>
  <c r="M304" i="2" s="1"/>
  <c r="J305" i="2"/>
  <c r="K305" i="2" s="1"/>
  <c r="L305" i="2" s="1"/>
  <c r="M305" i="2" s="1"/>
  <c r="J306" i="2"/>
  <c r="K306" i="2" s="1"/>
  <c r="L306" i="2" s="1"/>
  <c r="M306" i="2" s="1"/>
  <c r="J307" i="2"/>
  <c r="K307" i="2" s="1"/>
  <c r="L307" i="2" s="1"/>
  <c r="M307" i="2" s="1"/>
  <c r="J308" i="2"/>
  <c r="K308" i="2" s="1"/>
  <c r="L308" i="2" s="1"/>
  <c r="M308" i="2" s="1"/>
  <c r="J309" i="2"/>
  <c r="K309" i="2" s="1"/>
  <c r="L309" i="2" s="1"/>
  <c r="J310" i="2"/>
  <c r="K310" i="2" s="1"/>
  <c r="L310" i="2" s="1"/>
  <c r="M310" i="2" s="1"/>
  <c r="J311" i="2"/>
  <c r="K311" i="2" s="1"/>
  <c r="L311" i="2" s="1"/>
  <c r="M311" i="2" s="1"/>
  <c r="J312" i="2"/>
  <c r="K312" i="2" s="1"/>
  <c r="L312" i="2" s="1"/>
  <c r="M312" i="2" s="1"/>
  <c r="J313" i="2"/>
  <c r="K313" i="2" s="1"/>
  <c r="L313" i="2" s="1"/>
  <c r="J314" i="2"/>
  <c r="K314" i="2" s="1"/>
  <c r="L314" i="2" s="1"/>
  <c r="M314" i="2" s="1"/>
  <c r="J315" i="2"/>
  <c r="K315" i="2" s="1"/>
  <c r="L315" i="2" s="1"/>
  <c r="J316" i="2"/>
  <c r="K316" i="2" s="1"/>
  <c r="L316" i="2" s="1"/>
  <c r="M316" i="2" s="1"/>
  <c r="J317" i="2"/>
  <c r="K317" i="2" s="1"/>
  <c r="L317" i="2" s="1"/>
  <c r="M317" i="2" s="1"/>
  <c r="J318" i="2"/>
  <c r="K318" i="2" s="1"/>
  <c r="L318" i="2" s="1"/>
  <c r="M318" i="2" s="1"/>
  <c r="J319" i="2"/>
  <c r="K319" i="2" s="1"/>
  <c r="L319" i="2" s="1"/>
  <c r="M319" i="2" s="1"/>
  <c r="J320" i="2"/>
  <c r="K320" i="2" s="1"/>
  <c r="L320" i="2" s="1"/>
  <c r="M320" i="2" s="1"/>
  <c r="J321" i="2"/>
  <c r="K321" i="2" s="1"/>
  <c r="L321" i="2" s="1"/>
  <c r="J322" i="2"/>
  <c r="K322" i="2" s="1"/>
  <c r="L322" i="2" s="1"/>
  <c r="M322" i="2" s="1"/>
  <c r="J323" i="2"/>
  <c r="K323" i="2" s="1"/>
  <c r="L323" i="2" s="1"/>
  <c r="M323" i="2" s="1"/>
  <c r="J324" i="2"/>
  <c r="K324" i="2" s="1"/>
  <c r="L324" i="2" s="1"/>
  <c r="M324" i="2" s="1"/>
  <c r="J325" i="2"/>
  <c r="K325" i="2" s="1"/>
  <c r="L325" i="2" s="1"/>
  <c r="J326" i="2"/>
  <c r="K326" i="2" s="1"/>
  <c r="L326" i="2" s="1"/>
  <c r="M326" i="2" s="1"/>
  <c r="J327" i="2"/>
  <c r="K327" i="2" s="1"/>
  <c r="L327" i="2" s="1"/>
  <c r="J328" i="2"/>
  <c r="K328" i="2" s="1"/>
  <c r="L328" i="2" s="1"/>
  <c r="M328" i="2" s="1"/>
  <c r="J329" i="2"/>
  <c r="K329" i="2" s="1"/>
  <c r="L329" i="2" s="1"/>
  <c r="M329" i="2" s="1"/>
  <c r="J330" i="2"/>
  <c r="K330" i="2" s="1"/>
  <c r="L330" i="2" s="1"/>
  <c r="M330" i="2" s="1"/>
  <c r="J331" i="2"/>
  <c r="K331" i="2" s="1"/>
  <c r="L331" i="2" s="1"/>
  <c r="M331" i="2" s="1"/>
  <c r="J332" i="2"/>
  <c r="K332" i="2" s="1"/>
  <c r="L332" i="2" s="1"/>
  <c r="M332" i="2" s="1"/>
  <c r="J333" i="2"/>
  <c r="K333" i="2" s="1"/>
  <c r="L333" i="2" s="1"/>
  <c r="J334" i="2"/>
  <c r="K334" i="2" s="1"/>
  <c r="L334" i="2" s="1"/>
  <c r="M334" i="2" s="1"/>
  <c r="J335" i="2"/>
  <c r="K335" i="2" s="1"/>
  <c r="L335" i="2" s="1"/>
  <c r="M335" i="2" s="1"/>
  <c r="J336" i="2"/>
  <c r="K336" i="2" s="1"/>
  <c r="L336" i="2" s="1"/>
  <c r="M336" i="2" s="1"/>
  <c r="J337" i="2"/>
  <c r="K337" i="2" s="1"/>
  <c r="J338" i="2"/>
  <c r="K338" i="2" s="1"/>
  <c r="L338" i="2" s="1"/>
  <c r="M338" i="2" s="1"/>
  <c r="J339" i="2"/>
  <c r="K339" i="2" s="1"/>
  <c r="L339" i="2" s="1"/>
  <c r="J340" i="2"/>
  <c r="K340" i="2" s="1"/>
  <c r="L340" i="2" s="1"/>
  <c r="M340" i="2" s="1"/>
  <c r="J341" i="2"/>
  <c r="K341" i="2" s="1"/>
  <c r="L341" i="2" s="1"/>
  <c r="M341" i="2" s="1"/>
  <c r="J342" i="2"/>
  <c r="K342" i="2" s="1"/>
  <c r="L342" i="2" s="1"/>
  <c r="M342" i="2" s="1"/>
  <c r="J343" i="2"/>
  <c r="K343" i="2" s="1"/>
  <c r="L343" i="2" s="1"/>
  <c r="M343" i="2" s="1"/>
  <c r="J344" i="2"/>
  <c r="K344" i="2" s="1"/>
  <c r="L344" i="2" s="1"/>
  <c r="M344" i="2" s="1"/>
  <c r="J345" i="2"/>
  <c r="K345" i="2" s="1"/>
  <c r="L345" i="2" s="1"/>
  <c r="J346" i="2"/>
  <c r="K346" i="2" s="1"/>
  <c r="L346" i="2" s="1"/>
  <c r="M346" i="2" s="1"/>
  <c r="J347" i="2"/>
  <c r="K347" i="2" s="1"/>
  <c r="L347" i="2" s="1"/>
  <c r="M347" i="2" s="1"/>
  <c r="J348" i="2"/>
  <c r="K348" i="2" s="1"/>
  <c r="L348" i="2" s="1"/>
  <c r="M348" i="2" s="1"/>
  <c r="J349" i="2"/>
  <c r="K349" i="2" s="1"/>
  <c r="L349" i="2" s="1"/>
  <c r="J350" i="2"/>
  <c r="K350" i="2" s="1"/>
  <c r="L350" i="2" s="1"/>
  <c r="M350" i="2" s="1"/>
  <c r="J351" i="2"/>
  <c r="K351" i="2" s="1"/>
  <c r="L351" i="2" s="1"/>
  <c r="J352" i="2"/>
  <c r="K352" i="2" s="1"/>
  <c r="L352" i="2" s="1"/>
  <c r="M352" i="2" s="1"/>
  <c r="J353" i="2"/>
  <c r="K353" i="2" s="1"/>
  <c r="L353" i="2" s="1"/>
  <c r="M353" i="2" s="1"/>
  <c r="J354" i="2"/>
  <c r="K354" i="2" s="1"/>
  <c r="L354" i="2" s="1"/>
  <c r="M354" i="2" s="1"/>
  <c r="J355" i="2"/>
  <c r="K355" i="2" s="1"/>
  <c r="L355" i="2" s="1"/>
  <c r="M355" i="2" s="1"/>
  <c r="J356" i="2"/>
  <c r="K356" i="2" s="1"/>
  <c r="L356" i="2" s="1"/>
  <c r="M356" i="2" s="1"/>
  <c r="J357" i="2"/>
  <c r="K357" i="2" s="1"/>
  <c r="L357" i="2" s="1"/>
  <c r="J358" i="2"/>
  <c r="K358" i="2" s="1"/>
  <c r="L358" i="2" s="1"/>
  <c r="M358" i="2" s="1"/>
  <c r="J359" i="2"/>
  <c r="K359" i="2" s="1"/>
  <c r="L359" i="2" s="1"/>
  <c r="M359" i="2" s="1"/>
  <c r="J360" i="2"/>
  <c r="K360" i="2" s="1"/>
  <c r="L360" i="2" s="1"/>
  <c r="M360" i="2" s="1"/>
  <c r="J361" i="2"/>
  <c r="K361" i="2" s="1"/>
  <c r="L361" i="2" s="1"/>
  <c r="J362" i="2"/>
  <c r="K362" i="2" s="1"/>
  <c r="L362" i="2" s="1"/>
  <c r="M362" i="2" s="1"/>
  <c r="J363" i="2"/>
  <c r="K363" i="2" s="1"/>
  <c r="L363" i="2" s="1"/>
  <c r="J364" i="2"/>
  <c r="K364" i="2" s="1"/>
  <c r="L364" i="2" s="1"/>
  <c r="M364" i="2" s="1"/>
  <c r="J365" i="2"/>
  <c r="K365" i="2" s="1"/>
  <c r="L365" i="2" s="1"/>
  <c r="M365" i="2" s="1"/>
  <c r="J366" i="2"/>
  <c r="K366" i="2" s="1"/>
  <c r="L366" i="2" s="1"/>
  <c r="M366" i="2" s="1"/>
  <c r="J367" i="2"/>
  <c r="K367" i="2" s="1"/>
  <c r="L367" i="2" s="1"/>
  <c r="M367" i="2" s="1"/>
  <c r="J368" i="2"/>
  <c r="K368" i="2" s="1"/>
  <c r="L368" i="2" s="1"/>
  <c r="M368" i="2" s="1"/>
  <c r="J369" i="2"/>
  <c r="K369" i="2" s="1"/>
  <c r="L369" i="2" s="1"/>
  <c r="J370" i="2"/>
  <c r="K370" i="2" s="1"/>
  <c r="L370" i="2" s="1"/>
  <c r="M370" i="2" s="1"/>
  <c r="J371" i="2"/>
  <c r="K371" i="2" s="1"/>
  <c r="L371" i="2" s="1"/>
  <c r="M371" i="2" s="1"/>
  <c r="J372" i="2"/>
  <c r="K372" i="2" s="1"/>
  <c r="L372" i="2" s="1"/>
  <c r="M372" i="2" s="1"/>
  <c r="J373" i="2"/>
  <c r="K373" i="2" s="1"/>
  <c r="L373" i="2" s="1"/>
  <c r="J374" i="2"/>
  <c r="K374" i="2" s="1"/>
  <c r="L374" i="2" s="1"/>
  <c r="M374" i="2" s="1"/>
  <c r="J375" i="2"/>
  <c r="K375" i="2" s="1"/>
  <c r="L375" i="2" s="1"/>
  <c r="J376" i="2"/>
  <c r="K376" i="2" s="1"/>
  <c r="L376" i="2" s="1"/>
  <c r="M376" i="2" s="1"/>
  <c r="J377" i="2"/>
  <c r="K377" i="2" s="1"/>
  <c r="L377" i="2" s="1"/>
  <c r="M377" i="2" s="1"/>
  <c r="J378" i="2"/>
  <c r="K378" i="2" s="1"/>
  <c r="L378" i="2" s="1"/>
  <c r="M378" i="2" s="1"/>
  <c r="J379" i="2"/>
  <c r="K379" i="2" s="1"/>
  <c r="L379" i="2" s="1"/>
  <c r="M379" i="2" s="1"/>
  <c r="J380" i="2"/>
  <c r="K380" i="2" s="1"/>
  <c r="L380" i="2" s="1"/>
  <c r="M380" i="2" s="1"/>
  <c r="J381" i="2"/>
  <c r="K381" i="2" s="1"/>
  <c r="L381" i="2" s="1"/>
  <c r="J382" i="2"/>
  <c r="K382" i="2" s="1"/>
  <c r="L382" i="2" s="1"/>
  <c r="M382" i="2" s="1"/>
  <c r="J383" i="2"/>
  <c r="K383" i="2" s="1"/>
  <c r="L383" i="2" s="1"/>
  <c r="M383" i="2" s="1"/>
  <c r="J384" i="2"/>
  <c r="K384" i="2" s="1"/>
  <c r="L384" i="2" s="1"/>
  <c r="M384" i="2" s="1"/>
  <c r="J385" i="2"/>
  <c r="K385" i="2" s="1"/>
  <c r="L385" i="2" s="1"/>
  <c r="J386" i="2"/>
  <c r="K386" i="2" s="1"/>
  <c r="L386" i="2" s="1"/>
  <c r="M386" i="2" s="1"/>
  <c r="J387" i="2"/>
  <c r="K387" i="2" s="1"/>
  <c r="L387" i="2" s="1"/>
  <c r="J388" i="2"/>
  <c r="K388" i="2" s="1"/>
  <c r="L388" i="2" s="1"/>
  <c r="M388" i="2" s="1"/>
  <c r="J389" i="2"/>
  <c r="K389" i="2" s="1"/>
  <c r="L389" i="2" s="1"/>
  <c r="M389" i="2" s="1"/>
  <c r="J390" i="2"/>
  <c r="K390" i="2" s="1"/>
  <c r="L390" i="2" s="1"/>
  <c r="M390" i="2" s="1"/>
  <c r="J391" i="2"/>
  <c r="K391" i="2" s="1"/>
  <c r="L391" i="2" s="1"/>
  <c r="M391" i="2" s="1"/>
  <c r="J392" i="2"/>
  <c r="K392" i="2" s="1"/>
  <c r="L392" i="2" s="1"/>
  <c r="M392" i="2" s="1"/>
  <c r="J393" i="2"/>
  <c r="K393" i="2" s="1"/>
  <c r="L393" i="2" s="1"/>
  <c r="J394" i="2"/>
  <c r="K394" i="2" s="1"/>
  <c r="L394" i="2" s="1"/>
  <c r="M394" i="2" s="1"/>
  <c r="J395" i="2"/>
  <c r="K395" i="2" s="1"/>
  <c r="L395" i="2" s="1"/>
  <c r="M395" i="2" s="1"/>
  <c r="J396" i="2"/>
  <c r="K396" i="2" s="1"/>
  <c r="L396" i="2" s="1"/>
  <c r="M396" i="2" s="1"/>
  <c r="J397" i="2"/>
  <c r="K397" i="2" s="1"/>
  <c r="L397" i="2" s="1"/>
  <c r="J398" i="2"/>
  <c r="K398" i="2" s="1"/>
  <c r="L398" i="2" s="1"/>
  <c r="M398" i="2" s="1"/>
  <c r="J399" i="2"/>
  <c r="K399" i="2" s="1"/>
  <c r="L399" i="2" s="1"/>
  <c r="J400" i="2"/>
  <c r="K400" i="2" s="1"/>
  <c r="L400" i="2" s="1"/>
  <c r="M400" i="2" s="1"/>
  <c r="J401" i="2"/>
  <c r="K401" i="2" s="1"/>
  <c r="L401" i="2" s="1"/>
  <c r="M401" i="2" s="1"/>
  <c r="J402" i="2"/>
  <c r="K402" i="2" s="1"/>
  <c r="L402" i="2" s="1"/>
  <c r="M402" i="2" s="1"/>
  <c r="J403" i="2"/>
  <c r="K403" i="2" s="1"/>
  <c r="L403" i="2" s="1"/>
  <c r="M403" i="2" s="1"/>
  <c r="J404" i="2"/>
  <c r="K404" i="2" s="1"/>
  <c r="L404" i="2" s="1"/>
  <c r="M404" i="2" s="1"/>
  <c r="J405" i="2"/>
  <c r="K405" i="2" s="1"/>
  <c r="L405" i="2" s="1"/>
  <c r="J406" i="2"/>
  <c r="K406" i="2" s="1"/>
  <c r="L406" i="2" s="1"/>
  <c r="M406" i="2" s="1"/>
  <c r="J407" i="2"/>
  <c r="K407" i="2" s="1"/>
  <c r="L407" i="2" s="1"/>
  <c r="M407" i="2" s="1"/>
  <c r="J408" i="2"/>
  <c r="K408" i="2" s="1"/>
  <c r="L408" i="2" s="1"/>
  <c r="M408" i="2" s="1"/>
  <c r="J409" i="2"/>
  <c r="K409" i="2" s="1"/>
  <c r="L409" i="2" s="1"/>
  <c r="J410" i="2"/>
  <c r="K410" i="2" s="1"/>
  <c r="L410" i="2" s="1"/>
  <c r="M410" i="2" s="1"/>
  <c r="J411" i="2"/>
  <c r="K411" i="2" s="1"/>
  <c r="L411" i="2" s="1"/>
  <c r="J412" i="2"/>
  <c r="K412" i="2" s="1"/>
  <c r="L412" i="2" s="1"/>
  <c r="M412" i="2" s="1"/>
  <c r="J413" i="2"/>
  <c r="K413" i="2" s="1"/>
  <c r="L413" i="2" s="1"/>
  <c r="M413" i="2" s="1"/>
  <c r="J414" i="2"/>
  <c r="K414" i="2" s="1"/>
  <c r="L414" i="2" s="1"/>
  <c r="M414" i="2" s="1"/>
  <c r="J415" i="2"/>
  <c r="K415" i="2" s="1"/>
  <c r="L415" i="2" s="1"/>
  <c r="M415" i="2" s="1"/>
  <c r="J416" i="2"/>
  <c r="K416" i="2" s="1"/>
  <c r="L416" i="2" s="1"/>
  <c r="M416" i="2" s="1"/>
  <c r="J417" i="2"/>
  <c r="K417" i="2" s="1"/>
  <c r="L417" i="2" s="1"/>
  <c r="J418" i="2"/>
  <c r="K418" i="2" s="1"/>
  <c r="L418" i="2" s="1"/>
  <c r="M418" i="2" s="1"/>
  <c r="J419" i="2"/>
  <c r="K419" i="2" s="1"/>
  <c r="L419" i="2" s="1"/>
  <c r="M419" i="2" s="1"/>
  <c r="J420" i="2"/>
  <c r="K420" i="2" s="1"/>
  <c r="L420" i="2" s="1"/>
  <c r="M420" i="2" s="1"/>
  <c r="J421" i="2"/>
  <c r="K421" i="2" s="1"/>
  <c r="J422" i="2"/>
  <c r="K422" i="2" s="1"/>
  <c r="L422" i="2" s="1"/>
  <c r="M422" i="2" s="1"/>
  <c r="J423" i="2"/>
  <c r="K423" i="2" s="1"/>
  <c r="L423" i="2" s="1"/>
  <c r="J424" i="2"/>
  <c r="K424" i="2" s="1"/>
  <c r="L424" i="2" s="1"/>
  <c r="M424" i="2" s="1"/>
  <c r="J425" i="2"/>
  <c r="K425" i="2" s="1"/>
  <c r="L425" i="2" s="1"/>
  <c r="M425" i="2" s="1"/>
  <c r="J426" i="2"/>
  <c r="K426" i="2" s="1"/>
  <c r="L426" i="2" s="1"/>
  <c r="M426" i="2" s="1"/>
  <c r="J427" i="2"/>
  <c r="K427" i="2" s="1"/>
  <c r="L427" i="2" s="1"/>
  <c r="M427" i="2" s="1"/>
  <c r="J428" i="2"/>
  <c r="K428" i="2" s="1"/>
  <c r="L428" i="2" s="1"/>
  <c r="M428" i="2" s="1"/>
  <c r="J429" i="2"/>
  <c r="K429" i="2" s="1"/>
  <c r="L429" i="2" s="1"/>
  <c r="J430" i="2"/>
  <c r="K430" i="2" s="1"/>
  <c r="L430" i="2" s="1"/>
  <c r="M430" i="2" s="1"/>
  <c r="J431" i="2"/>
  <c r="K431" i="2" s="1"/>
  <c r="L431" i="2" s="1"/>
  <c r="M431" i="2" s="1"/>
  <c r="J432" i="2"/>
  <c r="K432" i="2" s="1"/>
  <c r="L432" i="2" s="1"/>
  <c r="M432" i="2" s="1"/>
  <c r="J433" i="2"/>
  <c r="K433" i="2" s="1"/>
  <c r="L433" i="2" s="1"/>
  <c r="J434" i="2"/>
  <c r="K434" i="2" s="1"/>
  <c r="L434" i="2" s="1"/>
  <c r="M434" i="2" s="1"/>
  <c r="J435" i="2"/>
  <c r="K435" i="2" s="1"/>
  <c r="L435" i="2" s="1"/>
  <c r="J436" i="2"/>
  <c r="K436" i="2" s="1"/>
  <c r="L436" i="2" s="1"/>
  <c r="M436" i="2" s="1"/>
  <c r="J437" i="2"/>
  <c r="K437" i="2" s="1"/>
  <c r="L437" i="2" s="1"/>
  <c r="M437" i="2" s="1"/>
  <c r="J438" i="2"/>
  <c r="K438" i="2" s="1"/>
  <c r="L438" i="2" s="1"/>
  <c r="M438" i="2" s="1"/>
  <c r="J439" i="2"/>
  <c r="K439" i="2" s="1"/>
  <c r="L439" i="2" s="1"/>
  <c r="M439" i="2" s="1"/>
  <c r="J440" i="2"/>
  <c r="K440" i="2" s="1"/>
  <c r="L440" i="2" s="1"/>
  <c r="M440" i="2" s="1"/>
  <c r="J441" i="2"/>
  <c r="K441" i="2" s="1"/>
  <c r="L441" i="2" s="1"/>
  <c r="J442" i="2"/>
  <c r="K442" i="2" s="1"/>
  <c r="L442" i="2" s="1"/>
  <c r="M442" i="2" s="1"/>
  <c r="J443" i="2"/>
  <c r="K443" i="2" s="1"/>
  <c r="L443" i="2" s="1"/>
  <c r="M443" i="2" s="1"/>
  <c r="J444" i="2"/>
  <c r="K444" i="2" s="1"/>
  <c r="L444" i="2" s="1"/>
  <c r="M444" i="2" s="1"/>
  <c r="J445" i="2"/>
  <c r="K445" i="2" s="1"/>
  <c r="L445" i="2" s="1"/>
  <c r="J446" i="2"/>
  <c r="K446" i="2" s="1"/>
  <c r="L446" i="2" s="1"/>
  <c r="M446" i="2" s="1"/>
  <c r="J447" i="2"/>
  <c r="K447" i="2" s="1"/>
  <c r="L447" i="2" s="1"/>
  <c r="J448" i="2"/>
  <c r="K448" i="2" s="1"/>
  <c r="L448" i="2" s="1"/>
  <c r="M448" i="2" s="1"/>
  <c r="J449" i="2"/>
  <c r="K449" i="2" s="1"/>
  <c r="L449" i="2" s="1"/>
  <c r="M449" i="2" s="1"/>
  <c r="J450" i="2"/>
  <c r="K450" i="2" s="1"/>
  <c r="L450" i="2" s="1"/>
  <c r="M450" i="2" s="1"/>
  <c r="J451" i="2"/>
  <c r="K451" i="2" s="1"/>
  <c r="L451" i="2" s="1"/>
  <c r="M451" i="2" s="1"/>
  <c r="J452" i="2"/>
  <c r="K452" i="2" s="1"/>
  <c r="L452" i="2" s="1"/>
  <c r="M452" i="2" s="1"/>
  <c r="J453" i="2"/>
  <c r="K453" i="2" s="1"/>
  <c r="L453" i="2" s="1"/>
  <c r="J454" i="2"/>
  <c r="K454" i="2" s="1"/>
  <c r="L454" i="2" s="1"/>
  <c r="M454" i="2" s="1"/>
  <c r="J455" i="2"/>
  <c r="K455" i="2" s="1"/>
  <c r="L455" i="2" s="1"/>
  <c r="M455" i="2" s="1"/>
  <c r="J456" i="2"/>
  <c r="K456" i="2" s="1"/>
  <c r="L456" i="2" s="1"/>
  <c r="M456" i="2" s="1"/>
  <c r="J457" i="2"/>
  <c r="K457" i="2" s="1"/>
  <c r="L457" i="2" s="1"/>
  <c r="J458" i="2"/>
  <c r="K458" i="2" s="1"/>
  <c r="L458" i="2" s="1"/>
  <c r="M458" i="2" s="1"/>
  <c r="J459" i="2"/>
  <c r="K459" i="2" s="1"/>
  <c r="L459" i="2" s="1"/>
  <c r="J460" i="2"/>
  <c r="K460" i="2" s="1"/>
  <c r="L460" i="2" s="1"/>
  <c r="M460" i="2" s="1"/>
  <c r="J461" i="2"/>
  <c r="K461" i="2" s="1"/>
  <c r="L461" i="2" s="1"/>
  <c r="M461" i="2" s="1"/>
  <c r="J462" i="2"/>
  <c r="K462" i="2" s="1"/>
  <c r="L462" i="2" s="1"/>
  <c r="M462" i="2" s="1"/>
  <c r="J463" i="2"/>
  <c r="K463" i="2" s="1"/>
  <c r="L463" i="2" s="1"/>
  <c r="M463" i="2" s="1"/>
  <c r="J464" i="2"/>
  <c r="K464" i="2" s="1"/>
  <c r="L464" i="2" s="1"/>
  <c r="M464" i="2" s="1"/>
  <c r="J465" i="2"/>
  <c r="K465" i="2" s="1"/>
  <c r="L465" i="2" s="1"/>
  <c r="J466" i="2"/>
  <c r="K466" i="2" s="1"/>
  <c r="L466" i="2" s="1"/>
  <c r="M466" i="2" s="1"/>
  <c r="J467" i="2"/>
  <c r="K467" i="2" s="1"/>
  <c r="L467" i="2" s="1"/>
  <c r="M467" i="2" s="1"/>
  <c r="J468" i="2"/>
  <c r="K468" i="2" s="1"/>
  <c r="L468" i="2" s="1"/>
  <c r="M468" i="2" s="1"/>
  <c r="J469" i="2"/>
  <c r="K469" i="2" s="1"/>
  <c r="L469" i="2" s="1"/>
  <c r="J470" i="2"/>
  <c r="K470" i="2" s="1"/>
  <c r="L470" i="2" s="1"/>
  <c r="M470" i="2" s="1"/>
  <c r="J471" i="2"/>
  <c r="K471" i="2" s="1"/>
  <c r="L471" i="2" s="1"/>
  <c r="J472" i="2"/>
  <c r="K472" i="2" s="1"/>
  <c r="L472" i="2" s="1"/>
  <c r="M472" i="2" s="1"/>
  <c r="J473" i="2"/>
  <c r="K473" i="2" s="1"/>
  <c r="L473" i="2" s="1"/>
  <c r="M473" i="2" s="1"/>
  <c r="J474" i="2"/>
  <c r="K474" i="2" s="1"/>
  <c r="L474" i="2" s="1"/>
  <c r="M474" i="2" s="1"/>
  <c r="J475" i="2"/>
  <c r="K475" i="2" s="1"/>
  <c r="L475" i="2" s="1"/>
  <c r="M475" i="2" s="1"/>
  <c r="J476" i="2"/>
  <c r="K476" i="2" s="1"/>
  <c r="L476" i="2" s="1"/>
  <c r="M476" i="2" s="1"/>
  <c r="J477" i="2"/>
  <c r="K477" i="2" s="1"/>
  <c r="L477" i="2" s="1"/>
  <c r="J478" i="2"/>
  <c r="K478" i="2" s="1"/>
  <c r="L478" i="2" s="1"/>
  <c r="M478" i="2" s="1"/>
  <c r="J479" i="2"/>
  <c r="K479" i="2" s="1"/>
  <c r="L479" i="2" s="1"/>
  <c r="M479" i="2" s="1"/>
  <c r="J480" i="2"/>
  <c r="K480" i="2" s="1"/>
  <c r="L480" i="2" s="1"/>
  <c r="M480" i="2" s="1"/>
  <c r="J481" i="2"/>
  <c r="K481" i="2" s="1"/>
  <c r="L481" i="2" s="1"/>
  <c r="J482" i="2"/>
  <c r="K482" i="2" s="1"/>
  <c r="L482" i="2" s="1"/>
  <c r="M482" i="2" s="1"/>
  <c r="J483" i="2"/>
  <c r="K483" i="2" s="1"/>
  <c r="L483" i="2" s="1"/>
  <c r="J484" i="2"/>
  <c r="K484" i="2" s="1"/>
  <c r="L484" i="2" s="1"/>
  <c r="M484" i="2" s="1"/>
  <c r="J485" i="2"/>
  <c r="K485" i="2" s="1"/>
  <c r="L485" i="2" s="1"/>
  <c r="M485" i="2" s="1"/>
  <c r="J486" i="2"/>
  <c r="K486" i="2" s="1"/>
  <c r="L486" i="2" s="1"/>
  <c r="M486" i="2" s="1"/>
  <c r="J487" i="2"/>
  <c r="K487" i="2" s="1"/>
  <c r="L487" i="2" s="1"/>
  <c r="M487" i="2" s="1"/>
  <c r="J488" i="2"/>
  <c r="K488" i="2" s="1"/>
  <c r="L488" i="2" s="1"/>
  <c r="M488" i="2" s="1"/>
  <c r="J489" i="2"/>
  <c r="K489" i="2" s="1"/>
  <c r="L489" i="2" s="1"/>
  <c r="J490" i="2"/>
  <c r="K490" i="2" s="1"/>
  <c r="L490" i="2" s="1"/>
  <c r="M490" i="2" s="1"/>
  <c r="J491" i="2"/>
  <c r="K491" i="2" s="1"/>
  <c r="L491" i="2" s="1"/>
  <c r="M491" i="2" s="1"/>
  <c r="J492" i="2"/>
  <c r="K492" i="2" s="1"/>
  <c r="L492" i="2" s="1"/>
  <c r="M492" i="2" s="1"/>
  <c r="J493" i="2"/>
  <c r="K493" i="2" s="1"/>
  <c r="L493" i="2" s="1"/>
  <c r="J494" i="2"/>
  <c r="K494" i="2" s="1"/>
  <c r="L494" i="2" s="1"/>
  <c r="M494" i="2" s="1"/>
  <c r="J495" i="2"/>
  <c r="K495" i="2" s="1"/>
  <c r="L495" i="2" s="1"/>
  <c r="J496" i="2"/>
  <c r="K496" i="2" s="1"/>
  <c r="L496" i="2" s="1"/>
  <c r="M496" i="2" s="1"/>
  <c r="J497" i="2"/>
  <c r="K497" i="2" s="1"/>
  <c r="L497" i="2" s="1"/>
  <c r="M497" i="2" s="1"/>
  <c r="J498" i="2"/>
  <c r="K498" i="2" s="1"/>
  <c r="L498" i="2" s="1"/>
  <c r="M498" i="2" s="1"/>
  <c r="J499" i="2"/>
  <c r="K499" i="2" s="1"/>
  <c r="L499" i="2" s="1"/>
  <c r="M499" i="2" s="1"/>
  <c r="J500" i="2"/>
  <c r="K500" i="2" s="1"/>
  <c r="L500" i="2" s="1"/>
  <c r="M500" i="2" s="1"/>
  <c r="J501" i="2"/>
  <c r="K501" i="2" s="1"/>
  <c r="L501" i="2" s="1"/>
  <c r="J502" i="2"/>
  <c r="K502" i="2" s="1"/>
  <c r="L502" i="2" s="1"/>
  <c r="M502" i="2" s="1"/>
  <c r="J503" i="2"/>
  <c r="K503" i="2" s="1"/>
  <c r="L503" i="2" s="1"/>
  <c r="M503" i="2" s="1"/>
  <c r="J504" i="2"/>
  <c r="K504" i="2" s="1"/>
  <c r="L504" i="2" s="1"/>
  <c r="M504" i="2" s="1"/>
  <c r="J505" i="2"/>
  <c r="K505" i="2" s="1"/>
  <c r="J506" i="2"/>
  <c r="K506" i="2" s="1"/>
  <c r="L506" i="2" s="1"/>
  <c r="M506" i="2" s="1"/>
  <c r="J507" i="2"/>
  <c r="K507" i="2" s="1"/>
  <c r="L507" i="2" s="1"/>
  <c r="J508" i="2"/>
  <c r="K508" i="2" s="1"/>
  <c r="L508" i="2" s="1"/>
  <c r="M508" i="2" s="1"/>
  <c r="J509" i="2"/>
  <c r="K509" i="2" s="1"/>
  <c r="L509" i="2" s="1"/>
  <c r="M509" i="2" s="1"/>
  <c r="J510" i="2"/>
  <c r="K510" i="2" s="1"/>
  <c r="L510" i="2" s="1"/>
  <c r="M510" i="2" s="1"/>
  <c r="J511" i="2"/>
  <c r="K511" i="2" s="1"/>
  <c r="L511" i="2" s="1"/>
  <c r="M511" i="2" s="1"/>
  <c r="J512" i="2"/>
  <c r="K512" i="2" s="1"/>
  <c r="L512" i="2" s="1"/>
  <c r="M512" i="2" s="1"/>
  <c r="J513" i="2"/>
  <c r="K513" i="2" s="1"/>
  <c r="L513" i="2" s="1"/>
  <c r="J514" i="2"/>
  <c r="K514" i="2" s="1"/>
  <c r="L514" i="2" s="1"/>
  <c r="M514" i="2" s="1"/>
  <c r="J515" i="2"/>
  <c r="K515" i="2" s="1"/>
  <c r="L515" i="2" s="1"/>
  <c r="M515" i="2" s="1"/>
  <c r="J516" i="2"/>
  <c r="K516" i="2" s="1"/>
  <c r="L516" i="2" s="1"/>
  <c r="M516" i="2" s="1"/>
  <c r="J517" i="2"/>
  <c r="K517" i="2" s="1"/>
  <c r="L517" i="2" s="1"/>
  <c r="J518" i="2"/>
  <c r="K518" i="2" s="1"/>
  <c r="L518" i="2" s="1"/>
  <c r="M518" i="2" s="1"/>
  <c r="J519" i="2"/>
  <c r="K519" i="2" s="1"/>
  <c r="L519" i="2" s="1"/>
  <c r="J520" i="2"/>
  <c r="K520" i="2" s="1"/>
  <c r="L520" i="2" s="1"/>
  <c r="M520" i="2" s="1"/>
  <c r="J521" i="2"/>
  <c r="K521" i="2" s="1"/>
  <c r="L521" i="2" s="1"/>
  <c r="M521" i="2" s="1"/>
  <c r="J522" i="2"/>
  <c r="K522" i="2" s="1"/>
  <c r="L522" i="2" s="1"/>
  <c r="M522" i="2" s="1"/>
  <c r="J523" i="2"/>
  <c r="K523" i="2" s="1"/>
  <c r="L523" i="2" s="1"/>
  <c r="M523" i="2" s="1"/>
  <c r="J524" i="2"/>
  <c r="K524" i="2" s="1"/>
  <c r="L524" i="2" s="1"/>
  <c r="M524" i="2" s="1"/>
  <c r="J525" i="2"/>
  <c r="K525" i="2" s="1"/>
  <c r="L525" i="2" s="1"/>
  <c r="J526" i="2"/>
  <c r="K526" i="2" s="1"/>
  <c r="L526" i="2" s="1"/>
  <c r="M526" i="2" s="1"/>
  <c r="J527" i="2"/>
  <c r="K527" i="2" s="1"/>
  <c r="L527" i="2" s="1"/>
  <c r="M527" i="2" s="1"/>
  <c r="J528" i="2"/>
  <c r="K528" i="2" s="1"/>
  <c r="L528" i="2" s="1"/>
  <c r="M528" i="2" s="1"/>
  <c r="J529" i="2"/>
  <c r="K529" i="2" s="1"/>
  <c r="L529" i="2" s="1"/>
  <c r="J530" i="2"/>
  <c r="K530" i="2" s="1"/>
  <c r="L530" i="2" s="1"/>
  <c r="M530" i="2" s="1"/>
  <c r="J531" i="2"/>
  <c r="K531" i="2" s="1"/>
  <c r="L531" i="2" s="1"/>
  <c r="J532" i="2"/>
  <c r="K532" i="2" s="1"/>
  <c r="L532" i="2" s="1"/>
  <c r="M532" i="2" s="1"/>
  <c r="J533" i="2"/>
  <c r="K533" i="2" s="1"/>
  <c r="L533" i="2" s="1"/>
  <c r="M533" i="2" s="1"/>
  <c r="J534" i="2"/>
  <c r="K534" i="2" s="1"/>
  <c r="L534" i="2" s="1"/>
  <c r="M534" i="2" s="1"/>
  <c r="J535" i="2"/>
  <c r="K535" i="2" s="1"/>
  <c r="L535" i="2" s="1"/>
  <c r="M535" i="2" s="1"/>
  <c r="J536" i="2"/>
  <c r="K536" i="2" s="1"/>
  <c r="L536" i="2" s="1"/>
  <c r="M536" i="2" s="1"/>
  <c r="J537" i="2"/>
  <c r="K537" i="2" s="1"/>
  <c r="L537" i="2" s="1"/>
  <c r="J538" i="2"/>
  <c r="K538" i="2" s="1"/>
  <c r="L538" i="2" s="1"/>
  <c r="M538" i="2" s="1"/>
  <c r="J539" i="2"/>
  <c r="K539" i="2" s="1"/>
  <c r="L539" i="2" s="1"/>
  <c r="M539" i="2" s="1"/>
  <c r="J540" i="2"/>
  <c r="K540" i="2" s="1"/>
  <c r="L540" i="2" s="1"/>
  <c r="M540" i="2" s="1"/>
  <c r="J541" i="2"/>
  <c r="K541" i="2" s="1"/>
  <c r="L541" i="2" s="1"/>
  <c r="J542" i="2"/>
  <c r="K542" i="2" s="1"/>
  <c r="L542" i="2" s="1"/>
  <c r="M542" i="2" s="1"/>
  <c r="J543" i="2"/>
  <c r="K543" i="2" s="1"/>
  <c r="L543" i="2" s="1"/>
  <c r="J544" i="2"/>
  <c r="K544" i="2" s="1"/>
  <c r="L544" i="2" s="1"/>
  <c r="M544" i="2" s="1"/>
  <c r="J545" i="2"/>
  <c r="K545" i="2" s="1"/>
  <c r="L545" i="2" s="1"/>
  <c r="M545" i="2" s="1"/>
  <c r="J546" i="2"/>
  <c r="K546" i="2" s="1"/>
  <c r="L546" i="2" s="1"/>
  <c r="M546" i="2" s="1"/>
  <c r="J547" i="2"/>
  <c r="K547" i="2" s="1"/>
  <c r="L547" i="2" s="1"/>
  <c r="M547" i="2" s="1"/>
  <c r="J548" i="2"/>
  <c r="K548" i="2" s="1"/>
  <c r="L548" i="2" s="1"/>
  <c r="M548" i="2" s="1"/>
  <c r="J549" i="2"/>
  <c r="K549" i="2" s="1"/>
  <c r="L549" i="2" s="1"/>
  <c r="J550" i="2"/>
  <c r="K550" i="2" s="1"/>
  <c r="L550" i="2" s="1"/>
  <c r="M550" i="2" s="1"/>
  <c r="J551" i="2"/>
  <c r="K551" i="2" s="1"/>
  <c r="L551" i="2" s="1"/>
  <c r="M551" i="2" s="1"/>
  <c r="J552" i="2"/>
  <c r="K552" i="2" s="1"/>
  <c r="L552" i="2" s="1"/>
  <c r="M552" i="2" s="1"/>
  <c r="J553" i="2"/>
  <c r="K553" i="2" s="1"/>
  <c r="L553" i="2" s="1"/>
  <c r="J554" i="2"/>
  <c r="K554" i="2" s="1"/>
  <c r="L554" i="2" s="1"/>
  <c r="M554" i="2" s="1"/>
  <c r="J555" i="2"/>
  <c r="K555" i="2" s="1"/>
  <c r="L555" i="2" s="1"/>
  <c r="J556" i="2"/>
  <c r="K556" i="2" s="1"/>
  <c r="L556" i="2" s="1"/>
  <c r="M556" i="2" s="1"/>
  <c r="J557" i="2"/>
  <c r="K557" i="2" s="1"/>
  <c r="L557" i="2" s="1"/>
  <c r="M557" i="2" s="1"/>
  <c r="J558" i="2"/>
  <c r="K558" i="2" s="1"/>
  <c r="L558" i="2" s="1"/>
  <c r="M558" i="2" s="1"/>
  <c r="J559" i="2"/>
  <c r="K559" i="2" s="1"/>
  <c r="L559" i="2" s="1"/>
  <c r="M559" i="2" s="1"/>
  <c r="J560" i="2"/>
  <c r="K560" i="2" s="1"/>
  <c r="L560" i="2" s="1"/>
  <c r="M560" i="2" s="1"/>
  <c r="J561" i="2"/>
  <c r="K561" i="2" s="1"/>
  <c r="L561" i="2" s="1"/>
  <c r="J562" i="2"/>
  <c r="K562" i="2" s="1"/>
  <c r="L562" i="2" s="1"/>
  <c r="M562" i="2" s="1"/>
  <c r="J563" i="2"/>
  <c r="K563" i="2" s="1"/>
  <c r="L563" i="2" s="1"/>
  <c r="M563" i="2" s="1"/>
  <c r="J564" i="2"/>
  <c r="K564" i="2" s="1"/>
  <c r="L564" i="2" s="1"/>
  <c r="M564" i="2" s="1"/>
  <c r="J565" i="2"/>
  <c r="K565" i="2" s="1"/>
  <c r="L565" i="2" s="1"/>
  <c r="J566" i="2"/>
  <c r="K566" i="2" s="1"/>
  <c r="L566" i="2" s="1"/>
  <c r="M566" i="2" s="1"/>
  <c r="J567" i="2"/>
  <c r="K567" i="2" s="1"/>
  <c r="L567" i="2" s="1"/>
  <c r="J568" i="2"/>
  <c r="K568" i="2" s="1"/>
  <c r="L568" i="2" s="1"/>
  <c r="M568" i="2" s="1"/>
  <c r="J569" i="2"/>
  <c r="K569" i="2" s="1"/>
  <c r="L569" i="2" s="1"/>
  <c r="M569" i="2" s="1"/>
  <c r="J570" i="2"/>
  <c r="K570" i="2" s="1"/>
  <c r="L570" i="2" s="1"/>
  <c r="M570" i="2" s="1"/>
  <c r="J571" i="2"/>
  <c r="K571" i="2" s="1"/>
  <c r="L571" i="2" s="1"/>
  <c r="M571" i="2" s="1"/>
  <c r="J572" i="2"/>
  <c r="K572" i="2" s="1"/>
  <c r="L572" i="2" s="1"/>
  <c r="M572" i="2" s="1"/>
  <c r="J573" i="2"/>
  <c r="K573" i="2" s="1"/>
  <c r="L573" i="2" s="1"/>
  <c r="J574" i="2"/>
  <c r="K574" i="2" s="1"/>
  <c r="L574" i="2" s="1"/>
  <c r="M574" i="2" s="1"/>
  <c r="J575" i="2"/>
  <c r="K575" i="2" s="1"/>
  <c r="L575" i="2" s="1"/>
  <c r="M575" i="2" s="1"/>
  <c r="J576" i="2"/>
  <c r="K576" i="2" s="1"/>
  <c r="L576" i="2" s="1"/>
  <c r="M576" i="2" s="1"/>
  <c r="J577" i="2"/>
  <c r="K577" i="2" s="1"/>
  <c r="J578" i="2"/>
  <c r="K578" i="2" s="1"/>
  <c r="L578" i="2" s="1"/>
  <c r="M578" i="2" s="1"/>
  <c r="J579" i="2"/>
  <c r="K579" i="2" s="1"/>
  <c r="L579" i="2" s="1"/>
  <c r="J580" i="2"/>
  <c r="K580" i="2" s="1"/>
  <c r="L580" i="2" s="1"/>
  <c r="M580" i="2" s="1"/>
  <c r="J581" i="2"/>
  <c r="K581" i="2" s="1"/>
  <c r="L581" i="2" s="1"/>
  <c r="M581" i="2" s="1"/>
  <c r="J582" i="2"/>
  <c r="K582" i="2" s="1"/>
  <c r="L582" i="2" s="1"/>
  <c r="M582" i="2" s="1"/>
  <c r="J583" i="2"/>
  <c r="K583" i="2" s="1"/>
  <c r="L583" i="2" s="1"/>
  <c r="M583" i="2" s="1"/>
  <c r="J584" i="2"/>
  <c r="K584" i="2" s="1"/>
  <c r="L584" i="2" s="1"/>
  <c r="M584" i="2" s="1"/>
  <c r="J585" i="2"/>
  <c r="K585" i="2" s="1"/>
  <c r="L585" i="2" s="1"/>
  <c r="J586" i="2"/>
  <c r="K586" i="2" s="1"/>
  <c r="L586" i="2" s="1"/>
  <c r="M586" i="2" s="1"/>
  <c r="J587" i="2"/>
  <c r="K587" i="2" s="1"/>
  <c r="L587" i="2" s="1"/>
  <c r="M587" i="2" s="1"/>
  <c r="J588" i="2"/>
  <c r="K588" i="2" s="1"/>
  <c r="L588" i="2" s="1"/>
  <c r="M588" i="2" s="1"/>
  <c r="J589" i="2"/>
  <c r="K589" i="2" s="1"/>
  <c r="L589" i="2" s="1"/>
  <c r="J590" i="2"/>
  <c r="K590" i="2" s="1"/>
  <c r="L590" i="2" s="1"/>
  <c r="M590" i="2" s="1"/>
  <c r="J591" i="2"/>
  <c r="K591" i="2" s="1"/>
  <c r="L591" i="2" s="1"/>
  <c r="J592" i="2"/>
  <c r="K592" i="2" s="1"/>
  <c r="L592" i="2" s="1"/>
  <c r="M592" i="2" s="1"/>
  <c r="J593" i="2"/>
  <c r="K593" i="2" s="1"/>
  <c r="L593" i="2" s="1"/>
  <c r="M593" i="2" s="1"/>
  <c r="J594" i="2"/>
  <c r="K594" i="2" s="1"/>
  <c r="L594" i="2" s="1"/>
  <c r="M594" i="2" s="1"/>
  <c r="J595" i="2"/>
  <c r="K595" i="2" s="1"/>
  <c r="L595" i="2" s="1"/>
  <c r="M595" i="2" s="1"/>
  <c r="J596" i="2"/>
  <c r="K596" i="2" s="1"/>
  <c r="L596" i="2" s="1"/>
  <c r="M596" i="2" s="1"/>
  <c r="J597" i="2"/>
  <c r="K597" i="2" s="1"/>
  <c r="L597" i="2" s="1"/>
  <c r="J598" i="2"/>
  <c r="K598" i="2" s="1"/>
  <c r="L598" i="2" s="1"/>
  <c r="M598" i="2" s="1"/>
  <c r="J599" i="2"/>
  <c r="K599" i="2" s="1"/>
  <c r="L599" i="2" s="1"/>
  <c r="M599" i="2" s="1"/>
  <c r="J600" i="2"/>
  <c r="K600" i="2" s="1"/>
  <c r="L600" i="2" s="1"/>
  <c r="M600" i="2" s="1"/>
  <c r="J601" i="2"/>
  <c r="K601" i="2" s="1"/>
  <c r="L601" i="2" s="1"/>
  <c r="B10" i="4"/>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F8" i="5"/>
  <c r="J47" i="5"/>
  <c r="J46" i="5"/>
  <c r="J45" i="5"/>
  <c r="J41" i="5"/>
  <c r="J40" i="5"/>
  <c r="J39" i="5"/>
  <c r="B27" i="4"/>
  <c r="B23" i="4"/>
  <c r="B19" i="4"/>
  <c r="B17" i="4" l="1"/>
  <c r="B11" i="4"/>
  <c r="B12" i="4" s="1"/>
  <c r="B9" i="4"/>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B6" i="4"/>
  <c r="B5" i="4"/>
  <c r="B4" i="4"/>
  <c r="B3" i="4"/>
  <c r="F4" i="5" s="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F7" i="5"/>
  <c r="F6" i="5" l="1"/>
  <c r="B7" i="4"/>
  <c r="B8" i="4"/>
</calcChain>
</file>

<file path=xl/sharedStrings.xml><?xml version="1.0" encoding="utf-8"?>
<sst xmlns="http://schemas.openxmlformats.org/spreadsheetml/2006/main" count="3909" uniqueCount="896">
  <si>
    <t>Lease_ID</t>
  </si>
  <si>
    <t>Property_ID</t>
  </si>
  <si>
    <t>Tenant_ID</t>
  </si>
  <si>
    <t>Lease_Start</t>
  </si>
  <si>
    <t>Lease_End</t>
  </si>
  <si>
    <t>Monthly_Rent</t>
  </si>
  <si>
    <t>Security_Deposit</t>
  </si>
  <si>
    <t>Escalation_%</t>
  </si>
  <si>
    <t>Renewal_Status</t>
  </si>
  <si>
    <t>L001</t>
  </si>
  <si>
    <t>P125</t>
  </si>
  <si>
    <t>T001</t>
  </si>
  <si>
    <t>Active</t>
  </si>
  <si>
    <t>L002</t>
  </si>
  <si>
    <t>P075</t>
  </si>
  <si>
    <t>T002</t>
  </si>
  <si>
    <t>Renewed</t>
  </si>
  <si>
    <t>L003</t>
  </si>
  <si>
    <t>P067</t>
  </si>
  <si>
    <t>T003</t>
  </si>
  <si>
    <t>Expired</t>
  </si>
  <si>
    <t>L004</t>
  </si>
  <si>
    <t>P040</t>
  </si>
  <si>
    <t>T004</t>
  </si>
  <si>
    <t>L005</t>
  </si>
  <si>
    <t>P054</t>
  </si>
  <si>
    <t>T005</t>
  </si>
  <si>
    <t>L006</t>
  </si>
  <si>
    <t>P016</t>
  </si>
  <si>
    <t>T006</t>
  </si>
  <si>
    <t>L007</t>
  </si>
  <si>
    <t>P008</t>
  </si>
  <si>
    <t>T007</t>
  </si>
  <si>
    <t>L008</t>
  </si>
  <si>
    <t>P081</t>
  </si>
  <si>
    <t>T008</t>
  </si>
  <si>
    <t>L009</t>
  </si>
  <si>
    <t>P126</t>
  </si>
  <si>
    <t>T009</t>
  </si>
  <si>
    <t>L010</t>
  </si>
  <si>
    <t>P033</t>
  </si>
  <si>
    <t>T010</t>
  </si>
  <si>
    <t>L011</t>
  </si>
  <si>
    <t>P009</t>
  </si>
  <si>
    <t>T011</t>
  </si>
  <si>
    <t>L012</t>
  </si>
  <si>
    <t>T012</t>
  </si>
  <si>
    <t>L013</t>
  </si>
  <si>
    <t>P026</t>
  </si>
  <si>
    <t>T013</t>
  </si>
  <si>
    <t>L014</t>
  </si>
  <si>
    <t>P059</t>
  </si>
  <si>
    <t>T014</t>
  </si>
  <si>
    <t>L015</t>
  </si>
  <si>
    <t>P094</t>
  </si>
  <si>
    <t>T015</t>
  </si>
  <si>
    <t>L016</t>
  </si>
  <si>
    <t>P100</t>
  </si>
  <si>
    <t>T016</t>
  </si>
  <si>
    <t>L017</t>
  </si>
  <si>
    <t>T017</t>
  </si>
  <si>
    <t>L018</t>
  </si>
  <si>
    <t>P056</t>
  </si>
  <si>
    <t>T018</t>
  </si>
  <si>
    <t>L019</t>
  </si>
  <si>
    <t>P136</t>
  </si>
  <si>
    <t>T019</t>
  </si>
  <si>
    <t>L020</t>
  </si>
  <si>
    <t>P138</t>
  </si>
  <si>
    <t>T020</t>
  </si>
  <si>
    <t>L021</t>
  </si>
  <si>
    <t>P041</t>
  </si>
  <si>
    <t>T021</t>
  </si>
  <si>
    <t>L022</t>
  </si>
  <si>
    <t>P147</t>
  </si>
  <si>
    <t>T022</t>
  </si>
  <si>
    <t>L023</t>
  </si>
  <si>
    <t>P068</t>
  </si>
  <si>
    <t>T023</t>
  </si>
  <si>
    <t>L024</t>
  </si>
  <si>
    <t>T024</t>
  </si>
  <si>
    <t>L025</t>
  </si>
  <si>
    <t>T025</t>
  </si>
  <si>
    <t>L026</t>
  </si>
  <si>
    <t>P053</t>
  </si>
  <si>
    <t>T026</t>
  </si>
  <si>
    <t>L027</t>
  </si>
  <si>
    <t>P004</t>
  </si>
  <si>
    <t>T027</t>
  </si>
  <si>
    <t>L028</t>
  </si>
  <si>
    <t>P121</t>
  </si>
  <si>
    <t>T028</t>
  </si>
  <si>
    <t>L029</t>
  </si>
  <si>
    <t>P039</t>
  </si>
  <si>
    <t>T029</t>
  </si>
  <si>
    <t>L030</t>
  </si>
  <si>
    <t>P116</t>
  </si>
  <si>
    <t>T030</t>
  </si>
  <si>
    <t>L031</t>
  </si>
  <si>
    <t>P141</t>
  </si>
  <si>
    <t>T031</t>
  </si>
  <si>
    <t>L032</t>
  </si>
  <si>
    <t>P144</t>
  </si>
  <si>
    <t>T032</t>
  </si>
  <si>
    <t>L033</t>
  </si>
  <si>
    <t>P045</t>
  </si>
  <si>
    <t>T033</t>
  </si>
  <si>
    <t>L034</t>
  </si>
  <si>
    <t>P101</t>
  </si>
  <si>
    <t>T034</t>
  </si>
  <si>
    <t>L035</t>
  </si>
  <si>
    <t>T035</t>
  </si>
  <si>
    <t>L036</t>
  </si>
  <si>
    <t>P005</t>
  </si>
  <si>
    <t>T036</t>
  </si>
  <si>
    <t>L037</t>
  </si>
  <si>
    <t>P114</t>
  </si>
  <si>
    <t>T037</t>
  </si>
  <si>
    <t>L038</t>
  </si>
  <si>
    <t>P038</t>
  </si>
  <si>
    <t>T038</t>
  </si>
  <si>
    <t>L039</t>
  </si>
  <si>
    <t>P146</t>
  </si>
  <si>
    <t>T039</t>
  </si>
  <si>
    <t>L040</t>
  </si>
  <si>
    <t>P086</t>
  </si>
  <si>
    <t>T040</t>
  </si>
  <si>
    <t>L041</t>
  </si>
  <si>
    <t>P135</t>
  </si>
  <si>
    <t>T041</t>
  </si>
  <si>
    <t>L042</t>
  </si>
  <si>
    <t>T042</t>
  </si>
  <si>
    <t>L043</t>
  </si>
  <si>
    <t>T043</t>
  </si>
  <si>
    <t>L044</t>
  </si>
  <si>
    <t>P065</t>
  </si>
  <si>
    <t>T044</t>
  </si>
  <si>
    <t>L045</t>
  </si>
  <si>
    <t>P150</t>
  </si>
  <si>
    <t>T045</t>
  </si>
  <si>
    <t>L046</t>
  </si>
  <si>
    <t>P124</t>
  </si>
  <si>
    <t>T046</t>
  </si>
  <si>
    <t>L047</t>
  </si>
  <si>
    <t>P096</t>
  </si>
  <si>
    <t>T047</t>
  </si>
  <si>
    <t>L048</t>
  </si>
  <si>
    <t>P127</t>
  </si>
  <si>
    <t>T048</t>
  </si>
  <si>
    <t>L049</t>
  </si>
  <si>
    <t>T049</t>
  </si>
  <si>
    <t>L050</t>
  </si>
  <si>
    <t>P013</t>
  </si>
  <si>
    <t>T050</t>
  </si>
  <si>
    <t>L051</t>
  </si>
  <si>
    <t>T051</t>
  </si>
  <si>
    <t>L052</t>
  </si>
  <si>
    <t>P079</t>
  </si>
  <si>
    <t>T052</t>
  </si>
  <si>
    <t>L053</t>
  </si>
  <si>
    <t>P102</t>
  </si>
  <si>
    <t>T053</t>
  </si>
  <si>
    <t>L054</t>
  </si>
  <si>
    <t>P011</t>
  </si>
  <si>
    <t>T054</t>
  </si>
  <si>
    <t>L055</t>
  </si>
  <si>
    <t>P069</t>
  </si>
  <si>
    <t>T055</t>
  </si>
  <si>
    <t>L056</t>
  </si>
  <si>
    <t>P062</t>
  </si>
  <si>
    <t>T056</t>
  </si>
  <si>
    <t>L057</t>
  </si>
  <si>
    <t>T057</t>
  </si>
  <si>
    <t>L058</t>
  </si>
  <si>
    <t>P139</t>
  </si>
  <si>
    <t>T058</t>
  </si>
  <si>
    <t>L059</t>
  </si>
  <si>
    <t>P133</t>
  </si>
  <si>
    <t>T059</t>
  </si>
  <si>
    <t>L060</t>
  </si>
  <si>
    <t>T060</t>
  </si>
  <si>
    <t>L061</t>
  </si>
  <si>
    <t>P130</t>
  </si>
  <si>
    <t>T061</t>
  </si>
  <si>
    <t>L062</t>
  </si>
  <si>
    <t>T062</t>
  </si>
  <si>
    <t>L063</t>
  </si>
  <si>
    <t>P118</t>
  </si>
  <si>
    <t>T063</t>
  </si>
  <si>
    <t>L064</t>
  </si>
  <si>
    <t>T064</t>
  </si>
  <si>
    <t>L065</t>
  </si>
  <si>
    <t>P097</t>
  </si>
  <si>
    <t>T065</t>
  </si>
  <si>
    <t>L066</t>
  </si>
  <si>
    <t>P108</t>
  </si>
  <si>
    <t>T066</t>
  </si>
  <si>
    <t>L067</t>
  </si>
  <si>
    <t>P034</t>
  </si>
  <si>
    <t>T067</t>
  </si>
  <si>
    <t>L068</t>
  </si>
  <si>
    <t>P106</t>
  </si>
  <si>
    <t>T068</t>
  </si>
  <si>
    <t>L069</t>
  </si>
  <si>
    <t>P091</t>
  </si>
  <si>
    <t>T069</t>
  </si>
  <si>
    <t>L070</t>
  </si>
  <si>
    <t>P115</t>
  </si>
  <si>
    <t>T070</t>
  </si>
  <si>
    <t>L071</t>
  </si>
  <si>
    <t>P058</t>
  </si>
  <si>
    <t>T071</t>
  </si>
  <si>
    <t>L072</t>
  </si>
  <si>
    <t>P035</t>
  </si>
  <si>
    <t>T072</t>
  </si>
  <si>
    <t>L073</t>
  </si>
  <si>
    <t>T073</t>
  </si>
  <si>
    <t>L074</t>
  </si>
  <si>
    <t>T074</t>
  </si>
  <si>
    <t>L075</t>
  </si>
  <si>
    <t>P049</t>
  </si>
  <si>
    <t>T075</t>
  </si>
  <si>
    <t>L076</t>
  </si>
  <si>
    <t>T076</t>
  </si>
  <si>
    <t>L077</t>
  </si>
  <si>
    <t>T077</t>
  </si>
  <si>
    <t>L078</t>
  </si>
  <si>
    <t>P132</t>
  </si>
  <si>
    <t>T078</t>
  </si>
  <si>
    <t>L079</t>
  </si>
  <si>
    <t>P078</t>
  </si>
  <si>
    <t>T079</t>
  </si>
  <si>
    <t>L080</t>
  </si>
  <si>
    <t>P031</t>
  </si>
  <si>
    <t>T080</t>
  </si>
  <si>
    <t>L081</t>
  </si>
  <si>
    <t>P131</t>
  </si>
  <si>
    <t>T081</t>
  </si>
  <si>
    <t>L082</t>
  </si>
  <si>
    <t>P044</t>
  </si>
  <si>
    <t>T082</t>
  </si>
  <si>
    <t>L083</t>
  </si>
  <si>
    <t>P092</t>
  </si>
  <si>
    <t>T083</t>
  </si>
  <si>
    <t>L084</t>
  </si>
  <si>
    <t>T084</t>
  </si>
  <si>
    <t>L085</t>
  </si>
  <si>
    <t>T085</t>
  </si>
  <si>
    <t>L086</t>
  </si>
  <si>
    <t>T086</t>
  </si>
  <si>
    <t>L087</t>
  </si>
  <si>
    <t>T087</t>
  </si>
  <si>
    <t>L088</t>
  </si>
  <si>
    <t>T088</t>
  </si>
  <si>
    <t>L089</t>
  </si>
  <si>
    <t>T089</t>
  </si>
  <si>
    <t>L090</t>
  </si>
  <si>
    <t>P074</t>
  </si>
  <si>
    <t>T090</t>
  </si>
  <si>
    <t>L091</t>
  </si>
  <si>
    <t>T091</t>
  </si>
  <si>
    <t>L092</t>
  </si>
  <si>
    <t>T092</t>
  </si>
  <si>
    <t>L093</t>
  </si>
  <si>
    <t>T093</t>
  </si>
  <si>
    <t>L094</t>
  </si>
  <si>
    <t>T094</t>
  </si>
  <si>
    <t>L095</t>
  </si>
  <si>
    <t>T095</t>
  </si>
  <si>
    <t>L096</t>
  </si>
  <si>
    <t>T096</t>
  </si>
  <si>
    <t>L097</t>
  </si>
  <si>
    <t>P052</t>
  </si>
  <si>
    <t>T097</t>
  </si>
  <si>
    <t>L098</t>
  </si>
  <si>
    <t>T098</t>
  </si>
  <si>
    <t>L099</t>
  </si>
  <si>
    <t>T099</t>
  </si>
  <si>
    <t>L100</t>
  </si>
  <si>
    <t>T100</t>
  </si>
  <si>
    <t>L101</t>
  </si>
  <si>
    <t>P145</t>
  </si>
  <si>
    <t>T101</t>
  </si>
  <si>
    <t>L102</t>
  </si>
  <si>
    <t>T102</t>
  </si>
  <si>
    <t>L103</t>
  </si>
  <si>
    <t>P105</t>
  </si>
  <si>
    <t>T103</t>
  </si>
  <si>
    <t>L104</t>
  </si>
  <si>
    <t>T104</t>
  </si>
  <si>
    <t>L105</t>
  </si>
  <si>
    <t>T105</t>
  </si>
  <si>
    <t>L106</t>
  </si>
  <si>
    <t>T106</t>
  </si>
  <si>
    <t>L107</t>
  </si>
  <si>
    <t>P129</t>
  </si>
  <si>
    <t>T107</t>
  </si>
  <si>
    <t>L108</t>
  </si>
  <si>
    <t>T108</t>
  </si>
  <si>
    <t>L109</t>
  </si>
  <si>
    <t>P027</t>
  </si>
  <si>
    <t>T109</t>
  </si>
  <si>
    <t>L110</t>
  </si>
  <si>
    <t>P061</t>
  </si>
  <si>
    <t>T110</t>
  </si>
  <si>
    <t>L111</t>
  </si>
  <si>
    <t>T111</t>
  </si>
  <si>
    <t>L112</t>
  </si>
  <si>
    <t>T112</t>
  </si>
  <si>
    <t>L113</t>
  </si>
  <si>
    <t>T113</t>
  </si>
  <si>
    <t>L114</t>
  </si>
  <si>
    <t>T114</t>
  </si>
  <si>
    <t>L115</t>
  </si>
  <si>
    <t>P085</t>
  </si>
  <si>
    <t>T115</t>
  </si>
  <si>
    <t>L116</t>
  </si>
  <si>
    <t>P010</t>
  </si>
  <si>
    <t>T116</t>
  </si>
  <si>
    <t>L117</t>
  </si>
  <si>
    <t>T117</t>
  </si>
  <si>
    <t>L118</t>
  </si>
  <si>
    <t>P095</t>
  </si>
  <si>
    <t>T118</t>
  </si>
  <si>
    <t>L119</t>
  </si>
  <si>
    <t>T119</t>
  </si>
  <si>
    <t>L120</t>
  </si>
  <si>
    <t>T120</t>
  </si>
  <si>
    <t>L121</t>
  </si>
  <si>
    <t>P120</t>
  </si>
  <si>
    <t>T121</t>
  </si>
  <si>
    <t>L122</t>
  </si>
  <si>
    <t>T122</t>
  </si>
  <si>
    <t>L123</t>
  </si>
  <si>
    <t>T123</t>
  </si>
  <si>
    <t>L124</t>
  </si>
  <si>
    <t>P051</t>
  </si>
  <si>
    <t>T124</t>
  </si>
  <si>
    <t>L125</t>
  </si>
  <si>
    <t>T125</t>
  </si>
  <si>
    <t>L126</t>
  </si>
  <si>
    <t>T126</t>
  </si>
  <si>
    <t>L127</t>
  </si>
  <si>
    <t>P047</t>
  </si>
  <si>
    <t>T127</t>
  </si>
  <si>
    <t>L128</t>
  </si>
  <si>
    <t>P060</t>
  </si>
  <si>
    <t>T128</t>
  </si>
  <si>
    <t>L129</t>
  </si>
  <si>
    <t>P050</t>
  </si>
  <si>
    <t>T129</t>
  </si>
  <si>
    <t>L130</t>
  </si>
  <si>
    <t>T130</t>
  </si>
  <si>
    <t>L131</t>
  </si>
  <si>
    <t>P012</t>
  </si>
  <si>
    <t>T131</t>
  </si>
  <si>
    <t>L132</t>
  </si>
  <si>
    <t>T132</t>
  </si>
  <si>
    <t>L133</t>
  </si>
  <si>
    <t>P024</t>
  </si>
  <si>
    <t>T133</t>
  </si>
  <si>
    <t>L134</t>
  </si>
  <si>
    <t>P002</t>
  </si>
  <si>
    <t>T134</t>
  </si>
  <si>
    <t>L135</t>
  </si>
  <si>
    <t>P007</t>
  </si>
  <si>
    <t>T135</t>
  </si>
  <si>
    <t>L136</t>
  </si>
  <si>
    <t>T136</t>
  </si>
  <si>
    <t>L137</t>
  </si>
  <si>
    <t>P117</t>
  </si>
  <si>
    <t>T137</t>
  </si>
  <si>
    <t>L138</t>
  </si>
  <si>
    <t>T138</t>
  </si>
  <si>
    <t>L139</t>
  </si>
  <si>
    <t>P042</t>
  </si>
  <si>
    <t>T139</t>
  </si>
  <si>
    <t>L140</t>
  </si>
  <si>
    <t>T140</t>
  </si>
  <si>
    <t>L141</t>
  </si>
  <si>
    <t>T141</t>
  </si>
  <si>
    <t>L142</t>
  </si>
  <si>
    <t>T142</t>
  </si>
  <si>
    <t>L143</t>
  </si>
  <si>
    <t>T143</t>
  </si>
  <si>
    <t>L144</t>
  </si>
  <si>
    <t>T144</t>
  </si>
  <si>
    <t>L145</t>
  </si>
  <si>
    <t>T145</t>
  </si>
  <si>
    <t>L146</t>
  </si>
  <si>
    <t>P134</t>
  </si>
  <si>
    <t>T146</t>
  </si>
  <si>
    <t>L147</t>
  </si>
  <si>
    <t>P066</t>
  </si>
  <si>
    <t>T147</t>
  </si>
  <si>
    <t>L148</t>
  </si>
  <si>
    <t>T148</t>
  </si>
  <si>
    <t>L149</t>
  </si>
  <si>
    <t>T149</t>
  </si>
  <si>
    <t>L150</t>
  </si>
  <si>
    <t>P037</t>
  </si>
  <si>
    <t>T150</t>
  </si>
  <si>
    <t>L151</t>
  </si>
  <si>
    <t>T151</t>
  </si>
  <si>
    <t>L152</t>
  </si>
  <si>
    <t>T152</t>
  </si>
  <si>
    <t>L153</t>
  </si>
  <si>
    <t>T153</t>
  </si>
  <si>
    <t>L154</t>
  </si>
  <si>
    <t>P084</t>
  </si>
  <si>
    <t>T154</t>
  </si>
  <si>
    <t>L155</t>
  </si>
  <si>
    <t>P014</t>
  </si>
  <si>
    <t>T155</t>
  </si>
  <si>
    <t>L156</t>
  </si>
  <si>
    <t>T156</t>
  </si>
  <si>
    <t>L157</t>
  </si>
  <si>
    <t>P019</t>
  </si>
  <si>
    <t>T157</t>
  </si>
  <si>
    <t>L158</t>
  </si>
  <si>
    <t>T158</t>
  </si>
  <si>
    <t>L159</t>
  </si>
  <si>
    <t>P110</t>
  </si>
  <si>
    <t>T159</t>
  </si>
  <si>
    <t>L160</t>
  </si>
  <si>
    <t>T160</t>
  </si>
  <si>
    <t>L161</t>
  </si>
  <si>
    <t>T161</t>
  </si>
  <si>
    <t>L162</t>
  </si>
  <si>
    <t>P080</t>
  </si>
  <si>
    <t>T162</t>
  </si>
  <si>
    <t>L163</t>
  </si>
  <si>
    <t>P025</t>
  </si>
  <si>
    <t>T163</t>
  </si>
  <si>
    <t>L164</t>
  </si>
  <si>
    <t>T164</t>
  </si>
  <si>
    <t>L165</t>
  </si>
  <si>
    <t>T165</t>
  </si>
  <si>
    <t>L166</t>
  </si>
  <si>
    <t>T166</t>
  </si>
  <si>
    <t>L167</t>
  </si>
  <si>
    <t>P090</t>
  </si>
  <si>
    <t>T167</t>
  </si>
  <si>
    <t>L168</t>
  </si>
  <si>
    <t>T168</t>
  </si>
  <si>
    <t>L169</t>
  </si>
  <si>
    <t>T169</t>
  </si>
  <si>
    <t>L170</t>
  </si>
  <si>
    <t>T170</t>
  </si>
  <si>
    <t>L171</t>
  </si>
  <si>
    <t>T171</t>
  </si>
  <si>
    <t>L172</t>
  </si>
  <si>
    <t>T172</t>
  </si>
  <si>
    <t>L173</t>
  </si>
  <si>
    <t>T173</t>
  </si>
  <si>
    <t>L174</t>
  </si>
  <si>
    <t>P142</t>
  </si>
  <si>
    <t>T174</t>
  </si>
  <si>
    <t>L175</t>
  </si>
  <si>
    <t>T175</t>
  </si>
  <si>
    <t>L176</t>
  </si>
  <si>
    <t>T176</t>
  </si>
  <si>
    <t>L177</t>
  </si>
  <si>
    <t>P140</t>
  </si>
  <si>
    <t>T177</t>
  </si>
  <si>
    <t>L178</t>
  </si>
  <si>
    <t>P003</t>
  </si>
  <si>
    <t>T178</t>
  </si>
  <si>
    <t>L179</t>
  </si>
  <si>
    <t>T179</t>
  </si>
  <si>
    <t>L180</t>
  </si>
  <si>
    <t>P046</t>
  </si>
  <si>
    <t>T180</t>
  </si>
  <si>
    <t>L181</t>
  </si>
  <si>
    <t>T181</t>
  </si>
  <si>
    <t>L182</t>
  </si>
  <si>
    <t>T182</t>
  </si>
  <si>
    <t>L183</t>
  </si>
  <si>
    <t>T183</t>
  </si>
  <si>
    <t>L184</t>
  </si>
  <si>
    <t>T184</t>
  </si>
  <si>
    <t>L185</t>
  </si>
  <si>
    <t>T185</t>
  </si>
  <si>
    <t>L186</t>
  </si>
  <si>
    <t>P088</t>
  </si>
  <si>
    <t>T186</t>
  </si>
  <si>
    <t>L187</t>
  </si>
  <si>
    <t>T187</t>
  </si>
  <si>
    <t>L188</t>
  </si>
  <si>
    <t>P036</t>
  </si>
  <si>
    <t>T188</t>
  </si>
  <si>
    <t>L189</t>
  </si>
  <si>
    <t>T189</t>
  </si>
  <si>
    <t>L190</t>
  </si>
  <si>
    <t>P055</t>
  </si>
  <si>
    <t>T190</t>
  </si>
  <si>
    <t>L191</t>
  </si>
  <si>
    <t>T191</t>
  </si>
  <si>
    <t>L192</t>
  </si>
  <si>
    <t>T192</t>
  </si>
  <si>
    <t>L193</t>
  </si>
  <si>
    <t>P089</t>
  </si>
  <si>
    <t>T193</t>
  </si>
  <si>
    <t>L194</t>
  </si>
  <si>
    <t>T194</t>
  </si>
  <si>
    <t>L195</t>
  </si>
  <si>
    <t>T195</t>
  </si>
  <si>
    <t>L196</t>
  </si>
  <si>
    <t>T196</t>
  </si>
  <si>
    <t>L197</t>
  </si>
  <si>
    <t>T197</t>
  </si>
  <si>
    <t>L198</t>
  </si>
  <si>
    <t>T198</t>
  </si>
  <si>
    <t>L199</t>
  </si>
  <si>
    <t>T199</t>
  </si>
  <si>
    <t>L200</t>
  </si>
  <si>
    <t>P023</t>
  </si>
  <si>
    <t>T200</t>
  </si>
  <si>
    <t>L201</t>
  </si>
  <si>
    <t>T201</t>
  </si>
  <si>
    <t>L202</t>
  </si>
  <si>
    <t>T202</t>
  </si>
  <si>
    <t>L203</t>
  </si>
  <si>
    <t>P077</t>
  </si>
  <si>
    <t>T203</t>
  </si>
  <si>
    <t>L204</t>
  </si>
  <si>
    <t>T204</t>
  </si>
  <si>
    <t>L205</t>
  </si>
  <si>
    <t>P087</t>
  </si>
  <si>
    <t>T205</t>
  </si>
  <si>
    <t>L206</t>
  </si>
  <si>
    <t>T206</t>
  </si>
  <si>
    <t>L207</t>
  </si>
  <si>
    <t>T207</t>
  </si>
  <si>
    <t>L208</t>
  </si>
  <si>
    <t>T208</t>
  </si>
  <si>
    <t>L209</t>
  </si>
  <si>
    <t>T209</t>
  </si>
  <si>
    <t>L210</t>
  </si>
  <si>
    <t>T210</t>
  </si>
  <si>
    <t>L211</t>
  </si>
  <si>
    <t>P099</t>
  </si>
  <si>
    <t>T211</t>
  </si>
  <si>
    <t>L212</t>
  </si>
  <si>
    <t>P064</t>
  </si>
  <si>
    <t>T212</t>
  </si>
  <si>
    <t>L213</t>
  </si>
  <si>
    <t>T213</t>
  </si>
  <si>
    <t>L214</t>
  </si>
  <si>
    <t>P076</t>
  </si>
  <si>
    <t>T214</t>
  </si>
  <si>
    <t>L215</t>
  </si>
  <si>
    <t>T215</t>
  </si>
  <si>
    <t>L216</t>
  </si>
  <si>
    <t>T216</t>
  </si>
  <si>
    <t>L217</t>
  </si>
  <si>
    <t>T217</t>
  </si>
  <si>
    <t>L218</t>
  </si>
  <si>
    <t>T218</t>
  </si>
  <si>
    <t>L219</t>
  </si>
  <si>
    <t>P113</t>
  </si>
  <si>
    <t>T219</t>
  </si>
  <si>
    <t>L220</t>
  </si>
  <si>
    <t>T220</t>
  </si>
  <si>
    <t>L221</t>
  </si>
  <si>
    <t>T221</t>
  </si>
  <si>
    <t>L222</t>
  </si>
  <si>
    <t>P093</t>
  </si>
  <si>
    <t>T222</t>
  </si>
  <si>
    <t>L223</t>
  </si>
  <si>
    <t>P149</t>
  </si>
  <si>
    <t>T223</t>
  </si>
  <si>
    <t>L224</t>
  </si>
  <si>
    <t>T224</t>
  </si>
  <si>
    <t>L225</t>
  </si>
  <si>
    <t>T225</t>
  </si>
  <si>
    <t>L226</t>
  </si>
  <si>
    <t>P104</t>
  </si>
  <si>
    <t>T226</t>
  </si>
  <si>
    <t>L227</t>
  </si>
  <si>
    <t>T227</t>
  </si>
  <si>
    <t>L228</t>
  </si>
  <si>
    <t>T228</t>
  </si>
  <si>
    <t>L229</t>
  </si>
  <si>
    <t>P017</t>
  </si>
  <si>
    <t>T229</t>
  </si>
  <si>
    <t>L230</t>
  </si>
  <si>
    <t>T230</t>
  </si>
  <si>
    <t>L231</t>
  </si>
  <si>
    <t>T231</t>
  </si>
  <si>
    <t>L232</t>
  </si>
  <si>
    <t>T232</t>
  </si>
  <si>
    <t>L233</t>
  </si>
  <si>
    <t>T233</t>
  </si>
  <si>
    <t>L234</t>
  </si>
  <si>
    <t>T234</t>
  </si>
  <si>
    <t>L235</t>
  </si>
  <si>
    <t>P043</t>
  </si>
  <si>
    <t>T235</t>
  </si>
  <si>
    <t>L236</t>
  </si>
  <si>
    <t>T236</t>
  </si>
  <si>
    <t>L237</t>
  </si>
  <si>
    <t>P128</t>
  </si>
  <si>
    <t>T237</t>
  </si>
  <si>
    <t>L238</t>
  </si>
  <si>
    <t>T238</t>
  </si>
  <si>
    <t>L239</t>
  </si>
  <si>
    <t>T239</t>
  </si>
  <si>
    <t>L240</t>
  </si>
  <si>
    <t>T240</t>
  </si>
  <si>
    <t>L241</t>
  </si>
  <si>
    <t>T241</t>
  </si>
  <si>
    <t>L242</t>
  </si>
  <si>
    <t>T242</t>
  </si>
  <si>
    <t>L243</t>
  </si>
  <si>
    <t>T243</t>
  </si>
  <si>
    <t>L244</t>
  </si>
  <si>
    <t>P020</t>
  </si>
  <si>
    <t>T244</t>
  </si>
  <si>
    <t>L245</t>
  </si>
  <si>
    <t>P082</t>
  </si>
  <si>
    <t>T245</t>
  </si>
  <si>
    <t>L246</t>
  </si>
  <si>
    <t>T246</t>
  </si>
  <si>
    <t>L247</t>
  </si>
  <si>
    <t>P001</t>
  </si>
  <si>
    <t>T247</t>
  </si>
  <si>
    <t>L248</t>
  </si>
  <si>
    <t>T248</t>
  </si>
  <si>
    <t>L249</t>
  </si>
  <si>
    <t>T249</t>
  </si>
  <si>
    <t>L250</t>
  </si>
  <si>
    <t>T250</t>
  </si>
  <si>
    <t>L251</t>
  </si>
  <si>
    <t>T251</t>
  </si>
  <si>
    <t>L252</t>
  </si>
  <si>
    <t>T252</t>
  </si>
  <si>
    <t>L253</t>
  </si>
  <si>
    <t>T253</t>
  </si>
  <si>
    <t>L254</t>
  </si>
  <si>
    <t>T254</t>
  </si>
  <si>
    <t>L255</t>
  </si>
  <si>
    <t>T255</t>
  </si>
  <si>
    <t>L256</t>
  </si>
  <si>
    <t>T256</t>
  </si>
  <si>
    <t>L257</t>
  </si>
  <si>
    <t>T257</t>
  </si>
  <si>
    <t>L258</t>
  </si>
  <si>
    <t>T258</t>
  </si>
  <si>
    <t>L259</t>
  </si>
  <si>
    <t>T259</t>
  </si>
  <si>
    <t>L260</t>
  </si>
  <si>
    <t>T260</t>
  </si>
  <si>
    <t>L261</t>
  </si>
  <si>
    <t>T261</t>
  </si>
  <si>
    <t>L262</t>
  </si>
  <si>
    <t>T262</t>
  </si>
  <si>
    <t>L263</t>
  </si>
  <si>
    <t>T263</t>
  </si>
  <si>
    <t>L264</t>
  </si>
  <si>
    <t>P063</t>
  </si>
  <si>
    <t>T264</t>
  </si>
  <si>
    <t>L265</t>
  </si>
  <si>
    <t>T265</t>
  </si>
  <si>
    <t>L266</t>
  </si>
  <si>
    <t>T266</t>
  </si>
  <si>
    <t>L267</t>
  </si>
  <si>
    <t>T267</t>
  </si>
  <si>
    <t>L268</t>
  </si>
  <si>
    <t>T268</t>
  </si>
  <si>
    <t>L269</t>
  </si>
  <si>
    <t>T269</t>
  </si>
  <si>
    <t>L270</t>
  </si>
  <si>
    <t>P022</t>
  </si>
  <si>
    <t>T270</t>
  </si>
  <si>
    <t>L271</t>
  </si>
  <si>
    <t>T271</t>
  </si>
  <si>
    <t>L272</t>
  </si>
  <si>
    <t>T272</t>
  </si>
  <si>
    <t>L273</t>
  </si>
  <si>
    <t>T273</t>
  </si>
  <si>
    <t>L274</t>
  </si>
  <si>
    <t>T274</t>
  </si>
  <si>
    <t>L275</t>
  </si>
  <si>
    <t>T275</t>
  </si>
  <si>
    <t>L276</t>
  </si>
  <si>
    <t>T276</t>
  </si>
  <si>
    <t>L277</t>
  </si>
  <si>
    <t>T277</t>
  </si>
  <si>
    <t>L278</t>
  </si>
  <si>
    <t>T278</t>
  </si>
  <si>
    <t>L279</t>
  </si>
  <si>
    <t>T279</t>
  </si>
  <si>
    <t>L280</t>
  </si>
  <si>
    <t>T280</t>
  </si>
  <si>
    <t>L281</t>
  </si>
  <si>
    <t>T281</t>
  </si>
  <si>
    <t>L282</t>
  </si>
  <si>
    <t>P070</t>
  </si>
  <si>
    <t>T282</t>
  </si>
  <si>
    <t>L283</t>
  </si>
  <si>
    <t>T283</t>
  </si>
  <si>
    <t>L284</t>
  </si>
  <si>
    <t>P006</t>
  </si>
  <si>
    <t>T284</t>
  </si>
  <si>
    <t>L285</t>
  </si>
  <si>
    <t>T285</t>
  </si>
  <si>
    <t>L286</t>
  </si>
  <si>
    <t>T286</t>
  </si>
  <si>
    <t>L287</t>
  </si>
  <si>
    <t>T287</t>
  </si>
  <si>
    <t>L288</t>
  </si>
  <si>
    <t>T288</t>
  </si>
  <si>
    <t>L289</t>
  </si>
  <si>
    <t>T289</t>
  </si>
  <si>
    <t>L290</t>
  </si>
  <si>
    <t>T290</t>
  </si>
  <si>
    <t>L291</t>
  </si>
  <si>
    <t>T291</t>
  </si>
  <si>
    <t>L292</t>
  </si>
  <si>
    <t>T292</t>
  </si>
  <si>
    <t>L293</t>
  </si>
  <si>
    <t>T293</t>
  </si>
  <si>
    <t>L294</t>
  </si>
  <si>
    <t>T294</t>
  </si>
  <si>
    <t>L295</t>
  </si>
  <si>
    <t>T295</t>
  </si>
  <si>
    <t>L296</t>
  </si>
  <si>
    <t>T296</t>
  </si>
  <si>
    <t>L297</t>
  </si>
  <si>
    <t>T297</t>
  </si>
  <si>
    <t>L298</t>
  </si>
  <si>
    <t>T298</t>
  </si>
  <si>
    <t>L299</t>
  </si>
  <si>
    <t>P119</t>
  </si>
  <si>
    <t>T299</t>
  </si>
  <si>
    <t>L300</t>
  </si>
  <si>
    <t>T300</t>
  </si>
  <si>
    <t>Month</t>
  </si>
  <si>
    <t>Due_Amount</t>
  </si>
  <si>
    <t>Paid_Amount</t>
  </si>
  <si>
    <t>Payment_Date</t>
  </si>
  <si>
    <t>Delay_Days</t>
  </si>
  <si>
    <t>2025-05</t>
  </si>
  <si>
    <t>2025-01</t>
  </si>
  <si>
    <t>2025-07</t>
  </si>
  <si>
    <t>2025-10</t>
  </si>
  <si>
    <t>2025-12</t>
  </si>
  <si>
    <t>2025-09</t>
  </si>
  <si>
    <t>2025-06</t>
  </si>
  <si>
    <t>2025-02</t>
  </si>
  <si>
    <t>2025-04</t>
  </si>
  <si>
    <t>2025-08</t>
  </si>
  <si>
    <t>2025-03</t>
  </si>
  <si>
    <t>2025-11</t>
  </si>
  <si>
    <t>Request_Date</t>
  </si>
  <si>
    <t>Issue_Type</t>
  </si>
  <si>
    <t>Vendor</t>
  </si>
  <si>
    <t>Cost</t>
  </si>
  <si>
    <t>Resolution_Days</t>
  </si>
  <si>
    <t>Electrical</t>
  </si>
  <si>
    <t>Vendor B</t>
  </si>
  <si>
    <t>HVAC</t>
  </si>
  <si>
    <t>Vendor C</t>
  </si>
  <si>
    <t>Structural</t>
  </si>
  <si>
    <t>Vendor A</t>
  </si>
  <si>
    <t>Plumbing</t>
  </si>
  <si>
    <t>P015</t>
  </si>
  <si>
    <t>P030</t>
  </si>
  <si>
    <t>P122</t>
  </si>
  <si>
    <t>P032</t>
  </si>
  <si>
    <t>P071</t>
  </si>
  <si>
    <t>P111</t>
  </si>
  <si>
    <t>P021</t>
  </si>
  <si>
    <t>P072</t>
  </si>
  <si>
    <t>P057</t>
  </si>
  <si>
    <t>P098</t>
  </si>
  <si>
    <t>P112</t>
  </si>
  <si>
    <t>P048</t>
  </si>
  <si>
    <t>P143</t>
  </si>
  <si>
    <t>P028</t>
  </si>
  <si>
    <t>P123</t>
  </si>
  <si>
    <t>P103</t>
  </si>
  <si>
    <t>P083</t>
  </si>
  <si>
    <t>P109</t>
  </si>
  <si>
    <t>P018</t>
  </si>
  <si>
    <t>P029</t>
  </si>
  <si>
    <t>P137</t>
  </si>
  <si>
    <t>P148</t>
  </si>
  <si>
    <t>P073</t>
  </si>
  <si>
    <t>WC_Blocked</t>
  </si>
  <si>
    <t>Average Delay</t>
  </si>
  <si>
    <t>% Payment Late</t>
  </si>
  <si>
    <t>% Payments Late &gt; 7  Days</t>
  </si>
  <si>
    <t>% Payments Late &gt; 15  Days</t>
  </si>
  <si>
    <t>Total WC Blocked</t>
  </si>
  <si>
    <t>WC Locked Period</t>
  </si>
  <si>
    <t>Delay_Risk_Bucket</t>
  </si>
  <si>
    <t>Key Metrics</t>
  </si>
  <si>
    <t>Results</t>
  </si>
  <si>
    <t>High Risk(16-30)</t>
  </si>
  <si>
    <t>Low Risk(1-7)</t>
  </si>
  <si>
    <t>Medium Risk(8-15)</t>
  </si>
  <si>
    <t>On Time</t>
  </si>
  <si>
    <t>Grand Total</t>
  </si>
  <si>
    <t>Number of Payments</t>
  </si>
  <si>
    <t>Risk_Bucket</t>
  </si>
  <si>
    <t>Sum of Due_Amount</t>
  </si>
  <si>
    <t>Metrics</t>
  </si>
  <si>
    <t>Value</t>
  </si>
  <si>
    <t>Current Avg Delay</t>
  </si>
  <si>
    <t>Improvement %</t>
  </si>
  <si>
    <t>Monthly Liquidity Freed</t>
  </si>
  <si>
    <t>Liquidity Improvement Model</t>
  </si>
  <si>
    <t>Target Delay (Assumption)</t>
  </si>
  <si>
    <t>Revenue at 8+ Day Risk</t>
  </si>
  <si>
    <t>WC Delay Index</t>
  </si>
  <si>
    <t>Outstanding_Amount</t>
  </si>
  <si>
    <t>Total Rent Billed</t>
  </si>
  <si>
    <t>Total Outstandind Rent</t>
  </si>
  <si>
    <t>Total Uncollected Rent %</t>
  </si>
  <si>
    <t>Sum of Outstanding_Amount</t>
  </si>
  <si>
    <t>Revenue Leakage Heatmap</t>
  </si>
  <si>
    <t>Revenue Exposure</t>
  </si>
  <si>
    <t>Estimated_Market_Rent</t>
  </si>
  <si>
    <t>Current Rent Gap</t>
  </si>
  <si>
    <t>Under_Market %</t>
  </si>
  <si>
    <t>Under_Market_Flag</t>
  </si>
  <si>
    <t>Leakage Calculations</t>
  </si>
  <si>
    <t>Number of Underpriced Property</t>
  </si>
  <si>
    <t>Average Portfolio Rent</t>
  </si>
  <si>
    <t>Porfolio Imapct %</t>
  </si>
  <si>
    <t>Days_After_Expiry</t>
  </si>
  <si>
    <t>Average Renewal Lag</t>
  </si>
  <si>
    <t>Renewal Lag %</t>
  </si>
  <si>
    <t>Days_to_Expiry</t>
  </si>
  <si>
    <t>to expiry</t>
  </si>
  <si>
    <t>Expiry_Risk_Category</t>
  </si>
  <si>
    <t>Renewal Exposure Ratio</t>
  </si>
  <si>
    <t>Row Labels</t>
  </si>
  <si>
    <t>High Risk</t>
  </si>
  <si>
    <t>Medium Risk</t>
  </si>
  <si>
    <t>Safe</t>
  </si>
  <si>
    <t>Count of Lease_ID</t>
  </si>
  <si>
    <t>Expiry Risk Pivot</t>
  </si>
  <si>
    <t>Previous_Rent</t>
  </si>
  <si>
    <t>Expected_Rent</t>
  </si>
  <si>
    <t>Escalation_Accuracy_%</t>
  </si>
  <si>
    <t>Average Escalation Accuracy</t>
  </si>
  <si>
    <t>Process Failure Rate</t>
  </si>
  <si>
    <t>Tenant Churn Rate</t>
  </si>
  <si>
    <t>Expired Lease</t>
  </si>
  <si>
    <t>Active Stability Ratio</t>
  </si>
  <si>
    <t>Sum of Cost</t>
  </si>
  <si>
    <t>Total_Maintenance_Cost</t>
  </si>
  <si>
    <t>Top 10% Property Count</t>
  </si>
  <si>
    <t>Top 10% Property Cost (M)</t>
  </si>
  <si>
    <t>Cost Contentration % (M)</t>
  </si>
  <si>
    <t>Average of Resolution_Days</t>
  </si>
  <si>
    <t>Vendor_Name</t>
  </si>
  <si>
    <t>Count of Jobs</t>
  </si>
  <si>
    <t>Cost/Job</t>
  </si>
  <si>
    <t>Cost Share</t>
  </si>
  <si>
    <t>Vendor Camparison</t>
  </si>
  <si>
    <t>Cost Per Issue Type</t>
  </si>
  <si>
    <t>Count of Total Properties(M)</t>
  </si>
  <si>
    <t>KPI</t>
  </si>
  <si>
    <t>Total Leases</t>
  </si>
  <si>
    <t>Churn Rate</t>
  </si>
  <si>
    <t>Avg Payment Delay</t>
  </si>
  <si>
    <t>Monthly Liquidity Oppurtunity</t>
  </si>
  <si>
    <t>Working Capital Delay</t>
  </si>
  <si>
    <t>Top Row KPIs</t>
  </si>
  <si>
    <t>KPI Tracker</t>
  </si>
  <si>
    <t>Metric</t>
  </si>
  <si>
    <t>Uncollected Rent %</t>
  </si>
  <si>
    <t>Under-Market Portfolio Impact</t>
  </si>
  <si>
    <t>Underpriced Properties</t>
  </si>
  <si>
    <t>Revenue Leakage Overview</t>
  </si>
  <si>
    <t>Risk Area</t>
  </si>
  <si>
    <t>Status</t>
  </si>
  <si>
    <t>Expiry Exposure</t>
  </si>
  <si>
    <t>Escalation Consistency</t>
  </si>
  <si>
    <t>56% Below Expected</t>
  </si>
  <si>
    <t>Maintenance Concentration</t>
  </si>
  <si>
    <t>22.64% (Top 10%)</t>
  </si>
  <si>
    <t>Highest Cost Driver</t>
  </si>
  <si>
    <t>HVAC (29%)</t>
  </si>
  <si>
    <t>Operation Risk Table</t>
  </si>
  <si>
    <t>Scenario</t>
  </si>
  <si>
    <t>Result</t>
  </si>
  <si>
    <t>Delay Reduced to 6 Days</t>
  </si>
  <si>
    <t>51% Faster Cycle</t>
  </si>
  <si>
    <t>₹5.9 Lakhs</t>
  </si>
  <si>
    <t>Annual Liquidity Gain</t>
  </si>
  <si>
    <t>₹70.8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</si>
</sst>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C09]#,##0.00"/>
  </numFmts>
  <fonts count="8" x14ac:knownFonts="1">
    <font>
      <sz val="11"/>
      <color theme="1"/>
      <name val="Calibri"/>
      <family val="2"/>
      <scheme val="minor"/>
    </font>
    <font>
      <b/>
      <sz val="11"/>
      <color theme="1"/>
      <name val="Calibri"/>
      <family val="2"/>
      <scheme val="minor"/>
    </font>
    <font>
      <b/>
      <sz val="12"/>
      <color theme="3"/>
      <name val="Calibri"/>
      <family val="2"/>
      <scheme val="minor"/>
    </font>
    <font>
      <b/>
      <sz val="12"/>
      <color theme="0"/>
      <name val="Calibri"/>
      <family val="2"/>
      <scheme val="minor"/>
    </font>
    <font>
      <b/>
      <sz val="12"/>
      <color rgb="FF006100"/>
      <name val="Calibri"/>
      <family val="2"/>
      <scheme val="minor"/>
    </font>
    <font>
      <b/>
      <sz val="16"/>
      <color theme="1"/>
      <name val="Calibri"/>
      <family val="2"/>
      <scheme val="minor"/>
    </font>
    <font>
      <b/>
      <sz val="14"/>
      <color theme="1"/>
      <name val="Calibri"/>
      <family val="2"/>
      <scheme val="minor"/>
    </font>
    <font>
      <sz val="12"/>
      <color theme="1"/>
      <name val="Calibri"/>
      <family val="2"/>
      <scheme val="minor"/>
    </font>
  </fonts>
  <fills count="11">
    <fill>
      <patternFill patternType="none"/>
    </fill>
    <fill>
      <patternFill patternType="gray125"/>
    </fill>
    <fill>
      <patternFill patternType="solid">
        <fgColor rgb="FFC6EFCE"/>
      </patternFill>
    </fill>
    <fill>
      <patternFill patternType="solid">
        <fgColor theme="5"/>
      </patternFill>
    </fill>
    <fill>
      <patternFill patternType="solid">
        <fgColor theme="9"/>
      </patternFill>
    </fill>
    <fill>
      <patternFill patternType="solid">
        <fgColor theme="4"/>
        <bgColor indexed="64"/>
      </patternFill>
    </fill>
    <fill>
      <patternFill patternType="solid">
        <fgColor theme="3" tint="0.59999389629810485"/>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6" tint="0.59999389629810485"/>
        <bgColor indexed="64"/>
      </patternFill>
    </fill>
  </fills>
  <borders count="24">
    <border>
      <left/>
      <right/>
      <top/>
      <bottom/>
      <diagonal/>
    </border>
    <border>
      <left/>
      <right/>
      <top/>
      <bottom style="thick">
        <color theme="4" tint="0.499984740745262"/>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s>
  <cellStyleXfs count="1">
    <xf numFmtId="0" fontId="0" fillId="0" borderId="0"/>
  </cellStyleXfs>
  <cellXfs count="71">
    <xf numFmtId="0" fontId="0" fillId="0" borderId="0" xfId="0"/>
    <xf numFmtId="164" fontId="0" fillId="0" borderId="0" xfId="0" applyNumberFormat="1"/>
    <xf numFmtId="0" fontId="0" fillId="5" borderId="0" xfId="0" applyFill="1"/>
    <xf numFmtId="0" fontId="0" fillId="0" borderId="0" xfId="0" applyAlignment="1">
      <alignment horizontal="center"/>
    </xf>
    <xf numFmtId="0" fontId="0" fillId="0" borderId="0" xfId="0" applyAlignment="1">
      <alignment horizontal="right"/>
    </xf>
    <xf numFmtId="2" fontId="0" fillId="0" borderId="0" xfId="0" applyNumberFormat="1"/>
    <xf numFmtId="10" fontId="0" fillId="0" borderId="0" xfId="0" applyNumberFormat="1"/>
    <xf numFmtId="0" fontId="0" fillId="5" borderId="0" xfId="0" applyFill="1" applyAlignment="1">
      <alignment horizontal="center"/>
    </xf>
    <xf numFmtId="0" fontId="0" fillId="0" borderId="0" xfId="0" pivotButton="1"/>
    <xf numFmtId="0" fontId="0" fillId="0" borderId="0" xfId="0" applyAlignment="1">
      <alignment horizontal="left"/>
    </xf>
    <xf numFmtId="0" fontId="1" fillId="6" borderId="0" xfId="0" applyFont="1" applyFill="1" applyAlignment="1">
      <alignment horizontal="center"/>
    </xf>
    <xf numFmtId="165" fontId="0" fillId="0" borderId="0" xfId="0" applyNumberFormat="1"/>
    <xf numFmtId="165" fontId="2" fillId="2" borderId="1" xfId="0" applyNumberFormat="1" applyFont="1" applyFill="1" applyBorder="1"/>
    <xf numFmtId="0" fontId="0" fillId="7" borderId="2" xfId="0" applyFill="1" applyBorder="1"/>
    <xf numFmtId="0" fontId="0" fillId="8" borderId="2" xfId="0" applyFill="1" applyBorder="1"/>
    <xf numFmtId="0" fontId="0" fillId="7" borderId="3" xfId="0" applyFill="1" applyBorder="1"/>
    <xf numFmtId="1" fontId="0" fillId="0" borderId="0" xfId="0" applyNumberFormat="1"/>
    <xf numFmtId="0" fontId="0" fillId="0" borderId="4" xfId="0" applyBorder="1"/>
    <xf numFmtId="0" fontId="0" fillId="0" borderId="5" xfId="0" applyBorder="1"/>
    <xf numFmtId="0" fontId="0" fillId="0" borderId="6" xfId="0" applyBorder="1"/>
    <xf numFmtId="0" fontId="0" fillId="0" borderId="7" xfId="0" pivotButton="1" applyBorder="1"/>
    <xf numFmtId="0" fontId="0" fillId="0" borderId="8" xfId="0" applyBorder="1"/>
    <xf numFmtId="0" fontId="0" fillId="0" borderId="7" xfId="0" applyBorder="1" applyAlignment="1">
      <alignment horizontal="left"/>
    </xf>
    <xf numFmtId="165" fontId="0" fillId="0" borderId="8" xfId="0" applyNumberFormat="1" applyBorder="1"/>
    <xf numFmtId="0" fontId="0" fillId="0" borderId="7" xfId="0" applyBorder="1"/>
    <xf numFmtId="10" fontId="0" fillId="0" borderId="8" xfId="0" applyNumberFormat="1" applyBorder="1"/>
    <xf numFmtId="0" fontId="0" fillId="0" borderId="9" xfId="0" applyBorder="1"/>
    <xf numFmtId="0" fontId="0" fillId="0" borderId="10" xfId="0" applyBorder="1"/>
    <xf numFmtId="0" fontId="0" fillId="0" borderId="11" xfId="0" applyBorder="1"/>
    <xf numFmtId="0" fontId="1" fillId="6" borderId="9" xfId="0" applyFont="1" applyFill="1" applyBorder="1"/>
    <xf numFmtId="10" fontId="1" fillId="6" borderId="10" xfId="0" applyNumberFormat="1" applyFont="1" applyFill="1" applyBorder="1"/>
    <xf numFmtId="165" fontId="3" fillId="3" borderId="0" xfId="0" applyNumberFormat="1" applyFont="1" applyFill="1"/>
    <xf numFmtId="165" fontId="3" fillId="4" borderId="0" xfId="0" applyNumberFormat="1" applyFont="1" applyFill="1"/>
    <xf numFmtId="165" fontId="4" fillId="2" borderId="0" xfId="0" applyNumberFormat="1" applyFont="1" applyFill="1"/>
    <xf numFmtId="0" fontId="0" fillId="0" borderId="9" xfId="0" applyBorder="1" applyAlignment="1">
      <alignment horizontal="left"/>
    </xf>
    <xf numFmtId="165" fontId="0" fillId="0" borderId="10" xfId="0" applyNumberFormat="1" applyBorder="1"/>
    <xf numFmtId="0" fontId="1" fillId="6" borderId="4" xfId="0" applyFont="1" applyFill="1" applyBorder="1" applyAlignment="1">
      <alignment horizontal="center"/>
    </xf>
    <xf numFmtId="0" fontId="1" fillId="6" borderId="5" xfId="0" applyFont="1"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Border="1"/>
    <xf numFmtId="0" fontId="0" fillId="0" borderId="16" xfId="0" applyBorder="1"/>
    <xf numFmtId="0" fontId="0" fillId="0" borderId="17" xfId="0" applyBorder="1"/>
    <xf numFmtId="0" fontId="0" fillId="0" borderId="18" xfId="0" applyBorder="1"/>
    <xf numFmtId="0" fontId="0" fillId="0" borderId="19" xfId="0" applyBorder="1"/>
    <xf numFmtId="10" fontId="0" fillId="0" borderId="0" xfId="0" applyNumberFormat="1" applyBorder="1"/>
    <xf numFmtId="0" fontId="0" fillId="0" borderId="0" xfId="0" applyBorder="1" applyAlignment="1">
      <alignment horizontal="center"/>
    </xf>
    <xf numFmtId="0" fontId="1" fillId="0" borderId="0" xfId="0" applyFont="1" applyBorder="1" applyAlignment="1">
      <alignment horizontal="center"/>
    </xf>
    <xf numFmtId="10" fontId="1" fillId="0" borderId="0" xfId="0" applyNumberFormat="1" applyFont="1" applyBorder="1" applyAlignment="1">
      <alignment horizontal="center"/>
    </xf>
    <xf numFmtId="0" fontId="1" fillId="0" borderId="0" xfId="0" applyFont="1" applyFill="1" applyBorder="1" applyAlignment="1">
      <alignment horizontal="center"/>
    </xf>
    <xf numFmtId="2" fontId="1" fillId="0" borderId="0" xfId="0" applyNumberFormat="1" applyFont="1" applyFill="1" applyBorder="1" applyAlignment="1">
      <alignment horizontal="center"/>
    </xf>
    <xf numFmtId="165" fontId="1" fillId="0" borderId="0" xfId="0" applyNumberFormat="1" applyFont="1" applyFill="1" applyBorder="1" applyAlignment="1">
      <alignment horizontal="center"/>
    </xf>
    <xf numFmtId="0" fontId="1" fillId="6" borderId="0" xfId="0" applyFont="1" applyFill="1" applyBorder="1" applyAlignment="1">
      <alignment horizontal="center"/>
    </xf>
    <xf numFmtId="0" fontId="6" fillId="9" borderId="0" xfId="0" applyFont="1" applyFill="1" applyBorder="1" applyAlignment="1">
      <alignment horizontal="center" vertical="center"/>
    </xf>
    <xf numFmtId="0" fontId="5" fillId="10" borderId="0" xfId="0" applyFont="1" applyFill="1" applyBorder="1" applyAlignment="1">
      <alignment horizontal="center" vertical="center"/>
    </xf>
    <xf numFmtId="0" fontId="0" fillId="0" borderId="0" xfId="0" applyFont="1" applyBorder="1" applyAlignment="1">
      <alignment horizontal="center" vertical="top" wrapText="1"/>
    </xf>
    <xf numFmtId="10" fontId="0" fillId="0" borderId="0" xfId="0" applyNumberFormat="1" applyFont="1" applyBorder="1" applyAlignment="1">
      <alignment horizontal="center" vertical="top" wrapText="1"/>
    </xf>
    <xf numFmtId="0" fontId="7" fillId="0" borderId="0" xfId="0" applyFont="1" applyBorder="1" applyAlignment="1">
      <alignment horizontal="center" vertical="center" wrapText="1"/>
    </xf>
    <xf numFmtId="9" fontId="7" fillId="0" borderId="0" xfId="0" applyNumberFormat="1" applyFont="1" applyBorder="1" applyAlignment="1">
      <alignment horizontal="center" vertical="center" wrapText="1"/>
    </xf>
    <xf numFmtId="2" fontId="0" fillId="0" borderId="0" xfId="0" applyNumberFormat="1" applyBorder="1"/>
    <xf numFmtId="165" fontId="0" fillId="0" borderId="0" xfId="0" applyNumberFormat="1" applyBorder="1"/>
    <xf numFmtId="0" fontId="0" fillId="0" borderId="0" xfId="0" applyBorder="1" applyAlignment="1">
      <alignment vertical="center"/>
    </xf>
    <xf numFmtId="0" fontId="7" fillId="0" borderId="0" xfId="0" applyFont="1" applyBorder="1" applyAlignment="1">
      <alignment horizontal="center" vertical="top" wrapText="1"/>
    </xf>
    <xf numFmtId="0" fontId="0" fillId="0" borderId="20" xfId="0" applyBorder="1"/>
    <xf numFmtId="0" fontId="0" fillId="0" borderId="21" xfId="0" applyBorder="1"/>
    <xf numFmtId="0" fontId="0" fillId="0" borderId="22" xfId="0" applyBorder="1"/>
    <xf numFmtId="0" fontId="0" fillId="0" borderId="23" xfId="0" applyBorder="1"/>
  </cellXfs>
  <cellStyles count="1">
    <cellStyle name="Normal" xfId="0" builtinId="0"/>
  </cellStyles>
  <dxfs count="74">
    <dxf>
      <font>
        <b val="0"/>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font>
      <alignment horizontal="center" vertical="bottom" textRotation="0" wrapText="0" indent="0" justifyLastLine="0" shrinkToFit="0" readingOrder="0"/>
    </dxf>
    <dxf>
      <font>
        <b/>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font>
        <b/>
      </font>
    </dxf>
    <dxf>
      <numFmt numFmtId="14" formatCode="0.00%"/>
    </dxf>
    <dxf>
      <numFmt numFmtId="165" formatCode="[$$-C09]#,##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C09]#,##0.00"/>
    </dxf>
    <dxf>
      <font>
        <sz val="12"/>
      </font>
    </dxf>
    <dxf>
      <font>
        <sz val="12"/>
      </font>
    </dxf>
    <dxf>
      <font>
        <sz val="12"/>
      </font>
    </dxf>
    <dxf>
      <font>
        <sz val="12"/>
      </font>
    </dxf>
    <dxf>
      <font>
        <b/>
      </font>
    </dxf>
    <dxf>
      <font>
        <b/>
      </font>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0"/>
        <name val="Calibri"/>
        <family val="2"/>
        <scheme val="minor"/>
      </font>
      <fill>
        <patternFill patternType="solid">
          <fgColor indexed="65"/>
          <bgColor theme="9"/>
        </patternFill>
      </fill>
    </dxf>
    <dxf>
      <font>
        <b/>
      </font>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0"/>
        <name val="Calibri"/>
        <family val="2"/>
        <scheme val="minor"/>
      </font>
      <fill>
        <patternFill patternType="solid">
          <fgColor indexed="65"/>
          <bgColor theme="5"/>
        </patternFill>
      </fill>
    </dxf>
    <dxf>
      <numFmt numFmtId="165" formatCode="[$$-C09]#,##0.00"/>
    </dxf>
    <dxf>
      <numFmt numFmtId="165" formatCode="[$$-C09]#,##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0" formatCode="General"/>
      <alignment horizontal="center" vertical="bottom" textRotation="0" wrapText="0" indent="0" justifyLastLine="0" shrinkToFit="0" readingOrder="0"/>
    </dxf>
    <dxf>
      <numFmt numFmtId="14" formatCode="0.00%"/>
    </dxf>
    <dxf>
      <numFmt numFmtId="2" formatCode="0.00"/>
    </dxf>
    <dxf>
      <numFmt numFmtId="2" formatCode="0.00"/>
    </dxf>
    <dxf>
      <numFmt numFmtId="0" formatCode="General"/>
      <alignment horizontal="center" vertical="bottom" textRotation="0" wrapText="0" indent="0" justifyLastLine="0" shrinkToFit="0" readingOrder="0"/>
    </dxf>
    <dxf>
      <numFmt numFmtId="0" formatCode="General"/>
    </dxf>
    <dxf>
      <numFmt numFmtId="164" formatCode="yyyy\-mm\-dd"/>
    </dxf>
    <dxf>
      <numFmt numFmtId="0" formatCode="General"/>
    </dxf>
    <dxf>
      <fill>
        <patternFill patternType="solid">
          <fgColor indexed="64"/>
          <bgColor theme="4"/>
        </patternFill>
      </fill>
    </dxf>
    <dxf>
      <numFmt numFmtId="0" formatCode="General"/>
    </dxf>
    <dxf>
      <numFmt numFmtId="1" formatCode="0"/>
    </dxf>
    <dxf>
      <numFmt numFmtId="0" formatCode="General"/>
    </dxf>
    <dxf>
      <numFmt numFmtId="2" formatCode="0.00"/>
    </dxf>
    <dxf>
      <numFmt numFmtId="0" formatCode="General"/>
    </dxf>
    <dxf>
      <numFmt numFmtId="164" formatCode="yyyy\-mm\-dd"/>
    </dxf>
    <dxf>
      <numFmt numFmtId="164" formatCode="yyyy\-mm\-dd"/>
    </dxf>
    <dxf>
      <alignment horizontal="right" vertical="bottom" textRotation="0" wrapText="0" indent="0" justifyLastLine="0" shrinkToFit="0" readingOrder="0"/>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5</xdr:col>
      <xdr:colOff>314326</xdr:colOff>
      <xdr:row>1</xdr:row>
      <xdr:rowOff>47626</xdr:rowOff>
    </xdr:from>
    <xdr:to>
      <xdr:col>20</xdr:col>
      <xdr:colOff>200026</xdr:colOff>
      <xdr:row>4</xdr:row>
      <xdr:rowOff>101601</xdr:rowOff>
    </xdr:to>
    <xdr:sp macro="" textlink="">
      <xdr:nvSpPr>
        <xdr:cNvPr id="2" name="Rectangle: Rounded Corners 1">
          <a:extLst>
            <a:ext uri="{FF2B5EF4-FFF2-40B4-BE49-F238E27FC236}">
              <a16:creationId xmlns:a16="http://schemas.microsoft.com/office/drawing/2014/main" id="{CA1073B9-DE67-4FEA-BA9A-AD054F3BAB9C}"/>
            </a:ext>
          </a:extLst>
        </xdr:cNvPr>
        <xdr:cNvSpPr/>
      </xdr:nvSpPr>
      <xdr:spPr>
        <a:xfrm>
          <a:off x="3362326" y="238126"/>
          <a:ext cx="9029700" cy="596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581024</xdr:colOff>
      <xdr:row>1</xdr:row>
      <xdr:rowOff>95250</xdr:rowOff>
    </xdr:from>
    <xdr:to>
      <xdr:col>20</xdr:col>
      <xdr:colOff>38099</xdr:colOff>
      <xdr:row>4</xdr:row>
      <xdr:rowOff>25400</xdr:rowOff>
    </xdr:to>
    <xdr:sp macro="" textlink="">
      <xdr:nvSpPr>
        <xdr:cNvPr id="3" name="TextBox 2">
          <a:extLst>
            <a:ext uri="{FF2B5EF4-FFF2-40B4-BE49-F238E27FC236}">
              <a16:creationId xmlns:a16="http://schemas.microsoft.com/office/drawing/2014/main" id="{2C116B38-2806-797C-354A-7DD161308201}"/>
            </a:ext>
          </a:extLst>
        </xdr:cNvPr>
        <xdr:cNvSpPr txBox="1"/>
      </xdr:nvSpPr>
      <xdr:spPr>
        <a:xfrm>
          <a:off x="3629024" y="285750"/>
          <a:ext cx="8601075" cy="4730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u="sng">
              <a:solidFill>
                <a:schemeClr val="bg1"/>
              </a:solidFill>
            </a:rPr>
            <a:t>Executive</a:t>
          </a:r>
          <a:r>
            <a:rPr lang="en-IN" sz="1800" b="1" u="sng" baseline="0">
              <a:solidFill>
                <a:schemeClr val="bg1"/>
              </a:solidFill>
            </a:rPr>
            <a:t> Summary - Business Operation Intelligence &amp; Revenue Detection System</a:t>
          </a:r>
          <a:endParaRPr lang="en-IN" sz="1800" b="1" u="sng">
            <a:solidFill>
              <a:schemeClr val="bg1"/>
            </a:solidFill>
          </a:endParaRPr>
        </a:p>
      </xdr:txBody>
    </xdr:sp>
    <xdr:clientData/>
  </xdr:twoCellAnchor>
  <xdr:twoCellAnchor>
    <xdr:from>
      <xdr:col>1</xdr:col>
      <xdr:colOff>136524</xdr:colOff>
      <xdr:row>5</xdr:row>
      <xdr:rowOff>63500</xdr:rowOff>
    </xdr:from>
    <xdr:to>
      <xdr:col>13</xdr:col>
      <xdr:colOff>257174</xdr:colOff>
      <xdr:row>15</xdr:row>
      <xdr:rowOff>123825</xdr:rowOff>
    </xdr:to>
    <xdr:sp macro="" textlink="">
      <xdr:nvSpPr>
        <xdr:cNvPr id="4" name="TextBox 3">
          <a:extLst>
            <a:ext uri="{FF2B5EF4-FFF2-40B4-BE49-F238E27FC236}">
              <a16:creationId xmlns:a16="http://schemas.microsoft.com/office/drawing/2014/main" id="{1C53C130-CD90-5499-433C-F3939160BDB7}"/>
            </a:ext>
          </a:extLst>
        </xdr:cNvPr>
        <xdr:cNvSpPr txBox="1"/>
      </xdr:nvSpPr>
      <xdr:spPr>
        <a:xfrm>
          <a:off x="746124" y="977900"/>
          <a:ext cx="7435850" cy="187007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u="sng"/>
            <a:t>Portfolio Snapshot</a:t>
          </a:r>
        </a:p>
        <a:p>
          <a:r>
            <a:rPr lang="en-IN"/>
            <a:t>The portfolio comprises </a:t>
          </a:r>
          <a:r>
            <a:rPr lang="en-IN" b="1"/>
            <a:t>300 active lease records</a:t>
          </a:r>
          <a:r>
            <a:rPr lang="en-IN"/>
            <a:t>, with a </a:t>
          </a:r>
          <a:r>
            <a:rPr lang="en-IN" b="1"/>
            <a:t>33% lease-level churn rate</a:t>
          </a:r>
          <a:r>
            <a:rPr lang="en-IN"/>
            <a:t>, indicating moderate retention risk and potential revenue discontinuity across renewal cycles.</a:t>
          </a:r>
        </a:p>
        <a:p>
          <a:r>
            <a:rPr lang="en-IN"/>
            <a:t>Rent realization efficiency remains a key operational challenge, with an </a:t>
          </a:r>
          <a:r>
            <a:rPr lang="en-IN" b="1"/>
            <a:t>average payment delay of 12.36 days</a:t>
          </a:r>
          <a:r>
            <a:rPr lang="en-IN"/>
            <a:t>, directly translating into an equivalent </a:t>
          </a:r>
          <a:r>
            <a:rPr lang="en-IN" b="1"/>
            <a:t>working capital lag of 12.48 days</a:t>
          </a:r>
          <a:r>
            <a:rPr lang="en-IN"/>
            <a:t>. This delay reflects systemic collection friction rather than isolated tenant behavior.</a:t>
          </a:r>
        </a:p>
        <a:p>
          <a:r>
            <a:rPr lang="en-IN"/>
            <a:t>Financial modeling indicates that reducing this lag to </a:t>
          </a:r>
          <a:r>
            <a:rPr lang="en-IN" b="1"/>
            <a:t>6 days </a:t>
          </a:r>
          <a:r>
            <a:rPr lang="en-IN"/>
            <a:t>could unlock approximately </a:t>
          </a:r>
          <a:r>
            <a:rPr lang="en-IN" b="1"/>
            <a:t>$5.9 Lakhs in monthly liquidity</a:t>
          </a:r>
          <a:r>
            <a:rPr lang="en-IN"/>
            <a:t>, significantly improving cash flow predictability and operational flexibility.</a:t>
          </a:r>
        </a:p>
        <a:p>
          <a:r>
            <a:rPr lang="en-IN"/>
            <a:t>Overall, the portfolio demonstrates stable scale but faces measurable </a:t>
          </a:r>
          <a:r>
            <a:rPr lang="en-IN" b="1"/>
            <a:t>liquidity drag driven by delayed collections and renewal churn</a:t>
          </a:r>
          <a:r>
            <a:rPr lang="en-IN"/>
            <a:t>, presenting clear opportunity </a:t>
          </a:r>
          <a:r>
            <a:rPr lang="en-IN" b="1"/>
            <a:t>for structured process optimization and cash cycle acceleration.</a:t>
          </a:r>
        </a:p>
        <a:p>
          <a:endParaRPr lang="en-IN" sz="1100"/>
        </a:p>
      </xdr:txBody>
    </xdr:sp>
    <xdr:clientData/>
  </xdr:twoCellAnchor>
  <xdr:oneCellAnchor>
    <xdr:from>
      <xdr:col>20</xdr:col>
      <xdr:colOff>85725</xdr:colOff>
      <xdr:row>10</xdr:row>
      <xdr:rowOff>114300</xdr:rowOff>
    </xdr:from>
    <xdr:ext cx="184731" cy="264560"/>
    <xdr:sp macro="" textlink="">
      <xdr:nvSpPr>
        <xdr:cNvPr id="5" name="TextBox 4">
          <a:extLst>
            <a:ext uri="{FF2B5EF4-FFF2-40B4-BE49-F238E27FC236}">
              <a16:creationId xmlns:a16="http://schemas.microsoft.com/office/drawing/2014/main" id="{603D8458-1326-6D25-01C5-F395DEBBD3C2}"/>
            </a:ext>
          </a:extLst>
        </xdr:cNvPr>
        <xdr:cNvSpPr txBox="1"/>
      </xdr:nvSpPr>
      <xdr:spPr>
        <a:xfrm>
          <a:off x="12277725" y="1933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142875</xdr:colOff>
      <xdr:row>17</xdr:row>
      <xdr:rowOff>114300</xdr:rowOff>
    </xdr:from>
    <xdr:to>
      <xdr:col>13</xdr:col>
      <xdr:colOff>247650</xdr:colOff>
      <xdr:row>31</xdr:row>
      <xdr:rowOff>171450</xdr:rowOff>
    </xdr:to>
    <xdr:sp macro="" textlink="">
      <xdr:nvSpPr>
        <xdr:cNvPr id="6" name="TextBox 5">
          <a:extLst>
            <a:ext uri="{FF2B5EF4-FFF2-40B4-BE49-F238E27FC236}">
              <a16:creationId xmlns:a16="http://schemas.microsoft.com/office/drawing/2014/main" id="{C7A84C0C-19CA-C099-3FAC-7736A884120E}"/>
            </a:ext>
          </a:extLst>
        </xdr:cNvPr>
        <xdr:cNvSpPr txBox="1"/>
      </xdr:nvSpPr>
      <xdr:spPr>
        <a:xfrm>
          <a:off x="752475" y="3200400"/>
          <a:ext cx="7419975" cy="268605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u="sng"/>
            <a:t>Revenue Leakage &amp; Liquidity Risk Overview</a:t>
          </a:r>
        </a:p>
        <a:p>
          <a:r>
            <a:rPr lang="en-IN"/>
            <a:t>Revenue leakage within the portfolio is driven by both delayed collections and structural pricing inefficiencies. Analysis shows that </a:t>
          </a:r>
          <a:r>
            <a:rPr lang="en-IN" b="1"/>
            <a:t>100% of outstanding rent exposure is concentrated in tenants delaying payments beyond 7 days</a:t>
          </a:r>
          <a:r>
            <a:rPr lang="en-IN"/>
            <a:t>, with nearly </a:t>
          </a:r>
          <a:r>
            <a:rPr lang="en-IN" b="1"/>
            <a:t>70% of total rental revenue sitting in medium to high delay categories</a:t>
          </a:r>
          <a:r>
            <a:rPr lang="en-IN"/>
            <a:t>.</a:t>
          </a:r>
        </a:p>
        <a:p>
          <a:pPr lvl="0" algn="l"/>
          <a:r>
            <a:rPr lang="en-IN" sz="1100" b="1">
              <a:solidFill>
                <a:schemeClr val="dk1"/>
              </a:solidFill>
              <a:effectLst/>
              <a:latin typeface="+mn-lt"/>
              <a:ea typeface="+mn-ea"/>
              <a:cs typeface="+mn-cs"/>
            </a:rPr>
            <a:t>94% of payments recorded late</a:t>
          </a:r>
          <a:endParaRPr lang="en-IN" sz="1100">
            <a:solidFill>
              <a:schemeClr val="dk1"/>
            </a:solidFill>
            <a:effectLst/>
            <a:latin typeface="+mn-lt"/>
            <a:ea typeface="+mn-ea"/>
            <a:cs typeface="+mn-cs"/>
          </a:endParaRPr>
        </a:p>
        <a:p>
          <a:pPr lvl="0" algn="l"/>
          <a:r>
            <a:rPr lang="en-IN" sz="1100" b="1">
              <a:solidFill>
                <a:schemeClr val="dk1"/>
              </a:solidFill>
              <a:effectLst/>
              <a:latin typeface="+mn-lt"/>
              <a:ea typeface="+mn-ea"/>
              <a:cs typeface="+mn-cs"/>
            </a:rPr>
            <a:t>Uncollected Rent Exposure:</a:t>
          </a:r>
          <a:r>
            <a:rPr lang="en-IN" sz="1100">
              <a:solidFill>
                <a:schemeClr val="dk1"/>
              </a:solidFill>
              <a:effectLst/>
              <a:latin typeface="+mn-lt"/>
              <a:ea typeface="+mn-ea"/>
              <a:cs typeface="+mn-cs"/>
            </a:rPr>
            <a:t> ₹182,472</a:t>
          </a:r>
        </a:p>
        <a:p>
          <a:pPr lvl="0" algn="l"/>
          <a:r>
            <a:rPr lang="en-IN" sz="1100" b="1">
              <a:solidFill>
                <a:schemeClr val="dk1"/>
              </a:solidFill>
              <a:effectLst/>
              <a:latin typeface="+mn-lt"/>
              <a:ea typeface="+mn-ea"/>
              <a:cs typeface="+mn-cs"/>
            </a:rPr>
            <a:t>225 properties priced &gt;10% below internal benchmark</a:t>
          </a:r>
          <a:endParaRPr lang="en-IN" sz="1100">
            <a:solidFill>
              <a:schemeClr val="dk1"/>
            </a:solidFill>
            <a:effectLst/>
            <a:latin typeface="+mn-lt"/>
            <a:ea typeface="+mn-ea"/>
            <a:cs typeface="+mn-cs"/>
          </a:endParaRPr>
        </a:p>
        <a:p>
          <a:endParaRPr lang="en-IN"/>
        </a:p>
        <a:p>
          <a:r>
            <a:rPr lang="en-IN"/>
            <a:t>The current </a:t>
          </a:r>
          <a:r>
            <a:rPr lang="en-IN" b="1"/>
            <a:t>12.36-day average collection lag</a:t>
          </a:r>
          <a:r>
            <a:rPr lang="en-IN"/>
            <a:t> creates measurable working capital friction. Scenario modeling indicates that reducing delay to </a:t>
          </a:r>
          <a:r>
            <a:rPr lang="en-IN" b="1"/>
            <a:t>6 days </a:t>
          </a:r>
          <a:r>
            <a:rPr lang="en-IN"/>
            <a:t>would accelerate approximately </a:t>
          </a:r>
          <a:r>
            <a:rPr lang="en-IN" b="1" u="none"/>
            <a:t>$</a:t>
          </a:r>
          <a:r>
            <a:rPr lang="en-IN" b="1"/>
            <a:t>5.9 Lakhs in monthly liquidity</a:t>
          </a:r>
          <a:r>
            <a:rPr lang="en-IN"/>
            <a:t>, representing a </a:t>
          </a:r>
          <a:r>
            <a:rPr lang="en-IN" b="1"/>
            <a:t>51% improvement in cash realization efficiency</a:t>
          </a:r>
          <a:r>
            <a:rPr lang="en-IN"/>
            <a:t>.</a:t>
          </a:r>
        </a:p>
        <a:p>
          <a:r>
            <a:rPr lang="en-IN"/>
            <a:t>Additionally, internal benchmarking reveals </a:t>
          </a:r>
          <a:r>
            <a:rPr lang="en-IN" b="1"/>
            <a:t>13.17% portfolio-level pricing dispersion</a:t>
          </a:r>
          <a:r>
            <a:rPr lang="en-IN"/>
            <a:t>, highlighting recurring under-market revenue exposure.</a:t>
          </a:r>
        </a:p>
        <a:p>
          <a:r>
            <a:rPr lang="en-IN" b="1"/>
            <a:t>Targeted intervention on 8+ day delay tenants and structured pricing correction during renewals present the highest immediate financial impact.</a:t>
          </a:r>
          <a:endParaRPr lang="en-IN"/>
        </a:p>
        <a:p>
          <a:endParaRPr lang="en-IN" sz="1100"/>
        </a:p>
      </xdr:txBody>
    </xdr:sp>
    <xdr:clientData/>
  </xdr:twoCellAnchor>
  <xdr:twoCellAnchor>
    <xdr:from>
      <xdr:col>1</xdr:col>
      <xdr:colOff>514350</xdr:colOff>
      <xdr:row>34</xdr:row>
      <xdr:rowOff>19051</xdr:rowOff>
    </xdr:from>
    <xdr:to>
      <xdr:col>11</xdr:col>
      <xdr:colOff>342900</xdr:colOff>
      <xdr:row>41</xdr:row>
      <xdr:rowOff>0</xdr:rowOff>
    </xdr:to>
    <xdr:sp macro="" textlink="">
      <xdr:nvSpPr>
        <xdr:cNvPr id="7" name="TextBox 6">
          <a:extLst>
            <a:ext uri="{FF2B5EF4-FFF2-40B4-BE49-F238E27FC236}">
              <a16:creationId xmlns:a16="http://schemas.microsoft.com/office/drawing/2014/main" id="{1B9BF870-8695-78CA-7362-50655C8E8E3B}"/>
            </a:ext>
          </a:extLst>
        </xdr:cNvPr>
        <xdr:cNvSpPr txBox="1"/>
      </xdr:nvSpPr>
      <xdr:spPr>
        <a:xfrm>
          <a:off x="1123950" y="6276976"/>
          <a:ext cx="5924550" cy="1247774"/>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u="sng">
              <a:solidFill>
                <a:schemeClr val="dk1"/>
              </a:solidFill>
              <a:effectLst/>
              <a:latin typeface="+mn-lt"/>
              <a:ea typeface="+mn-ea"/>
              <a:cs typeface="+mn-cs"/>
            </a:rPr>
            <a:t>Lease Cycle &amp; Retention Risk</a:t>
          </a:r>
          <a:endParaRPr lang="en-IN" sz="1400" u="sng">
            <a:solidFill>
              <a:schemeClr val="dk1"/>
            </a:solidFill>
            <a:effectLst/>
            <a:latin typeface="+mn-lt"/>
            <a:ea typeface="+mn-ea"/>
            <a:cs typeface="+mn-cs"/>
          </a:endParaRPr>
        </a:p>
        <a:p>
          <a:r>
            <a:rPr lang="en-IN" sz="1100">
              <a:solidFill>
                <a:schemeClr val="dk1"/>
              </a:solidFill>
              <a:effectLst/>
              <a:latin typeface="+mn-lt"/>
              <a:ea typeface="+mn-ea"/>
              <a:cs typeface="+mn-cs"/>
            </a:rPr>
            <a:t>Lease portfolio stability presents moderate operational risk:</a:t>
          </a:r>
        </a:p>
        <a:p>
          <a:pPr lvl="0"/>
          <a:r>
            <a:rPr lang="en-IN" sz="1100" b="1">
              <a:solidFill>
                <a:schemeClr val="dk1"/>
              </a:solidFill>
              <a:effectLst/>
              <a:latin typeface="+mn-lt"/>
              <a:ea typeface="+mn-ea"/>
              <a:cs typeface="+mn-cs"/>
            </a:rPr>
            <a:t>Lease-Level Churn Rate:</a:t>
          </a:r>
          <a:r>
            <a:rPr lang="en-IN" sz="1100">
              <a:solidFill>
                <a:schemeClr val="dk1"/>
              </a:solidFill>
              <a:effectLst/>
              <a:latin typeface="+mn-lt"/>
              <a:ea typeface="+mn-ea"/>
              <a:cs typeface="+mn-cs"/>
            </a:rPr>
            <a:t> 33%</a:t>
          </a:r>
        </a:p>
        <a:p>
          <a:pPr lvl="0"/>
          <a:r>
            <a:rPr lang="en-IN" sz="1100" b="1">
              <a:solidFill>
                <a:schemeClr val="dk1"/>
              </a:solidFill>
              <a:effectLst/>
              <a:latin typeface="+mn-lt"/>
              <a:ea typeface="+mn-ea"/>
              <a:cs typeface="+mn-cs"/>
            </a:rPr>
            <a:t>Renewal Exposure Ratio:</a:t>
          </a:r>
          <a:r>
            <a:rPr lang="en-IN" sz="1100">
              <a:solidFill>
                <a:schemeClr val="dk1"/>
              </a:solidFill>
              <a:effectLst/>
              <a:latin typeface="+mn-lt"/>
              <a:ea typeface="+mn-ea"/>
              <a:cs typeface="+mn-cs"/>
            </a:rPr>
            <a:t> 88% of leases within expired or near-expiry category</a:t>
          </a:r>
        </a:p>
        <a:p>
          <a:pPr lvl="0"/>
          <a:r>
            <a:rPr lang="en-IN" sz="1100" b="1">
              <a:solidFill>
                <a:schemeClr val="dk1"/>
              </a:solidFill>
              <a:effectLst/>
              <a:latin typeface="+mn-lt"/>
              <a:ea typeface="+mn-ea"/>
              <a:cs typeface="+mn-cs"/>
            </a:rPr>
            <a:t>Escalation Implementation Variance:</a:t>
          </a:r>
          <a:r>
            <a:rPr lang="en-IN" sz="1100">
              <a:solidFill>
                <a:schemeClr val="dk1"/>
              </a:solidFill>
              <a:effectLst/>
              <a:latin typeface="+mn-lt"/>
              <a:ea typeface="+mn-ea"/>
              <a:cs typeface="+mn-cs"/>
            </a:rPr>
            <a:t> 56% of renewals below expected escalation</a:t>
          </a:r>
        </a:p>
        <a:p>
          <a:endParaRPr lang="en-IN" sz="1100"/>
        </a:p>
      </xdr:txBody>
    </xdr:sp>
    <xdr:clientData/>
  </xdr:twoCellAnchor>
  <xdr:twoCellAnchor>
    <xdr:from>
      <xdr:col>12</xdr:col>
      <xdr:colOff>581025</xdr:colOff>
      <xdr:row>33</xdr:row>
      <xdr:rowOff>171449</xdr:rowOff>
    </xdr:from>
    <xdr:to>
      <xdr:col>18</xdr:col>
      <xdr:colOff>495300</xdr:colOff>
      <xdr:row>43</xdr:row>
      <xdr:rowOff>0</xdr:rowOff>
    </xdr:to>
    <xdr:sp macro="" textlink="">
      <xdr:nvSpPr>
        <xdr:cNvPr id="8" name="TextBox 7">
          <a:extLst>
            <a:ext uri="{FF2B5EF4-FFF2-40B4-BE49-F238E27FC236}">
              <a16:creationId xmlns:a16="http://schemas.microsoft.com/office/drawing/2014/main" id="{D4E48F27-DDAA-2835-A97D-35A2B0AC07DD}"/>
            </a:ext>
          </a:extLst>
        </xdr:cNvPr>
        <xdr:cNvSpPr txBox="1"/>
      </xdr:nvSpPr>
      <xdr:spPr>
        <a:xfrm>
          <a:off x="7896225" y="6248399"/>
          <a:ext cx="5191125" cy="1638301"/>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u="sng">
              <a:solidFill>
                <a:schemeClr val="dk1"/>
              </a:solidFill>
              <a:effectLst/>
              <a:latin typeface="+mn-lt"/>
              <a:ea typeface="+mn-ea"/>
              <a:cs typeface="+mn-cs"/>
            </a:rPr>
            <a:t>Maintenance Cost Optimization</a:t>
          </a:r>
          <a:endParaRPr lang="en-IN" sz="1200" u="sng">
            <a:solidFill>
              <a:schemeClr val="dk1"/>
            </a:solidFill>
            <a:effectLst/>
            <a:latin typeface="+mn-lt"/>
            <a:ea typeface="+mn-ea"/>
            <a:cs typeface="+mn-cs"/>
          </a:endParaRPr>
        </a:p>
        <a:p>
          <a:r>
            <a:rPr lang="en-IN" sz="1100">
              <a:solidFill>
                <a:schemeClr val="dk1"/>
              </a:solidFill>
              <a:effectLst/>
              <a:latin typeface="+mn-lt"/>
              <a:ea typeface="+mn-ea"/>
              <a:cs typeface="+mn-cs"/>
            </a:rPr>
            <a:t>Maintenance analysis reveals moderate cost concentration:</a:t>
          </a:r>
        </a:p>
        <a:p>
          <a:pPr lvl="0"/>
          <a:r>
            <a:rPr lang="en-IN" sz="1100" b="1">
              <a:solidFill>
                <a:schemeClr val="dk1"/>
              </a:solidFill>
              <a:effectLst/>
              <a:latin typeface="+mn-lt"/>
              <a:ea typeface="+mn-ea"/>
              <a:cs typeface="+mn-cs"/>
            </a:rPr>
            <a:t>Top 10% properties contribute 22.64% of total maintenance cost</a:t>
          </a:r>
          <a:endParaRPr lang="en-IN" sz="1100">
            <a:solidFill>
              <a:schemeClr val="dk1"/>
            </a:solidFill>
            <a:effectLst/>
            <a:latin typeface="+mn-lt"/>
            <a:ea typeface="+mn-ea"/>
            <a:cs typeface="+mn-cs"/>
          </a:endParaRPr>
        </a:p>
        <a:p>
          <a:pPr lvl="0"/>
          <a:r>
            <a:rPr lang="en-IN" sz="1100" b="1">
              <a:solidFill>
                <a:schemeClr val="dk1"/>
              </a:solidFill>
              <a:effectLst/>
              <a:latin typeface="+mn-lt"/>
              <a:ea typeface="+mn-ea"/>
              <a:cs typeface="+mn-cs"/>
            </a:rPr>
            <a:t>HVAC accounts for 29% of total maintenance expenditure</a:t>
          </a:r>
          <a:endParaRPr lang="en-IN" sz="1100">
            <a:solidFill>
              <a:schemeClr val="dk1"/>
            </a:solidFill>
            <a:effectLst/>
            <a:latin typeface="+mn-lt"/>
            <a:ea typeface="+mn-ea"/>
            <a:cs typeface="+mn-cs"/>
          </a:endParaRPr>
        </a:p>
        <a:p>
          <a:pPr lvl="0"/>
          <a:r>
            <a:rPr lang="en-IN" sz="1100" b="1">
              <a:solidFill>
                <a:schemeClr val="dk1"/>
              </a:solidFill>
              <a:effectLst/>
              <a:latin typeface="+mn-lt"/>
              <a:ea typeface="+mn-ea"/>
              <a:cs typeface="+mn-cs"/>
            </a:rPr>
            <a:t>Vendor A demonstrates highest cost per job and longest resolution time</a:t>
          </a:r>
        </a:p>
        <a:p>
          <a:pPr lvl="0"/>
          <a:r>
            <a:rPr lang="en-IN" sz="1100" b="1">
              <a:solidFill>
                <a:schemeClr val="dk1"/>
              </a:solidFill>
              <a:effectLst/>
              <a:latin typeface="+mn-lt"/>
              <a:ea typeface="+mn-ea"/>
              <a:cs typeface="+mn-cs"/>
            </a:rPr>
            <a:t>Vendor C demostrate lowest cost per job and fastest resolution</a:t>
          </a:r>
          <a:r>
            <a:rPr lang="en-IN" sz="1100" b="1" baseline="0">
              <a:solidFill>
                <a:schemeClr val="dk1"/>
              </a:solidFill>
              <a:effectLst/>
              <a:latin typeface="+mn-lt"/>
              <a:ea typeface="+mn-ea"/>
              <a:cs typeface="+mn-cs"/>
            </a:rPr>
            <a:t> time</a:t>
          </a:r>
          <a:endParaRPr lang="en-IN" sz="1100" b="1">
            <a:solidFill>
              <a:schemeClr val="dk1"/>
            </a:solidFill>
            <a:effectLst/>
            <a:latin typeface="+mn-lt"/>
            <a:ea typeface="+mn-ea"/>
            <a:cs typeface="+mn-cs"/>
          </a:endParaRPr>
        </a:p>
        <a:p>
          <a:r>
            <a:rPr lang="en-IN" sz="1100">
              <a:solidFill>
                <a:schemeClr val="dk1"/>
              </a:solidFill>
              <a:effectLst/>
              <a:latin typeface="+mn-lt"/>
              <a:ea typeface="+mn-ea"/>
              <a:cs typeface="+mn-cs"/>
            </a:rPr>
            <a:t>While overall cost distribution is relatively balanced, issue-type concentration and vendor performance variability indicate opportunities for preventive maintenance planning and SLA-based vendor benchmarking.</a:t>
          </a:r>
        </a:p>
        <a:p>
          <a:endParaRPr lang="en-IN" sz="1100"/>
        </a:p>
      </xdr:txBody>
    </xdr:sp>
    <xdr:clientData/>
  </xdr:twoCellAnchor>
  <xdr:twoCellAnchor>
    <xdr:from>
      <xdr:col>1</xdr:col>
      <xdr:colOff>590550</xdr:colOff>
      <xdr:row>45</xdr:row>
      <xdr:rowOff>171450</xdr:rowOff>
    </xdr:from>
    <xdr:to>
      <xdr:col>11</xdr:col>
      <xdr:colOff>558800</xdr:colOff>
      <xdr:row>52</xdr:row>
      <xdr:rowOff>19050</xdr:rowOff>
    </xdr:to>
    <xdr:sp macro="" textlink="">
      <xdr:nvSpPr>
        <xdr:cNvPr id="9" name="TextBox 8">
          <a:extLst>
            <a:ext uri="{FF2B5EF4-FFF2-40B4-BE49-F238E27FC236}">
              <a16:creationId xmlns:a16="http://schemas.microsoft.com/office/drawing/2014/main" id="{A8931058-996F-EAA4-7261-152FC2987716}"/>
            </a:ext>
          </a:extLst>
        </xdr:cNvPr>
        <xdr:cNvSpPr txBox="1"/>
      </xdr:nvSpPr>
      <xdr:spPr>
        <a:xfrm>
          <a:off x="1200150" y="8896350"/>
          <a:ext cx="6064250" cy="142875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u="sng">
              <a:solidFill>
                <a:schemeClr val="dk1"/>
              </a:solidFill>
              <a:effectLst/>
              <a:latin typeface="+mn-lt"/>
              <a:ea typeface="+mn-ea"/>
              <a:cs typeface="+mn-cs"/>
            </a:rPr>
            <a:t>Strategic Impact Projection</a:t>
          </a:r>
        </a:p>
        <a:p>
          <a:pPr algn="l"/>
          <a:r>
            <a:rPr lang="en-IN" sz="1100">
              <a:solidFill>
                <a:schemeClr val="dk1"/>
              </a:solidFill>
              <a:effectLst/>
              <a:latin typeface="+mn-lt"/>
              <a:ea typeface="+mn-ea"/>
              <a:cs typeface="+mn-cs"/>
            </a:rPr>
            <a:t>Simulation modeling demonstrates that reducing average payment delay from </a:t>
          </a:r>
          <a:r>
            <a:rPr lang="en-IN" sz="1100" b="1">
              <a:solidFill>
                <a:schemeClr val="dk1"/>
              </a:solidFill>
              <a:effectLst/>
              <a:latin typeface="+mn-lt"/>
              <a:ea typeface="+mn-ea"/>
              <a:cs typeface="+mn-cs"/>
            </a:rPr>
            <a:t>12.36 days to 6 days</a:t>
          </a:r>
          <a:r>
            <a:rPr lang="en-IN" sz="1100">
              <a:solidFill>
                <a:schemeClr val="dk1"/>
              </a:solidFill>
              <a:effectLst/>
              <a:latin typeface="+mn-lt"/>
              <a:ea typeface="+mn-ea"/>
              <a:cs typeface="+mn-cs"/>
            </a:rPr>
            <a:t> would:</a:t>
          </a:r>
        </a:p>
        <a:p>
          <a:pPr lvl="1" algn="l"/>
          <a:r>
            <a:rPr lang="en-IN" sz="1100">
              <a:solidFill>
                <a:schemeClr val="dk1"/>
              </a:solidFill>
              <a:effectLst/>
              <a:latin typeface="+mn-lt"/>
              <a:ea typeface="+mn-ea"/>
              <a:cs typeface="+mn-cs"/>
            </a:rPr>
            <a:t>1)Improve cash realization speed by </a:t>
          </a:r>
          <a:r>
            <a:rPr lang="en-IN" sz="1100" b="1">
              <a:solidFill>
                <a:schemeClr val="dk1"/>
              </a:solidFill>
              <a:effectLst/>
              <a:latin typeface="+mn-lt"/>
              <a:ea typeface="+mn-ea"/>
              <a:cs typeface="+mn-cs"/>
            </a:rPr>
            <a:t>51%</a:t>
          </a:r>
          <a:endParaRPr lang="en-IN" sz="1100">
            <a:solidFill>
              <a:schemeClr val="dk1"/>
            </a:solidFill>
            <a:effectLst/>
            <a:latin typeface="+mn-lt"/>
            <a:ea typeface="+mn-ea"/>
            <a:cs typeface="+mn-cs"/>
          </a:endParaRPr>
        </a:p>
        <a:p>
          <a:pPr lvl="1" algn="l"/>
          <a:r>
            <a:rPr lang="en-IN" sz="1100">
              <a:solidFill>
                <a:schemeClr val="dk1"/>
              </a:solidFill>
              <a:effectLst/>
              <a:latin typeface="+mn-lt"/>
              <a:ea typeface="+mn-ea"/>
              <a:cs typeface="+mn-cs"/>
            </a:rPr>
            <a:t>2)Accelerate approximately </a:t>
          </a:r>
          <a:r>
            <a:rPr lang="en-IN" sz="1100" b="1">
              <a:solidFill>
                <a:schemeClr val="dk1"/>
              </a:solidFill>
              <a:effectLst/>
              <a:latin typeface="+mn-lt"/>
              <a:ea typeface="+mn-ea"/>
              <a:cs typeface="+mn-cs"/>
            </a:rPr>
            <a:t>₹5.9 Lakhs in monthly working capital</a:t>
          </a:r>
          <a:endParaRPr lang="en-IN" sz="1100">
            <a:solidFill>
              <a:schemeClr val="dk1"/>
            </a:solidFill>
            <a:effectLst/>
            <a:latin typeface="+mn-lt"/>
            <a:ea typeface="+mn-ea"/>
            <a:cs typeface="+mn-cs"/>
          </a:endParaRPr>
        </a:p>
        <a:p>
          <a:pPr lvl="1" algn="l"/>
          <a:r>
            <a:rPr lang="en-IN" sz="1100">
              <a:solidFill>
                <a:schemeClr val="dk1"/>
              </a:solidFill>
              <a:effectLst/>
              <a:latin typeface="+mn-lt"/>
              <a:ea typeface="+mn-ea"/>
              <a:cs typeface="+mn-cs"/>
            </a:rPr>
            <a:t>3)Yield an estimated </a:t>
          </a:r>
          <a:r>
            <a:rPr lang="en-IN" sz="1100" b="1">
              <a:solidFill>
                <a:schemeClr val="dk1"/>
              </a:solidFill>
              <a:effectLst/>
              <a:latin typeface="+mn-lt"/>
              <a:ea typeface="+mn-ea"/>
              <a:cs typeface="+mn-cs"/>
            </a:rPr>
            <a:t>₹70 Lakhs annual liquidity improvement</a:t>
          </a:r>
          <a:endParaRPr lang="en-IN" sz="1100">
            <a:solidFill>
              <a:schemeClr val="dk1"/>
            </a:solidFill>
            <a:effectLst/>
            <a:latin typeface="+mn-lt"/>
            <a:ea typeface="+mn-ea"/>
            <a:cs typeface="+mn-cs"/>
          </a:endParaRPr>
        </a:p>
        <a:p>
          <a:endParaRPr lang="en-IN" sz="1100"/>
        </a:p>
      </xdr:txBody>
    </xdr:sp>
    <xdr:clientData/>
  </xdr:twoCellAnchor>
  <xdr:twoCellAnchor>
    <xdr:from>
      <xdr:col>18</xdr:col>
      <xdr:colOff>749300</xdr:colOff>
      <xdr:row>45</xdr:row>
      <xdr:rowOff>152399</xdr:rowOff>
    </xdr:from>
    <xdr:to>
      <xdr:col>23</xdr:col>
      <xdr:colOff>139700</xdr:colOff>
      <xdr:row>69</xdr:row>
      <xdr:rowOff>0</xdr:rowOff>
    </xdr:to>
    <xdr:sp macro="" textlink="">
      <xdr:nvSpPr>
        <xdr:cNvPr id="10" name="TextBox 9">
          <a:extLst>
            <a:ext uri="{FF2B5EF4-FFF2-40B4-BE49-F238E27FC236}">
              <a16:creationId xmlns:a16="http://schemas.microsoft.com/office/drawing/2014/main" id="{06CC5D2A-BD9A-E41A-DB5E-42783597AB12}"/>
            </a:ext>
          </a:extLst>
        </xdr:cNvPr>
        <xdr:cNvSpPr txBox="1"/>
      </xdr:nvSpPr>
      <xdr:spPr>
        <a:xfrm>
          <a:off x="14379575" y="8877299"/>
          <a:ext cx="5314950" cy="4505326"/>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u="sng">
              <a:solidFill>
                <a:schemeClr val="dk1"/>
              </a:solidFill>
              <a:effectLst/>
              <a:latin typeface="+mn-lt"/>
              <a:ea typeface="+mn-ea"/>
              <a:cs typeface="+mn-cs"/>
            </a:rPr>
            <a:t>Strategic Recommendations</a:t>
          </a:r>
        </a:p>
        <a:p>
          <a:r>
            <a:rPr lang="en-IN" sz="1100">
              <a:solidFill>
                <a:schemeClr val="dk1"/>
              </a:solidFill>
              <a:effectLst/>
              <a:latin typeface="+mn-lt"/>
              <a:ea typeface="+mn-ea"/>
              <a:cs typeface="+mn-cs"/>
            </a:rPr>
            <a:t>To enhance operational efficiency and revenue stability, the following actions are recommended:</a:t>
          </a:r>
        </a:p>
        <a:p>
          <a:endParaRPr lang="en-IN" sz="1100">
            <a:solidFill>
              <a:schemeClr val="dk1"/>
            </a:solidFill>
            <a:effectLst/>
            <a:latin typeface="+mn-lt"/>
            <a:ea typeface="+mn-ea"/>
            <a:cs typeface="+mn-cs"/>
          </a:endParaRPr>
        </a:p>
        <a:p>
          <a:pPr lvl="0"/>
          <a:r>
            <a:rPr lang="en-IN" sz="1100">
              <a:solidFill>
                <a:schemeClr val="dk1"/>
              </a:solidFill>
              <a:effectLst/>
              <a:latin typeface="+mn-lt"/>
              <a:ea typeface="+mn-ea"/>
              <a:cs typeface="+mn-cs"/>
            </a:rPr>
            <a:t>1) Implement automated risk-based rent reminder workflows :</a:t>
          </a:r>
        </a:p>
        <a:p>
          <a:pPr lvl="0"/>
          <a:r>
            <a:rPr lang="en-IN" sz="1100">
              <a:solidFill>
                <a:schemeClr val="dk1"/>
              </a:solidFill>
              <a:effectLst/>
              <a:latin typeface="+mn-lt"/>
              <a:ea typeface="+mn-ea"/>
              <a:cs typeface="+mn-cs"/>
            </a:rPr>
            <a:t>A. T-3 Days reminder</a:t>
          </a:r>
        </a:p>
        <a:p>
          <a:pPr lvl="0"/>
          <a:r>
            <a:rPr lang="en-IN" sz="1100">
              <a:solidFill>
                <a:schemeClr val="dk1"/>
              </a:solidFill>
              <a:effectLst/>
              <a:latin typeface="+mn-lt"/>
              <a:ea typeface="+mn-ea"/>
              <a:cs typeface="+mn-cs"/>
            </a:rPr>
            <a:t>B. Day +3 escalation</a:t>
          </a:r>
        </a:p>
        <a:p>
          <a:pPr lvl="0"/>
          <a:endParaRPr lang="en-IN" sz="1100">
            <a:solidFill>
              <a:schemeClr val="dk1"/>
            </a:solidFill>
            <a:effectLst/>
            <a:latin typeface="+mn-lt"/>
            <a:ea typeface="+mn-ea"/>
            <a:cs typeface="+mn-cs"/>
          </a:endParaRPr>
        </a:p>
        <a:p>
          <a:pPr lvl="0"/>
          <a:r>
            <a:rPr lang="en-IN" sz="1100">
              <a:solidFill>
                <a:schemeClr val="dk1"/>
              </a:solidFill>
              <a:effectLst/>
              <a:latin typeface="+mn-lt"/>
              <a:ea typeface="+mn-ea"/>
              <a:cs typeface="+mn-cs"/>
            </a:rPr>
            <a:t>2) Establish renewal monitoring dashboard with 60-day alert triggers:</a:t>
          </a:r>
        </a:p>
        <a:p>
          <a:pPr lvl="0"/>
          <a:r>
            <a:rPr lang="en-IN" sz="1100">
              <a:solidFill>
                <a:schemeClr val="dk1"/>
              </a:solidFill>
              <a:effectLst/>
              <a:latin typeface="+mn-lt"/>
              <a:ea typeface="+mn-ea"/>
              <a:cs typeface="+mn-cs"/>
            </a:rPr>
            <a:t>A. 60-day expiry trigger</a:t>
          </a:r>
        </a:p>
        <a:p>
          <a:pPr lvl="0"/>
          <a:r>
            <a:rPr lang="en-IN" sz="1100">
              <a:solidFill>
                <a:schemeClr val="dk1"/>
              </a:solidFill>
              <a:effectLst/>
              <a:latin typeface="+mn-lt"/>
              <a:ea typeface="+mn-ea"/>
              <a:cs typeface="+mn-cs"/>
            </a:rPr>
            <a:t>B.Escalation audit tracker</a:t>
          </a:r>
        </a:p>
        <a:p>
          <a:pPr lvl="0"/>
          <a:endParaRPr lang="en-IN" sz="1100">
            <a:solidFill>
              <a:schemeClr val="dk1"/>
            </a:solidFill>
            <a:effectLst/>
            <a:latin typeface="+mn-lt"/>
            <a:ea typeface="+mn-ea"/>
            <a:cs typeface="+mn-cs"/>
          </a:endParaRPr>
        </a:p>
        <a:p>
          <a:pPr lvl="0"/>
          <a:r>
            <a:rPr lang="en-IN" sz="1100">
              <a:solidFill>
                <a:schemeClr val="dk1"/>
              </a:solidFill>
              <a:effectLst/>
              <a:latin typeface="+mn-lt"/>
              <a:ea typeface="+mn-ea"/>
              <a:cs typeface="+mn-cs"/>
            </a:rPr>
            <a:t>3) Standardize escalation enforcement audits:</a:t>
          </a:r>
        </a:p>
        <a:p>
          <a:pPr lvl="0"/>
          <a:r>
            <a:rPr lang="en-IN" sz="1100">
              <a:solidFill>
                <a:schemeClr val="dk1"/>
              </a:solidFill>
              <a:effectLst/>
              <a:latin typeface="+mn-lt"/>
              <a:ea typeface="+mn-ea"/>
              <a:cs typeface="+mn-cs"/>
            </a:rPr>
            <a:t>A. Medium Risk → Automated email</a:t>
          </a:r>
        </a:p>
        <a:p>
          <a:pPr lvl="0"/>
          <a:r>
            <a:rPr lang="en-IN" sz="1100">
              <a:solidFill>
                <a:schemeClr val="dk1"/>
              </a:solidFill>
              <a:effectLst/>
              <a:latin typeface="+mn-lt"/>
              <a:ea typeface="+mn-ea"/>
              <a:cs typeface="+mn-cs"/>
            </a:rPr>
            <a:t>B. High Risk → Manual call</a:t>
          </a:r>
        </a:p>
        <a:p>
          <a:pPr lvl="0"/>
          <a:r>
            <a:rPr lang="en-IN" sz="1100">
              <a:solidFill>
                <a:schemeClr val="dk1"/>
              </a:solidFill>
              <a:effectLst/>
              <a:latin typeface="+mn-lt"/>
              <a:ea typeface="+mn-ea"/>
              <a:cs typeface="+mn-cs"/>
            </a:rPr>
            <a:t>C. Severe Risk → Penalty clause</a:t>
          </a:r>
        </a:p>
        <a:p>
          <a:pPr lvl="0"/>
          <a:endParaRPr lang="en-IN" sz="1100">
            <a:solidFill>
              <a:schemeClr val="dk1"/>
            </a:solidFill>
            <a:effectLst/>
            <a:latin typeface="+mn-lt"/>
            <a:ea typeface="+mn-ea"/>
            <a:cs typeface="+mn-cs"/>
          </a:endParaRPr>
        </a:p>
        <a:p>
          <a:pPr lvl="0"/>
          <a:r>
            <a:rPr lang="en-IN" sz="1100">
              <a:solidFill>
                <a:schemeClr val="dk1"/>
              </a:solidFill>
              <a:effectLst/>
              <a:latin typeface="+mn-lt"/>
              <a:ea typeface="+mn-ea"/>
              <a:cs typeface="+mn-cs"/>
            </a:rPr>
            <a:t>4) Introduce SLA-based vendor performance benchmarking:</a:t>
          </a:r>
        </a:p>
        <a:p>
          <a:pPr lvl="0"/>
          <a:r>
            <a:rPr lang="en-IN" sz="1100">
              <a:solidFill>
                <a:schemeClr val="dk1"/>
              </a:solidFill>
              <a:effectLst/>
              <a:latin typeface="+mn-lt"/>
              <a:ea typeface="+mn-ea"/>
              <a:cs typeface="+mn-cs"/>
            </a:rPr>
            <a:t>Tie payment to resolution days</a:t>
          </a:r>
        </a:p>
        <a:p>
          <a:pPr lvl="0"/>
          <a:r>
            <a:rPr lang="en-IN" sz="1100">
              <a:solidFill>
                <a:schemeClr val="dk1"/>
              </a:solidFill>
              <a:effectLst/>
              <a:latin typeface="+mn-lt"/>
              <a:ea typeface="+mn-ea"/>
              <a:cs typeface="+mn-cs"/>
            </a:rPr>
            <a:t>If delay reduces to 6 days:</a:t>
          </a:r>
        </a:p>
        <a:p>
          <a:pPr lvl="0"/>
          <a:r>
            <a:rPr lang="en-IN" sz="1100">
              <a:solidFill>
                <a:schemeClr val="dk1"/>
              </a:solidFill>
              <a:effectLst/>
              <a:latin typeface="+mn-lt"/>
              <a:ea typeface="+mn-ea"/>
              <a:cs typeface="+mn-cs"/>
            </a:rPr>
            <a:t>• 51% faster realization</a:t>
          </a:r>
        </a:p>
        <a:p>
          <a:pPr lvl="0"/>
          <a:r>
            <a:rPr lang="en-IN" sz="1100">
              <a:solidFill>
                <a:schemeClr val="dk1"/>
              </a:solidFill>
              <a:effectLst/>
              <a:latin typeface="+mn-lt"/>
              <a:ea typeface="+mn-ea"/>
              <a:cs typeface="+mn-cs"/>
            </a:rPr>
            <a:t>• ₹5.9L monthly liquidity acceleration</a:t>
          </a:r>
        </a:p>
        <a:p>
          <a:pPr lvl="0"/>
          <a:r>
            <a:rPr lang="en-IN" sz="1100">
              <a:solidFill>
                <a:schemeClr val="dk1"/>
              </a:solidFill>
              <a:effectLst/>
              <a:latin typeface="+mn-lt"/>
              <a:ea typeface="+mn-ea"/>
              <a:cs typeface="+mn-cs"/>
            </a:rPr>
            <a:t>• ~₹70L annual liquidity improvement</a:t>
          </a:r>
        </a:p>
        <a:p>
          <a:pPr lvl="0"/>
          <a:endParaRPr lang="en-IN" sz="1100">
            <a:solidFill>
              <a:schemeClr val="dk1"/>
            </a:solidFill>
            <a:effectLst/>
            <a:latin typeface="+mn-lt"/>
            <a:ea typeface="+mn-ea"/>
            <a:cs typeface="+mn-cs"/>
          </a:endParaRPr>
        </a:p>
        <a:p>
          <a:pPr lvl="0"/>
          <a:r>
            <a:rPr lang="en-IN" sz="1100">
              <a:solidFill>
                <a:schemeClr val="dk1"/>
              </a:solidFill>
              <a:effectLst/>
              <a:latin typeface="+mn-lt"/>
              <a:ea typeface="+mn-ea"/>
              <a:cs typeface="+mn-cs"/>
            </a:rPr>
            <a:t>Optimize rent correction during renewal cycles for underpriced properties</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246379</xdr:colOff>
      <xdr:row>1</xdr:row>
      <xdr:rowOff>39370</xdr:rowOff>
    </xdr:from>
    <xdr:to>
      <xdr:col>7</xdr:col>
      <xdr:colOff>323215</xdr:colOff>
      <xdr:row>10</xdr:row>
      <xdr:rowOff>142240</xdr:rowOff>
    </xdr:to>
    <xdr:sp macro="" textlink="">
      <xdr:nvSpPr>
        <xdr:cNvPr id="2" name="TextBox 1">
          <a:extLst>
            <a:ext uri="{FF2B5EF4-FFF2-40B4-BE49-F238E27FC236}">
              <a16:creationId xmlns:a16="http://schemas.microsoft.com/office/drawing/2014/main" id="{7493C04A-2380-A967-B766-3FCBD79D2D3D}"/>
            </a:ext>
          </a:extLst>
        </xdr:cNvPr>
        <xdr:cNvSpPr txBox="1"/>
      </xdr:nvSpPr>
      <xdr:spPr>
        <a:xfrm flipH="1">
          <a:off x="3703954" y="220345"/>
          <a:ext cx="6172836" cy="1731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Broker Commission Oversight (Data Limitation)</a:t>
          </a:r>
        </a:p>
        <a:p>
          <a:endParaRPr lang="en-IN"/>
        </a:p>
        <a:p>
          <a:r>
            <a:rPr lang="en-IN"/>
            <a:t>Broker commission analysis could not be performed due to absence of commission-related data within the current dataset. For comprehensive revenue leakage monitoring, inclusion of commission amount and deal-level brokerage percentage is recommended.</a:t>
          </a:r>
        </a:p>
        <a:p>
          <a:r>
            <a:rPr lang="en-IN"/>
            <a:t>Future integration of commission data would allow detection of:</a:t>
          </a:r>
          <a:br>
            <a:rPr lang="en-IN"/>
          </a:br>
          <a:r>
            <a:rPr lang="en-IN"/>
            <a:t>• Excess brokerage payments</a:t>
          </a:r>
          <a:br>
            <a:rPr lang="en-IN"/>
          </a:br>
          <a:r>
            <a:rPr lang="en-IN"/>
            <a:t>• Commission rate inconsistencies</a:t>
          </a:r>
          <a:br>
            <a:rPr lang="en-IN"/>
          </a:br>
          <a:r>
            <a:rPr lang="en-IN"/>
            <a:t>• Negotiation inefficiencies</a:t>
          </a:r>
        </a:p>
        <a:p>
          <a:endParaRPr lang="en-IN" sz="1100"/>
        </a:p>
      </xdr:txBody>
    </xdr:sp>
    <xdr:clientData/>
  </xdr:twoCellAnchor>
  <xdr:twoCellAnchor>
    <xdr:from>
      <xdr:col>2</xdr:col>
      <xdr:colOff>258445</xdr:colOff>
      <xdr:row>12</xdr:row>
      <xdr:rowOff>0</xdr:rowOff>
    </xdr:from>
    <xdr:to>
      <xdr:col>6</xdr:col>
      <xdr:colOff>342900</xdr:colOff>
      <xdr:row>14</xdr:row>
      <xdr:rowOff>106680</xdr:rowOff>
    </xdr:to>
    <xdr:sp macro="" textlink="">
      <xdr:nvSpPr>
        <xdr:cNvPr id="5" name="TextBox 4">
          <a:extLst>
            <a:ext uri="{FF2B5EF4-FFF2-40B4-BE49-F238E27FC236}">
              <a16:creationId xmlns:a16="http://schemas.microsoft.com/office/drawing/2014/main" id="{E1B3F8AF-3477-E244-32EF-C1B658CCA2F6}"/>
            </a:ext>
          </a:extLst>
        </xdr:cNvPr>
        <xdr:cNvSpPr txBox="1"/>
      </xdr:nvSpPr>
      <xdr:spPr>
        <a:xfrm>
          <a:off x="3716020" y="2171700"/>
          <a:ext cx="5570855" cy="4686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33% of leases have expired without renewal, with an average lag of 415 days. Prolonged renewal cycles increase vacancy probability and revenue discontinuity risk.</a:t>
          </a:r>
          <a:endParaRPr lang="en-IN" sz="1100"/>
        </a:p>
      </xdr:txBody>
    </xdr:sp>
    <xdr:clientData/>
  </xdr:twoCellAnchor>
  <xdr:twoCellAnchor>
    <xdr:from>
      <xdr:col>2</xdr:col>
      <xdr:colOff>257175</xdr:colOff>
      <xdr:row>15</xdr:row>
      <xdr:rowOff>168275</xdr:rowOff>
    </xdr:from>
    <xdr:to>
      <xdr:col>6</xdr:col>
      <xdr:colOff>339725</xdr:colOff>
      <xdr:row>20</xdr:row>
      <xdr:rowOff>57150</xdr:rowOff>
    </xdr:to>
    <xdr:sp macro="" textlink="">
      <xdr:nvSpPr>
        <xdr:cNvPr id="6" name="TextBox 5">
          <a:extLst>
            <a:ext uri="{FF2B5EF4-FFF2-40B4-BE49-F238E27FC236}">
              <a16:creationId xmlns:a16="http://schemas.microsoft.com/office/drawing/2014/main" id="{921E2337-7111-FD6F-9BFE-65870544E9FA}"/>
            </a:ext>
          </a:extLst>
        </xdr:cNvPr>
        <xdr:cNvSpPr txBox="1"/>
      </xdr:nvSpPr>
      <xdr:spPr>
        <a:xfrm>
          <a:off x="3714750" y="2882900"/>
          <a:ext cx="5568950" cy="793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Escalation implementation analysis indicates an average realization rate of 106%, suggesting overall escalation uplift. However, 56.32% of renewed leases reflect variance below expected escalation levels, highlighting inconsistency in execution. This indicates absence of standardized escalation enforcement and potential process governance gaps.</a:t>
          </a:r>
          <a:endParaRPr lang="en-IN" sz="1100"/>
        </a:p>
      </xdr:txBody>
    </xdr:sp>
    <xdr:clientData/>
  </xdr:twoCellAnchor>
  <xdr:twoCellAnchor>
    <xdr:from>
      <xdr:col>2</xdr:col>
      <xdr:colOff>244475</xdr:colOff>
      <xdr:row>21</xdr:row>
      <xdr:rowOff>76200</xdr:rowOff>
    </xdr:from>
    <xdr:to>
      <xdr:col>6</xdr:col>
      <xdr:colOff>333375</xdr:colOff>
      <xdr:row>28</xdr:row>
      <xdr:rowOff>63500</xdr:rowOff>
    </xdr:to>
    <xdr:sp macro="" textlink="">
      <xdr:nvSpPr>
        <xdr:cNvPr id="7" name="TextBox 6">
          <a:extLst>
            <a:ext uri="{FF2B5EF4-FFF2-40B4-BE49-F238E27FC236}">
              <a16:creationId xmlns:a16="http://schemas.microsoft.com/office/drawing/2014/main" id="{C9D25B06-0CD2-B877-62E9-2EBD2D0AD7A4}"/>
            </a:ext>
          </a:extLst>
        </xdr:cNvPr>
        <xdr:cNvSpPr txBox="1"/>
      </xdr:nvSpPr>
      <xdr:spPr>
        <a:xfrm>
          <a:off x="3702050" y="3876675"/>
          <a:ext cx="5575300" cy="1254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Tenant Churn Rate</a:t>
          </a:r>
        </a:p>
        <a:p>
          <a:r>
            <a:rPr lang="en-IN"/>
            <a:t>The lease-level churn rate stands at 33%, indicating that one-third of lease contracts have expired without renewal. While a 67% retention ratio reflects moderate portfolio stability, elevated churn can increase vacancy exposure, brokerage expenses, and revenue discontinuity risk.</a:t>
          </a:r>
        </a:p>
        <a:p>
          <a:r>
            <a:rPr lang="en-IN"/>
            <a:t>Proactive renewal engagement within high-risk expiry segments can mitigate churn-driven revenue volatility.</a:t>
          </a:r>
        </a:p>
        <a:p>
          <a:endParaRPr lang="en-IN" sz="1100"/>
        </a:p>
      </xdr:txBody>
    </xdr:sp>
    <xdr:clientData/>
  </xdr:twoCellAnchor>
  <xdr:twoCellAnchor>
    <xdr:from>
      <xdr:col>2</xdr:col>
      <xdr:colOff>208280</xdr:colOff>
      <xdr:row>29</xdr:row>
      <xdr:rowOff>113030</xdr:rowOff>
    </xdr:from>
    <xdr:to>
      <xdr:col>6</xdr:col>
      <xdr:colOff>314325</xdr:colOff>
      <xdr:row>34</xdr:row>
      <xdr:rowOff>161925</xdr:rowOff>
    </xdr:to>
    <xdr:sp macro="" textlink="">
      <xdr:nvSpPr>
        <xdr:cNvPr id="8" name="TextBox 7">
          <a:extLst>
            <a:ext uri="{FF2B5EF4-FFF2-40B4-BE49-F238E27FC236}">
              <a16:creationId xmlns:a16="http://schemas.microsoft.com/office/drawing/2014/main" id="{85DF74BA-64F0-A9EA-C3E8-32D203B6265C}"/>
            </a:ext>
          </a:extLst>
        </xdr:cNvPr>
        <xdr:cNvSpPr txBox="1"/>
      </xdr:nvSpPr>
      <xdr:spPr>
        <a:xfrm>
          <a:off x="3665855" y="5361305"/>
          <a:ext cx="5592445" cy="9537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Maintenance cost analysis reveals that the top 10% of properties contribute 22.64% of total maintenance expenditure, indicating relatively balanced cost distribution across the portfolio. While no severe concentration risk is observed, targeted review of high-cost assets may further optimize preventive maintenance strategy.</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22859</xdr:colOff>
      <xdr:row>1</xdr:row>
      <xdr:rowOff>74297</xdr:rowOff>
    </xdr:from>
    <xdr:to>
      <xdr:col>16</xdr:col>
      <xdr:colOff>506730</xdr:colOff>
      <xdr:row>7</xdr:row>
      <xdr:rowOff>129541</xdr:rowOff>
    </xdr:to>
    <xdr:sp macro="" textlink="">
      <xdr:nvSpPr>
        <xdr:cNvPr id="2" name="TextBox 1">
          <a:extLst>
            <a:ext uri="{FF2B5EF4-FFF2-40B4-BE49-F238E27FC236}">
              <a16:creationId xmlns:a16="http://schemas.microsoft.com/office/drawing/2014/main" id="{914D3097-4798-89C1-7E42-1DA14461B9E8}"/>
            </a:ext>
          </a:extLst>
        </xdr:cNvPr>
        <xdr:cNvSpPr txBox="1"/>
      </xdr:nvSpPr>
      <xdr:spPr>
        <a:xfrm>
          <a:off x="8690609" y="255272"/>
          <a:ext cx="8380096" cy="1141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Liquidity Optimization Analysis</a:t>
          </a:r>
          <a:endParaRPr lang="en-IN">
            <a:effectLst/>
          </a:endParaRPr>
        </a:p>
        <a:p>
          <a:r>
            <a:rPr lang="en-IN" sz="1100">
              <a:solidFill>
                <a:schemeClr val="dk1"/>
              </a:solidFill>
              <a:effectLst/>
              <a:latin typeface="+mn-lt"/>
              <a:ea typeface="+mn-ea"/>
              <a:cs typeface="+mn-cs"/>
            </a:rPr>
            <a:t>The current average collection delay of 12.36 days results in material liquidity friction. Approximately 70% of total rental revenue lies within medium to high delay categories, indicating systemic behavioral inefficiencies.</a:t>
          </a:r>
          <a:endParaRPr lang="en-IN">
            <a:effectLst/>
          </a:endParaRPr>
        </a:p>
        <a:p>
          <a:r>
            <a:rPr lang="en-IN" sz="1100">
              <a:solidFill>
                <a:schemeClr val="dk1"/>
              </a:solidFill>
              <a:effectLst/>
              <a:latin typeface="+mn-lt"/>
              <a:ea typeface="+mn-ea"/>
              <a:cs typeface="+mn-cs"/>
            </a:rPr>
            <a:t>Simulation modeling demonstrates that reducing delay to 6 days would release nearly $5.9 Lakhs in monthly working capital, improving cash realization efficiency by over 51%.</a:t>
          </a:r>
          <a:endParaRPr lang="en-IN">
            <a:effectLst/>
          </a:endParaRPr>
        </a:p>
        <a:p>
          <a:r>
            <a:rPr lang="en-IN" sz="1100">
              <a:solidFill>
                <a:schemeClr val="dk1"/>
              </a:solidFill>
              <a:effectLst/>
              <a:latin typeface="+mn-lt"/>
              <a:ea typeface="+mn-ea"/>
              <a:cs typeface="+mn-cs"/>
            </a:rPr>
            <a:t>Targeted intervention on tenants within the 8+ day delay segment offers the highest marginal liquidity impact.</a:t>
          </a:r>
          <a:endParaRPr lang="en-IN">
            <a:effectLst/>
          </a:endParaRPr>
        </a:p>
        <a:p>
          <a:endParaRPr lang="en-IN" sz="1100"/>
        </a:p>
      </xdr:txBody>
    </xdr:sp>
    <xdr:clientData/>
  </xdr:twoCellAnchor>
  <xdr:twoCellAnchor>
    <xdr:from>
      <xdr:col>2</xdr:col>
      <xdr:colOff>220980</xdr:colOff>
      <xdr:row>11</xdr:row>
      <xdr:rowOff>133351</xdr:rowOff>
    </xdr:from>
    <xdr:to>
      <xdr:col>8</xdr:col>
      <xdr:colOff>1011555</xdr:colOff>
      <xdr:row>17</xdr:row>
      <xdr:rowOff>114301</xdr:rowOff>
    </xdr:to>
    <xdr:sp macro="" textlink="">
      <xdr:nvSpPr>
        <xdr:cNvPr id="3" name="TextBox 2">
          <a:extLst>
            <a:ext uri="{FF2B5EF4-FFF2-40B4-BE49-F238E27FC236}">
              <a16:creationId xmlns:a16="http://schemas.microsoft.com/office/drawing/2014/main" id="{0C18F3C2-E7B0-73DF-AFCC-7F25EF1166B6}"/>
            </a:ext>
          </a:extLst>
        </xdr:cNvPr>
        <xdr:cNvSpPr txBox="1"/>
      </xdr:nvSpPr>
      <xdr:spPr>
        <a:xfrm>
          <a:off x="3697605" y="2124076"/>
          <a:ext cx="8343900" cy="116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Revenue Leakage Risk Distribution</a:t>
          </a:r>
        </a:p>
        <a:p>
          <a:r>
            <a:rPr lang="en-IN"/>
            <a:t>Analysis indicates that 100% of outstanding rental exposure is concentrated within Medium to High delay categories (8+ days). No unpaid balances are observed within on-time or low-risk segments.</a:t>
          </a:r>
        </a:p>
        <a:p>
          <a:r>
            <a:rPr lang="en-IN"/>
            <a:t>This suggests that collection inefficiency escalates into actual revenue leakage beyond the 7-day threshold.</a:t>
          </a:r>
        </a:p>
        <a:p>
          <a:r>
            <a:rPr lang="en-IN"/>
            <a:t>Targeted recovery efforts focused on 8+ day tenants will directly reduce profitability erosion.</a:t>
          </a:r>
        </a:p>
        <a:p>
          <a:endParaRPr lang="en-IN" sz="1100"/>
        </a:p>
      </xdr:txBody>
    </xdr:sp>
    <xdr:clientData/>
  </xdr:twoCellAnchor>
  <xdr:twoCellAnchor>
    <xdr:from>
      <xdr:col>2</xdr:col>
      <xdr:colOff>97155</xdr:colOff>
      <xdr:row>20</xdr:row>
      <xdr:rowOff>45720</xdr:rowOff>
    </xdr:from>
    <xdr:to>
      <xdr:col>7</xdr:col>
      <xdr:colOff>516255</xdr:colOff>
      <xdr:row>25</xdr:row>
      <xdr:rowOff>34290</xdr:rowOff>
    </xdr:to>
    <xdr:sp macro="" textlink="">
      <xdr:nvSpPr>
        <xdr:cNvPr id="4" name="TextBox 3">
          <a:extLst>
            <a:ext uri="{FF2B5EF4-FFF2-40B4-BE49-F238E27FC236}">
              <a16:creationId xmlns:a16="http://schemas.microsoft.com/office/drawing/2014/main" id="{D0EA849C-2C94-4864-482F-91B5120612B7}"/>
            </a:ext>
          </a:extLst>
        </xdr:cNvPr>
        <xdr:cNvSpPr txBox="1"/>
      </xdr:nvSpPr>
      <xdr:spPr>
        <a:xfrm>
          <a:off x="3573780" y="3760470"/>
          <a:ext cx="7362825" cy="8934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expiry risk analysis reveals that 88%  of the lease portfolio falls within expired or near-expiry categories. Specifically, 251 leases are already past expiry date, indicating potential renewal tracking gaps or data governance inefficiencies. Immediate portfolio-level renewal audit is recommended to mitigate revenue discontinuity risk.</a:t>
          </a:r>
          <a:endParaRPr lang="en-IN" sz="1100"/>
        </a:p>
      </xdr:txBody>
    </xdr:sp>
    <xdr:clientData/>
  </xdr:twoCellAnchor>
  <xdr:twoCellAnchor>
    <xdr:from>
      <xdr:col>6</xdr:col>
      <xdr:colOff>287654</xdr:colOff>
      <xdr:row>28</xdr:row>
      <xdr:rowOff>59054</xdr:rowOff>
    </xdr:from>
    <xdr:to>
      <xdr:col>11</xdr:col>
      <xdr:colOff>373379</xdr:colOff>
      <xdr:row>34</xdr:row>
      <xdr:rowOff>99059</xdr:rowOff>
    </xdr:to>
    <xdr:sp macro="" textlink="">
      <xdr:nvSpPr>
        <xdr:cNvPr id="5" name="TextBox 4">
          <a:extLst>
            <a:ext uri="{FF2B5EF4-FFF2-40B4-BE49-F238E27FC236}">
              <a16:creationId xmlns:a16="http://schemas.microsoft.com/office/drawing/2014/main" id="{CB88B082-776A-6A2C-B9D5-8DDDBCA4B887}"/>
            </a:ext>
          </a:extLst>
        </xdr:cNvPr>
        <xdr:cNvSpPr txBox="1"/>
      </xdr:nvSpPr>
      <xdr:spPr>
        <a:xfrm>
          <a:off x="8955404" y="5221604"/>
          <a:ext cx="4933950" cy="112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Issue-type analysis reveals HVAC as the highest cost driver, accounting for approximately 29% of total maintenance expenditure. Additionally, HVAC exhibits the longest average resolution time (11.25 days), indicating potential equipment lifecycle inefficiencies or vendor performance gaps. Preventive maintenance planning and vendor SLA review are recommended to mitigate recurring cost escalation.</a:t>
          </a:r>
          <a:endParaRPr lang="en-IN" sz="1100"/>
        </a:p>
      </xdr:txBody>
    </xdr:sp>
    <xdr:clientData/>
  </xdr:twoCellAnchor>
  <xdr:twoCellAnchor>
    <xdr:from>
      <xdr:col>3</xdr:col>
      <xdr:colOff>81915</xdr:colOff>
      <xdr:row>43</xdr:row>
      <xdr:rowOff>20955</xdr:rowOff>
    </xdr:from>
    <xdr:to>
      <xdr:col>6</xdr:col>
      <xdr:colOff>1564005</xdr:colOff>
      <xdr:row>48</xdr:row>
      <xdr:rowOff>24765</xdr:rowOff>
    </xdr:to>
    <xdr:sp macro="" textlink="">
      <xdr:nvSpPr>
        <xdr:cNvPr id="6" name="TextBox 5">
          <a:extLst>
            <a:ext uri="{FF2B5EF4-FFF2-40B4-BE49-F238E27FC236}">
              <a16:creationId xmlns:a16="http://schemas.microsoft.com/office/drawing/2014/main" id="{80F39AC4-88C9-30A4-E8E2-F3765F92E1AA}"/>
            </a:ext>
          </a:extLst>
        </xdr:cNvPr>
        <xdr:cNvSpPr txBox="1"/>
      </xdr:nvSpPr>
      <xdr:spPr>
        <a:xfrm>
          <a:off x="4863465" y="7898130"/>
          <a:ext cx="5368290" cy="908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Vendor performance analysis indicates that Vendor A exhibits the highest cost per job and longest average resolution time, while Vendor C demonstrates comparatively higher cost efficiency and faster service delivery. Rationalizing vendor allocation or implementing SLA-based performance benchmarking may enhance maintenance cost optimization.</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ojyoti (DJ)" refreshedDate="46066.141480902777" createdVersion="8" refreshedVersion="8" minRefreshableVersion="3" recordCount="600" xr:uid="{C6F0E536-9125-46A8-B7BE-A5269199B180}">
  <cacheSource type="worksheet">
    <worksheetSource name="Table2"/>
  </cacheSource>
  <cacheFields count="9">
    <cacheField name="Tenant_ID" numFmtId="0">
      <sharedItems/>
    </cacheField>
    <cacheField name="Month" numFmtId="0">
      <sharedItems/>
    </cacheField>
    <cacheField name="Due_Amount" numFmtId="0">
      <sharedItems containsSemiMixedTypes="0" containsString="0" containsNumber="1" containsInteger="1" minValue="2007" maxValue="6992"/>
    </cacheField>
    <cacheField name="Paid_Amount" numFmtId="0">
      <sharedItems containsSemiMixedTypes="0" containsString="0" containsNumber="1" containsInteger="1" minValue="1092" maxValue="6981"/>
    </cacheField>
    <cacheField name="Outstanding_Amount" numFmtId="0">
      <sharedItems containsSemiMixedTypes="0" containsString="0" containsNumber="1" containsInteger="1" minValue="0" maxValue="1000"/>
    </cacheField>
    <cacheField name="Payment_Date" numFmtId="164">
      <sharedItems containsSemiMixedTypes="0" containsNonDate="0" containsDate="1" containsString="0" minDate="2025-01-02T00:00:00" maxDate="2025-12-29T00:00:00"/>
    </cacheField>
    <cacheField name="Delay_Days" numFmtId="0">
      <sharedItems containsSemiMixedTypes="0" containsString="0" containsNumber="1" containsInteger="1" minValue="0" maxValue="25"/>
    </cacheField>
    <cacheField name="WC_Blocked" numFmtId="0">
      <sharedItems containsSemiMixedTypes="0" containsString="0" containsNumber="1" containsInteger="1" minValue="0" maxValue="170200"/>
    </cacheField>
    <cacheField name="Delay_Risk_Bucket" numFmtId="0">
      <sharedItems count="4">
        <s v="Low Risk(1-7)"/>
        <s v="Medium Risk(8-15)"/>
        <s v="High Risk(16-30)"/>
        <s v="On Tim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ojyoti (DJ)" refreshedDate="46066.62385462963" createdVersion="8" refreshedVersion="8" minRefreshableVersion="3" recordCount="300" xr:uid="{EA7F2285-7921-48B4-AE91-1CA3C3F8DDFC}">
  <cacheSource type="worksheet">
    <worksheetSource name="Table1"/>
  </cacheSource>
  <cacheFields count="12">
    <cacheField name="Lease_ID" numFmtId="0">
      <sharedItems/>
    </cacheField>
    <cacheField name="Property_ID" numFmtId="0">
      <sharedItems/>
    </cacheField>
    <cacheField name="Tenant_ID" numFmtId="0">
      <sharedItems/>
    </cacheField>
    <cacheField name="Lease_Start" numFmtId="164">
      <sharedItems containsSemiMixedTypes="0" containsNonDate="0" containsDate="1" containsString="0" minDate="2022-01-04T00:00:00" maxDate="2023-11-30T00:00:00"/>
    </cacheField>
    <cacheField name="Lease_End" numFmtId="164">
      <sharedItems containsSemiMixedTypes="0" containsNonDate="0" containsDate="1" containsString="0" minDate="2023-01-04T00:00:00" maxDate="2026-11-28T00:00:00"/>
    </cacheField>
    <cacheField name="Monthly_Rent" numFmtId="0">
      <sharedItems containsSemiMixedTypes="0" containsString="0" containsNumber="1" containsInteger="1" minValue="2001" maxValue="6996"/>
    </cacheField>
    <cacheField name="Security_Deposit" numFmtId="0">
      <sharedItems containsSemiMixedTypes="0" containsString="0" containsNumber="1" containsInteger="1" minValue="5082" maxValue="19762"/>
    </cacheField>
    <cacheField name="Escalation_%" numFmtId="0">
      <sharedItems containsSemiMixedTypes="0" containsString="0" containsNumber="1" minValue="3" maxValue="7.97"/>
    </cacheField>
    <cacheField name="Renewal_Status" numFmtId="0">
      <sharedItems/>
    </cacheField>
    <cacheField name="Days_After_Expiry" numFmtId="0">
      <sharedItems containsSemiMixedTypes="0" containsString="0" containsNumber="1" containsInteger="1" minValue="-287" maxValue="1128"/>
    </cacheField>
    <cacheField name="Days_to_Expiry" numFmtId="1">
      <sharedItems containsSemiMixedTypes="0" containsString="0" containsNumber="1" containsInteger="1" minValue="-1136" maxValue="287"/>
    </cacheField>
    <cacheField name="Expiry_Risk_Category" numFmtId="0">
      <sharedItems count="4">
        <s v="Expired"/>
        <s v="Safe"/>
        <s v="High Risk"/>
        <s v="Medium Risk"/>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ojyoti (DJ)" refreshedDate="46066.744173032406" createdVersion="8" refreshedVersion="8" minRefreshableVersion="3" recordCount="400" xr:uid="{0F769387-F20C-4130-81F5-765FC2D6AD3C}">
  <cacheSource type="worksheet">
    <worksheetSource name="Table3"/>
  </cacheSource>
  <cacheFields count="6">
    <cacheField name="Property_ID" numFmtId="0">
      <sharedItems count="137">
        <s v="P135"/>
        <s v="P016"/>
        <s v="P058"/>
        <s v="P045"/>
        <s v="P038"/>
        <s v="P055"/>
        <s v="P091"/>
        <s v="P081"/>
        <s v="P133"/>
        <s v="P047"/>
        <s v="P117"/>
        <s v="P015"/>
        <s v="P128"/>
        <s v="P011"/>
        <s v="P097"/>
        <s v="P005"/>
        <s v="P051"/>
        <s v="P100"/>
        <s v="P030"/>
        <s v="P094"/>
        <s v="P099"/>
        <s v="P096"/>
        <s v="P066"/>
        <s v="P077"/>
        <s v="P002"/>
        <s v="P105"/>
        <s v="P025"/>
        <s v="P067"/>
        <s v="P149"/>
        <s v="P113"/>
        <s v="P090"/>
        <s v="P046"/>
        <s v="P130"/>
        <s v="P075"/>
        <s v="P061"/>
        <s v="P049"/>
        <s v="P065"/>
        <s v="P010"/>
        <s v="P052"/>
        <s v="P004"/>
        <s v="P084"/>
        <s v="P122"/>
        <s v="P131"/>
        <s v="P032"/>
        <s v="P014"/>
        <s v="P068"/>
        <s v="P071"/>
        <s v="P118"/>
        <s v="P134"/>
        <s v="P080"/>
        <s v="P111"/>
        <s v="P021"/>
        <s v="P072"/>
        <s v="P057"/>
        <s v="P040"/>
        <s v="P147"/>
        <s v="P056"/>
        <s v="P098"/>
        <s v="P092"/>
        <s v="P033"/>
        <s v="P127"/>
        <s v="P095"/>
        <s v="P112"/>
        <s v="P144"/>
        <s v="P048"/>
        <s v="P104"/>
        <s v="P053"/>
        <s v="P023"/>
        <s v="P006"/>
        <s v="P062"/>
        <s v="P087"/>
        <s v="P064"/>
        <s v="P070"/>
        <s v="P060"/>
        <s v="P009"/>
        <s v="P108"/>
        <s v="P143"/>
        <s v="P028"/>
        <s v="P101"/>
        <s v="P022"/>
        <s v="P123"/>
        <s v="P082"/>
        <s v="P103"/>
        <s v="P102"/>
        <s v="P126"/>
        <s v="P059"/>
        <s v="P146"/>
        <s v="P044"/>
        <s v="P083"/>
        <s v="P020"/>
        <s v="P024"/>
        <s v="P013"/>
        <s v="P017"/>
        <s v="P086"/>
        <s v="P003"/>
        <s v="P132"/>
        <s v="P026"/>
        <s v="P141"/>
        <s v="P114"/>
        <s v="P109"/>
        <s v="P138"/>
        <s v="P041"/>
        <s v="P027"/>
        <s v="P125"/>
        <s v="P088"/>
        <s v="P018"/>
        <s v="P150"/>
        <s v="P069"/>
        <s v="P145"/>
        <s v="P120"/>
        <s v="P031"/>
        <s v="P042"/>
        <s v="P029"/>
        <s v="P121"/>
        <s v="P124"/>
        <s v="P037"/>
        <s v="P039"/>
        <s v="P139"/>
        <s v="P012"/>
        <s v="P074"/>
        <s v="P078"/>
        <s v="P142"/>
        <s v="P001"/>
        <s v="P050"/>
        <s v="P137"/>
        <s v="P119"/>
        <s v="P140"/>
        <s v="P093"/>
        <s v="P115"/>
        <s v="P136"/>
        <s v="P007"/>
        <s v="P035"/>
        <s v="P106"/>
        <s v="P148"/>
        <s v="P036"/>
        <s v="P073"/>
        <s v="P079"/>
      </sharedItems>
    </cacheField>
    <cacheField name="Request_Date" numFmtId="164">
      <sharedItems containsSemiMixedTypes="0" containsNonDate="0" containsDate="1" containsString="0" minDate="2025-01-03T00:00:00" maxDate="2025-12-27T00:00:00"/>
    </cacheField>
    <cacheField name="Issue_Type" numFmtId="0">
      <sharedItems count="4">
        <s v="Electrical"/>
        <s v="HVAC"/>
        <s v="Structural"/>
        <s v="Plumbing"/>
      </sharedItems>
    </cacheField>
    <cacheField name="Vendor" numFmtId="0">
      <sharedItems count="3">
        <s v="Vendor B"/>
        <s v="Vendor C"/>
        <s v="Vendor A"/>
      </sharedItems>
    </cacheField>
    <cacheField name="Cost" numFmtId="0">
      <sharedItems containsSemiMixedTypes="0" containsString="0" containsNumber="1" containsInteger="1" minValue="2070" maxValue="24960" count="395">
        <n v="11818"/>
        <n v="18584"/>
        <n v="3646"/>
        <n v="14282"/>
        <n v="11484"/>
        <n v="17888"/>
        <n v="3185"/>
        <n v="4708"/>
        <n v="11453"/>
        <n v="23017"/>
        <n v="15381"/>
        <n v="19545"/>
        <n v="6849"/>
        <n v="3753"/>
        <n v="4084"/>
        <n v="17306"/>
        <n v="19019"/>
        <n v="24687"/>
        <n v="9584"/>
        <n v="13695"/>
        <n v="9906"/>
        <n v="14055"/>
        <n v="21239"/>
        <n v="20712"/>
        <n v="12381"/>
        <n v="23288"/>
        <n v="10308"/>
        <n v="11043"/>
        <n v="14575"/>
        <n v="9065"/>
        <n v="2111"/>
        <n v="10918"/>
        <n v="10633"/>
        <n v="8715"/>
        <n v="4460"/>
        <n v="13998"/>
        <n v="15119"/>
        <n v="18833"/>
        <n v="23275"/>
        <n v="23453"/>
        <n v="11309"/>
        <n v="18120"/>
        <n v="16106"/>
        <n v="17313"/>
        <n v="23336"/>
        <n v="19000"/>
        <n v="24851"/>
        <n v="8505"/>
        <n v="8899"/>
        <n v="16941"/>
        <n v="20502"/>
        <n v="5330"/>
        <n v="4454"/>
        <n v="15867"/>
        <n v="2637"/>
        <n v="8550"/>
        <n v="6373"/>
        <n v="7063"/>
        <n v="15006"/>
        <n v="21592"/>
        <n v="3692"/>
        <n v="5882"/>
        <n v="2224"/>
        <n v="2830"/>
        <n v="21033"/>
        <n v="24358"/>
        <n v="10598"/>
        <n v="6166"/>
        <n v="11494"/>
        <n v="14360"/>
        <n v="21655"/>
        <n v="7095"/>
        <n v="2153"/>
        <n v="12868"/>
        <n v="18564"/>
        <n v="14124"/>
        <n v="17575"/>
        <n v="14749"/>
        <n v="7140"/>
        <n v="13844"/>
        <n v="23589"/>
        <n v="4760"/>
        <n v="4910"/>
        <n v="19415"/>
        <n v="5647"/>
        <n v="11460"/>
        <n v="12820"/>
        <n v="17124"/>
        <n v="18266"/>
        <n v="17293"/>
        <n v="7807"/>
        <n v="21780"/>
        <n v="9743"/>
        <n v="6681"/>
        <n v="2802"/>
        <n v="10202"/>
        <n v="12675"/>
        <n v="7208"/>
        <n v="3996"/>
        <n v="23648"/>
        <n v="22817"/>
        <n v="22629"/>
        <n v="20805"/>
        <n v="23190"/>
        <n v="15231"/>
        <n v="21842"/>
        <n v="17125"/>
        <n v="9324"/>
        <n v="17287"/>
        <n v="24221"/>
        <n v="11795"/>
        <n v="4953"/>
        <n v="12259"/>
        <n v="21771"/>
        <n v="12565"/>
        <n v="22677"/>
        <n v="13868"/>
        <n v="17773"/>
        <n v="24515"/>
        <n v="4810"/>
        <n v="8381"/>
        <n v="22664"/>
        <n v="3076"/>
        <n v="4258"/>
        <n v="21072"/>
        <n v="11552"/>
        <n v="3542"/>
        <n v="2295"/>
        <n v="11913"/>
        <n v="6047"/>
        <n v="23639"/>
        <n v="9721"/>
        <n v="11129"/>
        <n v="23303"/>
        <n v="6723"/>
        <n v="21374"/>
        <n v="17919"/>
        <n v="24335"/>
        <n v="3655"/>
        <n v="9668"/>
        <n v="6477"/>
        <n v="4618"/>
        <n v="12298"/>
        <n v="10973"/>
        <n v="4096"/>
        <n v="4372"/>
        <n v="4790"/>
        <n v="5734"/>
        <n v="18015"/>
        <n v="17089"/>
        <n v="23216"/>
        <n v="19293"/>
        <n v="17729"/>
        <n v="18895"/>
        <n v="15425"/>
        <n v="21653"/>
        <n v="16147"/>
        <n v="11372"/>
        <n v="2505"/>
        <n v="20144"/>
        <n v="4826"/>
        <n v="8533"/>
        <n v="20281"/>
        <n v="9012"/>
        <n v="24934"/>
        <n v="19690"/>
        <n v="5756"/>
        <n v="4875"/>
        <n v="12690"/>
        <n v="9729"/>
        <n v="4749"/>
        <n v="15527"/>
        <n v="17095"/>
        <n v="15753"/>
        <n v="21206"/>
        <n v="24960"/>
        <n v="4105"/>
        <n v="9801"/>
        <n v="6549"/>
        <n v="5544"/>
        <n v="3677"/>
        <n v="5236"/>
        <n v="2959"/>
        <n v="10413"/>
        <n v="7554"/>
        <n v="2268"/>
        <n v="24066"/>
        <n v="15288"/>
        <n v="18768"/>
        <n v="3083"/>
        <n v="22801"/>
        <n v="24726"/>
        <n v="10862"/>
        <n v="21908"/>
        <n v="16688"/>
        <n v="9501"/>
        <n v="20993"/>
        <n v="2154"/>
        <n v="13528"/>
        <n v="21194"/>
        <n v="11803"/>
        <n v="14372"/>
        <n v="4210"/>
        <n v="17761"/>
        <n v="20235"/>
        <n v="23928"/>
        <n v="13949"/>
        <n v="15770"/>
        <n v="11624"/>
        <n v="10929"/>
        <n v="15601"/>
        <n v="6330"/>
        <n v="14635"/>
        <n v="4038"/>
        <n v="5996"/>
        <n v="6641"/>
        <n v="10859"/>
        <n v="20527"/>
        <n v="16940"/>
        <n v="19469"/>
        <n v="10949"/>
        <n v="11045"/>
        <n v="8454"/>
        <n v="2190"/>
        <n v="2904"/>
        <n v="21244"/>
        <n v="8286"/>
        <n v="5110"/>
        <n v="24142"/>
        <n v="17419"/>
        <n v="18855"/>
        <n v="10830"/>
        <n v="19600"/>
        <n v="9146"/>
        <n v="3054"/>
        <n v="23012"/>
        <n v="14478"/>
        <n v="23750"/>
        <n v="4171"/>
        <n v="17068"/>
        <n v="12461"/>
        <n v="3854"/>
        <n v="21510"/>
        <n v="5187"/>
        <n v="2196"/>
        <n v="14235"/>
        <n v="23853"/>
        <n v="3411"/>
        <n v="13964"/>
        <n v="14961"/>
        <n v="21330"/>
        <n v="21262"/>
        <n v="10517"/>
        <n v="15649"/>
        <n v="19316"/>
        <n v="15668"/>
        <n v="4647"/>
        <n v="22577"/>
        <n v="11895"/>
        <n v="13335"/>
        <n v="17587"/>
        <n v="22984"/>
        <n v="6803"/>
        <n v="8238"/>
        <n v="9372"/>
        <n v="4512"/>
        <n v="24559"/>
        <n v="21097"/>
        <n v="8363"/>
        <n v="22052"/>
        <n v="15451"/>
        <n v="24063"/>
        <n v="23030"/>
        <n v="18244"/>
        <n v="2794"/>
        <n v="8897"/>
        <n v="2933"/>
        <n v="9431"/>
        <n v="2558"/>
        <n v="8805"/>
        <n v="20935"/>
        <n v="7255"/>
        <n v="20713"/>
        <n v="15966"/>
        <n v="12806"/>
        <n v="23725"/>
        <n v="3027"/>
        <n v="4572"/>
        <n v="20062"/>
        <n v="19092"/>
        <n v="13417"/>
        <n v="24136"/>
        <n v="19128"/>
        <n v="4610"/>
        <n v="17368"/>
        <n v="22354"/>
        <n v="17792"/>
        <n v="10208"/>
        <n v="9196"/>
        <n v="12273"/>
        <n v="23516"/>
        <n v="13753"/>
        <n v="15299"/>
        <n v="17290"/>
        <n v="24576"/>
        <n v="18613"/>
        <n v="15961"/>
        <n v="18508"/>
        <n v="17438"/>
        <n v="4407"/>
        <n v="4137"/>
        <n v="12307"/>
        <n v="18274"/>
        <n v="23478"/>
        <n v="24361"/>
        <n v="7755"/>
        <n v="2070"/>
        <n v="24775"/>
        <n v="13957"/>
        <n v="21639"/>
        <n v="18565"/>
        <n v="15643"/>
        <n v="5525"/>
        <n v="7815"/>
        <n v="7090"/>
        <n v="14541"/>
        <n v="14320"/>
        <n v="19699"/>
        <n v="16887"/>
        <n v="24432"/>
        <n v="4076"/>
        <n v="23159"/>
        <n v="12910"/>
        <n v="20709"/>
        <n v="21844"/>
        <n v="14187"/>
        <n v="12747"/>
        <n v="21293"/>
        <n v="20372"/>
        <n v="4144"/>
        <n v="8614"/>
        <n v="5726"/>
        <n v="3349"/>
        <n v="11462"/>
        <n v="16484"/>
        <n v="3561"/>
        <n v="14105"/>
        <n v="23053"/>
        <n v="7343"/>
        <n v="3569"/>
        <n v="8191"/>
        <n v="21898"/>
        <n v="19145"/>
        <n v="21312"/>
        <n v="6291"/>
        <n v="20940"/>
        <n v="7446"/>
        <n v="18850"/>
        <n v="16687"/>
        <n v="6535"/>
        <n v="2783"/>
        <n v="2101"/>
        <n v="21268"/>
        <n v="19321"/>
        <n v="14777"/>
        <n v="24083"/>
        <n v="7515"/>
        <n v="14817"/>
        <n v="2638"/>
        <n v="5924"/>
        <n v="11757"/>
        <n v="7704"/>
        <n v="8662"/>
        <n v="4954"/>
        <n v="20867"/>
        <n v="11456"/>
        <n v="8916"/>
        <n v="11662"/>
        <n v="12935"/>
        <n v="3625"/>
        <n v="13296"/>
        <n v="12319"/>
        <n v="22948"/>
        <n v="20012"/>
        <n v="20798"/>
        <n v="13842"/>
        <n v="3367"/>
        <n v="6190"/>
        <n v="11410"/>
        <n v="17509"/>
        <n v="19574"/>
        <n v="18155"/>
        <n v="17071"/>
        <n v="10658"/>
        <n v="11270"/>
      </sharedItems>
    </cacheField>
    <cacheField name="Resolution_Days" numFmtId="0">
      <sharedItems containsSemiMixedTypes="0" containsString="0" containsNumber="1" containsInteger="1" minValue="1"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T167"/>
    <s v="2025-05"/>
    <n v="5348"/>
    <n v="5348"/>
    <n v="0"/>
    <d v="2025-07-21T00:00:00"/>
    <n v="3"/>
    <n v="16044"/>
    <x v="0"/>
  </r>
  <r>
    <s v="T023"/>
    <s v="2025-01"/>
    <n v="5995"/>
    <n v="5538"/>
    <n v="457"/>
    <d v="2025-10-19T00:00:00"/>
    <n v="12"/>
    <n v="71940"/>
    <x v="1"/>
  </r>
  <r>
    <s v="T091"/>
    <s v="2025-07"/>
    <n v="6229"/>
    <n v="5932"/>
    <n v="297"/>
    <d v="2025-08-08T00:00:00"/>
    <n v="23"/>
    <n v="143267"/>
    <x v="2"/>
  </r>
  <r>
    <s v="T120"/>
    <s v="2025-10"/>
    <n v="2720"/>
    <n v="1870"/>
    <n v="850"/>
    <d v="2025-07-06T00:00:00"/>
    <n v="14"/>
    <n v="38080"/>
    <x v="1"/>
  </r>
  <r>
    <s v="T078"/>
    <s v="2025-12"/>
    <n v="4248"/>
    <n v="3532"/>
    <n v="716"/>
    <d v="2025-01-04T00:00:00"/>
    <n v="25"/>
    <n v="106200"/>
    <x v="2"/>
  </r>
  <r>
    <s v="T261"/>
    <s v="2025-09"/>
    <n v="6634"/>
    <n v="6622"/>
    <n v="12"/>
    <d v="2025-09-26T00:00:00"/>
    <n v="16"/>
    <n v="106144"/>
    <x v="2"/>
  </r>
  <r>
    <s v="T138"/>
    <s v="2025-06"/>
    <n v="4029"/>
    <n v="3445"/>
    <n v="584"/>
    <d v="2025-10-26T00:00:00"/>
    <n v="24"/>
    <n v="96696"/>
    <x v="2"/>
  </r>
  <r>
    <s v="T287"/>
    <s v="2025-07"/>
    <n v="5965"/>
    <n v="5188"/>
    <n v="777"/>
    <d v="2025-01-08T00:00:00"/>
    <n v="12"/>
    <n v="71580"/>
    <x v="1"/>
  </r>
  <r>
    <s v="T132"/>
    <s v="2025-09"/>
    <n v="2716"/>
    <n v="2668"/>
    <n v="48"/>
    <d v="2025-03-21T00:00:00"/>
    <n v="24"/>
    <n v="65184"/>
    <x v="2"/>
  </r>
  <r>
    <s v="T042"/>
    <s v="2025-02"/>
    <n v="5095"/>
    <n v="4128"/>
    <n v="967"/>
    <d v="2025-07-09T00:00:00"/>
    <n v="23"/>
    <n v="117185"/>
    <x v="2"/>
  </r>
  <r>
    <s v="T211"/>
    <s v="2025-04"/>
    <n v="2052"/>
    <n v="2052"/>
    <n v="0"/>
    <d v="2025-02-12T00:00:00"/>
    <n v="0"/>
    <n v="0"/>
    <x v="3"/>
  </r>
  <r>
    <s v="T136"/>
    <s v="2025-07"/>
    <n v="5412"/>
    <n v="5412"/>
    <n v="0"/>
    <d v="2025-03-07T00:00:00"/>
    <n v="6"/>
    <n v="32472"/>
    <x v="0"/>
  </r>
  <r>
    <s v="T077"/>
    <s v="2025-05"/>
    <n v="3722"/>
    <n v="3532"/>
    <n v="190"/>
    <d v="2025-11-06T00:00:00"/>
    <n v="21"/>
    <n v="78162"/>
    <x v="2"/>
  </r>
  <r>
    <s v="T097"/>
    <s v="2025-07"/>
    <n v="4264"/>
    <n v="4264"/>
    <n v="0"/>
    <d v="2025-10-27T00:00:00"/>
    <n v="6"/>
    <n v="25584"/>
    <x v="0"/>
  </r>
  <r>
    <s v="T130"/>
    <s v="2025-12"/>
    <n v="5047"/>
    <n v="5047"/>
    <n v="0"/>
    <d v="2025-08-25T00:00:00"/>
    <n v="9"/>
    <n v="45423"/>
    <x v="1"/>
  </r>
  <r>
    <s v="T131"/>
    <s v="2025-06"/>
    <n v="2140"/>
    <n v="2140"/>
    <n v="0"/>
    <d v="2025-06-08T00:00:00"/>
    <n v="0"/>
    <n v="0"/>
    <x v="3"/>
  </r>
  <r>
    <s v="T208"/>
    <s v="2025-02"/>
    <n v="4324"/>
    <n v="3959"/>
    <n v="365"/>
    <d v="2025-09-19T00:00:00"/>
    <n v="17"/>
    <n v="73508"/>
    <x v="2"/>
  </r>
  <r>
    <s v="T101"/>
    <s v="2025-07"/>
    <n v="5814"/>
    <n v="5250"/>
    <n v="564"/>
    <d v="2025-02-11T00:00:00"/>
    <n v="13"/>
    <n v="75582"/>
    <x v="1"/>
  </r>
  <r>
    <s v="T093"/>
    <s v="2025-02"/>
    <n v="3488"/>
    <n v="3488"/>
    <n v="0"/>
    <d v="2025-02-25T00:00:00"/>
    <n v="6"/>
    <n v="20928"/>
    <x v="0"/>
  </r>
  <r>
    <s v="T221"/>
    <s v="2025-04"/>
    <n v="6126"/>
    <n v="6126"/>
    <n v="0"/>
    <d v="2025-07-05T00:00:00"/>
    <n v="9"/>
    <n v="55134"/>
    <x v="1"/>
  </r>
  <r>
    <s v="T075"/>
    <s v="2025-07"/>
    <n v="3664"/>
    <n v="3664"/>
    <n v="0"/>
    <d v="2025-05-10T00:00:00"/>
    <n v="9"/>
    <n v="32976"/>
    <x v="1"/>
  </r>
  <r>
    <s v="T102"/>
    <s v="2025-08"/>
    <n v="6573"/>
    <n v="5750"/>
    <n v="823"/>
    <d v="2025-01-26T00:00:00"/>
    <n v="14"/>
    <n v="92022"/>
    <x v="1"/>
  </r>
  <r>
    <s v="T217"/>
    <s v="2025-06"/>
    <n v="5625"/>
    <n v="4642"/>
    <n v="983"/>
    <d v="2025-07-14T00:00:00"/>
    <n v="13"/>
    <n v="73125"/>
    <x v="1"/>
  </r>
  <r>
    <s v="T232"/>
    <s v="2025-07"/>
    <n v="6414"/>
    <n v="6414"/>
    <n v="0"/>
    <d v="2025-06-28T00:00:00"/>
    <n v="0"/>
    <n v="0"/>
    <x v="3"/>
  </r>
  <r>
    <s v="T206"/>
    <s v="2025-07"/>
    <n v="5691"/>
    <n v="5691"/>
    <n v="0"/>
    <d v="2025-05-06T00:00:00"/>
    <n v="2"/>
    <n v="11382"/>
    <x v="0"/>
  </r>
  <r>
    <s v="T284"/>
    <s v="2025-10"/>
    <n v="3158"/>
    <n v="2731"/>
    <n v="427"/>
    <d v="2025-10-27T00:00:00"/>
    <n v="12"/>
    <n v="37896"/>
    <x v="1"/>
  </r>
  <r>
    <s v="T145"/>
    <s v="2025-09"/>
    <n v="4638"/>
    <n v="4323"/>
    <n v="315"/>
    <d v="2025-08-26T00:00:00"/>
    <n v="17"/>
    <n v="78846"/>
    <x v="2"/>
  </r>
  <r>
    <s v="T185"/>
    <s v="2025-01"/>
    <n v="5659"/>
    <n v="4794"/>
    <n v="865"/>
    <d v="2025-04-15T00:00:00"/>
    <n v="18"/>
    <n v="101862"/>
    <x v="2"/>
  </r>
  <r>
    <s v="T067"/>
    <s v="2025-01"/>
    <n v="2249"/>
    <n v="2249"/>
    <n v="0"/>
    <d v="2025-01-25T00:00:00"/>
    <n v="1"/>
    <n v="2249"/>
    <x v="0"/>
  </r>
  <r>
    <s v="T283"/>
    <s v="2025-03"/>
    <n v="6450"/>
    <n v="6386"/>
    <n v="64"/>
    <d v="2025-03-08T00:00:00"/>
    <n v="14"/>
    <n v="90300"/>
    <x v="1"/>
  </r>
  <r>
    <s v="T157"/>
    <s v="2025-11"/>
    <n v="2561"/>
    <n v="1977"/>
    <n v="584"/>
    <d v="2025-07-16T00:00:00"/>
    <n v="10"/>
    <n v="25610"/>
    <x v="1"/>
  </r>
  <r>
    <s v="T257"/>
    <s v="2025-07"/>
    <n v="5351"/>
    <n v="5237"/>
    <n v="114"/>
    <d v="2025-06-04T00:00:00"/>
    <n v="12"/>
    <n v="64212"/>
    <x v="1"/>
  </r>
  <r>
    <s v="T271"/>
    <s v="2025-11"/>
    <n v="5462"/>
    <n v="5306"/>
    <n v="156"/>
    <d v="2025-09-04T00:00:00"/>
    <n v="11"/>
    <n v="60082"/>
    <x v="1"/>
  </r>
  <r>
    <s v="T125"/>
    <s v="2025-05"/>
    <n v="2730"/>
    <n v="2714"/>
    <n v="16"/>
    <d v="2025-12-02T00:00:00"/>
    <n v="13"/>
    <n v="35490"/>
    <x v="1"/>
  </r>
  <r>
    <s v="T268"/>
    <s v="2025-07"/>
    <n v="5491"/>
    <n v="4809"/>
    <n v="682"/>
    <d v="2025-07-14T00:00:00"/>
    <n v="14"/>
    <n v="76874"/>
    <x v="1"/>
  </r>
  <r>
    <s v="T178"/>
    <s v="2025-02"/>
    <n v="5363"/>
    <n v="5141"/>
    <n v="222"/>
    <d v="2025-11-10T00:00:00"/>
    <n v="17"/>
    <n v="91171"/>
    <x v="2"/>
  </r>
  <r>
    <s v="T073"/>
    <s v="2025-07"/>
    <n v="2279"/>
    <n v="1337"/>
    <n v="942"/>
    <d v="2025-06-06T00:00:00"/>
    <n v="18"/>
    <n v="41022"/>
    <x v="2"/>
  </r>
  <r>
    <s v="T092"/>
    <s v="2025-12"/>
    <n v="4178"/>
    <n v="4178"/>
    <n v="0"/>
    <d v="2025-12-23T00:00:00"/>
    <n v="6"/>
    <n v="25068"/>
    <x v="0"/>
  </r>
  <r>
    <s v="T163"/>
    <s v="2025-01"/>
    <n v="4996"/>
    <n v="4996"/>
    <n v="0"/>
    <d v="2025-03-04T00:00:00"/>
    <n v="9"/>
    <n v="44964"/>
    <x v="1"/>
  </r>
  <r>
    <s v="T150"/>
    <s v="2025-05"/>
    <n v="5713"/>
    <n v="5713"/>
    <n v="0"/>
    <d v="2025-08-18T00:00:00"/>
    <n v="6"/>
    <n v="34278"/>
    <x v="0"/>
  </r>
  <r>
    <s v="T132"/>
    <s v="2025-05"/>
    <n v="6144"/>
    <n v="5526"/>
    <n v="618"/>
    <d v="2025-10-15T00:00:00"/>
    <n v="21"/>
    <n v="129024"/>
    <x v="2"/>
  </r>
  <r>
    <s v="T283"/>
    <s v="2025-06"/>
    <n v="6346"/>
    <n v="5503"/>
    <n v="843"/>
    <d v="2025-11-25T00:00:00"/>
    <n v="20"/>
    <n v="126920"/>
    <x v="2"/>
  </r>
  <r>
    <s v="T289"/>
    <s v="2025-01"/>
    <n v="2417"/>
    <n v="1471"/>
    <n v="946"/>
    <d v="2025-04-21T00:00:00"/>
    <n v="22"/>
    <n v="53174"/>
    <x v="2"/>
  </r>
  <r>
    <s v="T033"/>
    <s v="2025-01"/>
    <n v="4241"/>
    <n v="3554"/>
    <n v="687"/>
    <d v="2025-07-22T00:00:00"/>
    <n v="11"/>
    <n v="46651"/>
    <x v="1"/>
  </r>
  <r>
    <s v="T143"/>
    <s v="2025-02"/>
    <n v="4661"/>
    <n v="4489"/>
    <n v="172"/>
    <d v="2025-06-20T00:00:00"/>
    <n v="16"/>
    <n v="74576"/>
    <x v="2"/>
  </r>
  <r>
    <s v="T081"/>
    <s v="2025-05"/>
    <n v="3406"/>
    <n v="3406"/>
    <n v="0"/>
    <d v="2025-08-13T00:00:00"/>
    <n v="9"/>
    <n v="30654"/>
    <x v="1"/>
  </r>
  <r>
    <s v="T054"/>
    <s v="2025-10"/>
    <n v="4858"/>
    <n v="4858"/>
    <n v="0"/>
    <d v="2025-11-25T00:00:00"/>
    <n v="0"/>
    <n v="0"/>
    <x v="3"/>
  </r>
  <r>
    <s v="T015"/>
    <s v="2025-01"/>
    <n v="2699"/>
    <n v="2699"/>
    <n v="0"/>
    <d v="2025-05-24T00:00:00"/>
    <n v="2"/>
    <n v="5398"/>
    <x v="0"/>
  </r>
  <r>
    <s v="T275"/>
    <s v="2025-11"/>
    <n v="5527"/>
    <n v="5516"/>
    <n v="11"/>
    <d v="2025-10-06T00:00:00"/>
    <n v="23"/>
    <n v="127121"/>
    <x v="2"/>
  </r>
  <r>
    <s v="T120"/>
    <s v="2025-06"/>
    <n v="4851"/>
    <n v="4851"/>
    <n v="0"/>
    <d v="2025-08-16T00:00:00"/>
    <n v="8"/>
    <n v="38808"/>
    <x v="1"/>
  </r>
  <r>
    <s v="T231"/>
    <s v="2025-08"/>
    <n v="4205"/>
    <n v="3530"/>
    <n v="675"/>
    <d v="2025-07-05T00:00:00"/>
    <n v="12"/>
    <n v="50460"/>
    <x v="1"/>
  </r>
  <r>
    <s v="T016"/>
    <s v="2025-06"/>
    <n v="2539"/>
    <n v="1672"/>
    <n v="867"/>
    <d v="2025-09-05T00:00:00"/>
    <n v="18"/>
    <n v="45702"/>
    <x v="2"/>
  </r>
  <r>
    <s v="T179"/>
    <s v="2025-10"/>
    <n v="5920"/>
    <n v="5342"/>
    <n v="578"/>
    <d v="2025-10-23T00:00:00"/>
    <n v="23"/>
    <n v="136160"/>
    <x v="2"/>
  </r>
  <r>
    <s v="T021"/>
    <s v="2025-11"/>
    <n v="6489"/>
    <n v="5544"/>
    <n v="945"/>
    <d v="2025-01-19T00:00:00"/>
    <n v="24"/>
    <n v="155736"/>
    <x v="2"/>
  </r>
  <r>
    <s v="T190"/>
    <s v="2025-11"/>
    <n v="4467"/>
    <n v="4419"/>
    <n v="48"/>
    <d v="2025-05-21T00:00:00"/>
    <n v="12"/>
    <n v="53604"/>
    <x v="1"/>
  </r>
  <r>
    <s v="T084"/>
    <s v="2025-10"/>
    <n v="5991"/>
    <n v="5368"/>
    <n v="623"/>
    <d v="2025-04-22T00:00:00"/>
    <n v="24"/>
    <n v="143784"/>
    <x v="2"/>
  </r>
  <r>
    <s v="T193"/>
    <s v="2025-02"/>
    <n v="4192"/>
    <n v="4192"/>
    <n v="0"/>
    <d v="2025-08-28T00:00:00"/>
    <n v="2"/>
    <n v="8384"/>
    <x v="0"/>
  </r>
  <r>
    <s v="T276"/>
    <s v="2025-03"/>
    <n v="2586"/>
    <n v="2586"/>
    <n v="0"/>
    <d v="2025-09-18T00:00:00"/>
    <n v="1"/>
    <n v="2586"/>
    <x v="0"/>
  </r>
  <r>
    <s v="T003"/>
    <s v="2025-06"/>
    <n v="5799"/>
    <n v="5799"/>
    <n v="0"/>
    <d v="2025-07-19T00:00:00"/>
    <n v="7"/>
    <n v="40593"/>
    <x v="0"/>
  </r>
  <r>
    <s v="T201"/>
    <s v="2025-05"/>
    <n v="4885"/>
    <n v="3981"/>
    <n v="904"/>
    <d v="2025-11-06T00:00:00"/>
    <n v="20"/>
    <n v="97700"/>
    <x v="2"/>
  </r>
  <r>
    <s v="T163"/>
    <s v="2025-10"/>
    <n v="5572"/>
    <n v="5572"/>
    <n v="0"/>
    <d v="2025-04-20T00:00:00"/>
    <n v="9"/>
    <n v="50148"/>
    <x v="1"/>
  </r>
  <r>
    <s v="T071"/>
    <s v="2025-08"/>
    <n v="4599"/>
    <n v="4516"/>
    <n v="83"/>
    <d v="2025-07-16T00:00:00"/>
    <n v="21"/>
    <n v="96579"/>
    <x v="2"/>
  </r>
  <r>
    <s v="T054"/>
    <s v="2025-07"/>
    <n v="6791"/>
    <n v="6317"/>
    <n v="474"/>
    <d v="2025-09-06T00:00:00"/>
    <n v="12"/>
    <n v="81492"/>
    <x v="1"/>
  </r>
  <r>
    <s v="T174"/>
    <s v="2025-04"/>
    <n v="4225"/>
    <n v="4068"/>
    <n v="157"/>
    <d v="2025-12-11T00:00:00"/>
    <n v="19"/>
    <n v="80275"/>
    <x v="2"/>
  </r>
  <r>
    <s v="T092"/>
    <s v="2025-04"/>
    <n v="6844"/>
    <n v="6762"/>
    <n v="82"/>
    <d v="2025-12-25T00:00:00"/>
    <n v="12"/>
    <n v="82128"/>
    <x v="1"/>
  </r>
  <r>
    <s v="T130"/>
    <s v="2025-02"/>
    <n v="5669"/>
    <n v="5660"/>
    <n v="9"/>
    <d v="2025-10-25T00:00:00"/>
    <n v="17"/>
    <n v="96373"/>
    <x v="2"/>
  </r>
  <r>
    <s v="T072"/>
    <s v="2025-04"/>
    <n v="4554"/>
    <n v="4554"/>
    <n v="0"/>
    <d v="2025-05-19T00:00:00"/>
    <n v="6"/>
    <n v="27324"/>
    <x v="0"/>
  </r>
  <r>
    <s v="T183"/>
    <s v="2025-01"/>
    <n v="4752"/>
    <n v="4752"/>
    <n v="0"/>
    <d v="2025-02-14T00:00:00"/>
    <n v="4"/>
    <n v="19008"/>
    <x v="0"/>
  </r>
  <r>
    <s v="T261"/>
    <s v="2025-09"/>
    <n v="6709"/>
    <n v="6613"/>
    <n v="96"/>
    <d v="2025-09-19T00:00:00"/>
    <n v="23"/>
    <n v="154307"/>
    <x v="2"/>
  </r>
  <r>
    <s v="T219"/>
    <s v="2025-08"/>
    <n v="4971"/>
    <n v="4917"/>
    <n v="54"/>
    <d v="2025-02-24T00:00:00"/>
    <n v="18"/>
    <n v="89478"/>
    <x v="2"/>
  </r>
  <r>
    <s v="T208"/>
    <s v="2025-12"/>
    <n v="5676"/>
    <n v="5676"/>
    <n v="0"/>
    <d v="2025-08-06T00:00:00"/>
    <n v="6"/>
    <n v="34056"/>
    <x v="0"/>
  </r>
  <r>
    <s v="T261"/>
    <s v="2025-11"/>
    <n v="3584"/>
    <n v="3105"/>
    <n v="479"/>
    <d v="2025-04-10T00:00:00"/>
    <n v="20"/>
    <n v="71680"/>
    <x v="2"/>
  </r>
  <r>
    <s v="T238"/>
    <s v="2025-09"/>
    <n v="5141"/>
    <n v="5057"/>
    <n v="84"/>
    <d v="2025-03-06T00:00:00"/>
    <n v="21"/>
    <n v="107961"/>
    <x v="2"/>
  </r>
  <r>
    <s v="T260"/>
    <s v="2025-01"/>
    <n v="2547"/>
    <n v="2297"/>
    <n v="250"/>
    <d v="2025-03-02T00:00:00"/>
    <n v="11"/>
    <n v="28017"/>
    <x v="1"/>
  </r>
  <r>
    <s v="T218"/>
    <s v="2025-09"/>
    <n v="5858"/>
    <n v="5858"/>
    <n v="0"/>
    <d v="2025-11-25T00:00:00"/>
    <n v="5"/>
    <n v="29290"/>
    <x v="0"/>
  </r>
  <r>
    <s v="T257"/>
    <s v="2025-03"/>
    <n v="2937"/>
    <n v="2937"/>
    <n v="0"/>
    <d v="2025-04-19T00:00:00"/>
    <n v="0"/>
    <n v="0"/>
    <x v="3"/>
  </r>
  <r>
    <s v="T269"/>
    <s v="2025-05"/>
    <n v="4645"/>
    <n v="3822"/>
    <n v="823"/>
    <d v="2025-02-27T00:00:00"/>
    <n v="15"/>
    <n v="69675"/>
    <x v="1"/>
  </r>
  <r>
    <s v="T053"/>
    <s v="2025-08"/>
    <n v="4688"/>
    <n v="4543"/>
    <n v="145"/>
    <d v="2025-11-17T00:00:00"/>
    <n v="20"/>
    <n v="93760"/>
    <x v="2"/>
  </r>
  <r>
    <s v="T279"/>
    <s v="2025-06"/>
    <n v="2457"/>
    <n v="1865"/>
    <n v="592"/>
    <d v="2025-11-16T00:00:00"/>
    <n v="21"/>
    <n v="51597"/>
    <x v="2"/>
  </r>
  <r>
    <s v="T199"/>
    <s v="2025-09"/>
    <n v="6642"/>
    <n v="6407"/>
    <n v="235"/>
    <d v="2025-03-02T00:00:00"/>
    <n v="18"/>
    <n v="119556"/>
    <x v="2"/>
  </r>
  <r>
    <s v="T031"/>
    <s v="2025-11"/>
    <n v="3793"/>
    <n v="3793"/>
    <n v="0"/>
    <d v="2025-09-23T00:00:00"/>
    <n v="7"/>
    <n v="26551"/>
    <x v="0"/>
  </r>
  <r>
    <s v="T218"/>
    <s v="2025-11"/>
    <n v="3292"/>
    <n v="2427"/>
    <n v="865"/>
    <d v="2025-03-28T00:00:00"/>
    <n v="12"/>
    <n v="39504"/>
    <x v="1"/>
  </r>
  <r>
    <s v="T112"/>
    <s v="2025-05"/>
    <n v="3875"/>
    <n v="3875"/>
    <n v="0"/>
    <d v="2025-06-25T00:00:00"/>
    <n v="0"/>
    <n v="0"/>
    <x v="3"/>
  </r>
  <r>
    <s v="T124"/>
    <s v="2025-03"/>
    <n v="5070"/>
    <n v="5070"/>
    <n v="0"/>
    <d v="2025-05-13T00:00:00"/>
    <n v="4"/>
    <n v="20280"/>
    <x v="0"/>
  </r>
  <r>
    <s v="T009"/>
    <s v="2025-05"/>
    <n v="6487"/>
    <n v="5975"/>
    <n v="512"/>
    <d v="2025-08-06T00:00:00"/>
    <n v="25"/>
    <n v="162175"/>
    <x v="2"/>
  </r>
  <r>
    <s v="T240"/>
    <s v="2025-10"/>
    <n v="2677"/>
    <n v="1709"/>
    <n v="968"/>
    <d v="2025-05-22T00:00:00"/>
    <n v="14"/>
    <n v="37478"/>
    <x v="1"/>
  </r>
  <r>
    <s v="T151"/>
    <s v="2025-05"/>
    <n v="4964"/>
    <n v="4212"/>
    <n v="752"/>
    <d v="2025-04-27T00:00:00"/>
    <n v="24"/>
    <n v="119136"/>
    <x v="2"/>
  </r>
  <r>
    <s v="T111"/>
    <s v="2025-08"/>
    <n v="2986"/>
    <n v="2986"/>
    <n v="0"/>
    <d v="2025-11-24T00:00:00"/>
    <n v="6"/>
    <n v="17916"/>
    <x v="0"/>
  </r>
  <r>
    <s v="T147"/>
    <s v="2025-03"/>
    <n v="3342"/>
    <n v="2658"/>
    <n v="684"/>
    <d v="2025-04-06T00:00:00"/>
    <n v="23"/>
    <n v="76866"/>
    <x v="2"/>
  </r>
  <r>
    <s v="T119"/>
    <s v="2025-06"/>
    <n v="6074"/>
    <n v="6074"/>
    <n v="0"/>
    <d v="2025-01-07T00:00:00"/>
    <n v="5"/>
    <n v="30370"/>
    <x v="0"/>
  </r>
  <r>
    <s v="T282"/>
    <s v="2025-12"/>
    <n v="4370"/>
    <n v="3893"/>
    <n v="477"/>
    <d v="2025-04-09T00:00:00"/>
    <n v="16"/>
    <n v="69920"/>
    <x v="2"/>
  </r>
  <r>
    <s v="T269"/>
    <s v="2025-04"/>
    <n v="6648"/>
    <n v="6598"/>
    <n v="50"/>
    <d v="2025-10-26T00:00:00"/>
    <n v="24"/>
    <n v="159552"/>
    <x v="2"/>
  </r>
  <r>
    <s v="T238"/>
    <s v="2025-11"/>
    <n v="3770"/>
    <n v="3158"/>
    <n v="612"/>
    <d v="2025-09-08T00:00:00"/>
    <n v="13"/>
    <n v="49010"/>
    <x v="1"/>
  </r>
  <r>
    <s v="T213"/>
    <s v="2025-07"/>
    <n v="6925"/>
    <n v="6925"/>
    <n v="0"/>
    <d v="2025-09-09T00:00:00"/>
    <n v="2"/>
    <n v="13850"/>
    <x v="0"/>
  </r>
  <r>
    <s v="T059"/>
    <s v="2025-12"/>
    <n v="6728"/>
    <n v="6562"/>
    <n v="166"/>
    <d v="2025-07-08T00:00:00"/>
    <n v="18"/>
    <n v="121104"/>
    <x v="2"/>
  </r>
  <r>
    <s v="T090"/>
    <s v="2025-06"/>
    <n v="4635"/>
    <n v="3742"/>
    <n v="893"/>
    <d v="2025-09-08T00:00:00"/>
    <n v="16"/>
    <n v="74160"/>
    <x v="2"/>
  </r>
  <r>
    <s v="T166"/>
    <s v="2025-11"/>
    <n v="4113"/>
    <n v="4015"/>
    <n v="98"/>
    <d v="2025-05-03T00:00:00"/>
    <n v="20"/>
    <n v="82260"/>
    <x v="2"/>
  </r>
  <r>
    <s v="T137"/>
    <s v="2025-05"/>
    <n v="5469"/>
    <n v="5021"/>
    <n v="448"/>
    <d v="2025-10-25T00:00:00"/>
    <n v="21"/>
    <n v="114849"/>
    <x v="2"/>
  </r>
  <r>
    <s v="T068"/>
    <s v="2025-10"/>
    <n v="4861"/>
    <n v="4861"/>
    <n v="0"/>
    <d v="2025-05-28T00:00:00"/>
    <n v="3"/>
    <n v="14583"/>
    <x v="0"/>
  </r>
  <r>
    <s v="T082"/>
    <s v="2025-09"/>
    <n v="4442"/>
    <n v="4442"/>
    <n v="0"/>
    <d v="2025-09-09T00:00:00"/>
    <n v="2"/>
    <n v="8884"/>
    <x v="0"/>
  </r>
  <r>
    <s v="T194"/>
    <s v="2025-06"/>
    <n v="2819"/>
    <n v="2819"/>
    <n v="0"/>
    <d v="2025-05-15T00:00:00"/>
    <n v="7"/>
    <n v="19733"/>
    <x v="0"/>
  </r>
  <r>
    <s v="T214"/>
    <s v="2025-08"/>
    <n v="5248"/>
    <n v="5248"/>
    <n v="0"/>
    <d v="2025-10-06T00:00:00"/>
    <n v="0"/>
    <n v="0"/>
    <x v="3"/>
  </r>
  <r>
    <s v="T024"/>
    <s v="2025-09"/>
    <n v="6808"/>
    <n v="5852"/>
    <n v="956"/>
    <d v="2025-01-09T00:00:00"/>
    <n v="25"/>
    <n v="170200"/>
    <x v="2"/>
  </r>
  <r>
    <s v="T295"/>
    <s v="2025-04"/>
    <n v="5410"/>
    <n v="5406"/>
    <n v="4"/>
    <d v="2025-08-28T00:00:00"/>
    <n v="14"/>
    <n v="75740"/>
    <x v="1"/>
  </r>
  <r>
    <s v="T003"/>
    <s v="2025-04"/>
    <n v="6357"/>
    <n v="5787"/>
    <n v="570"/>
    <d v="2025-08-14T00:00:00"/>
    <n v="25"/>
    <n v="158925"/>
    <x v="2"/>
  </r>
  <r>
    <s v="T074"/>
    <s v="2025-03"/>
    <n v="2634"/>
    <n v="2634"/>
    <n v="0"/>
    <d v="2025-05-03T00:00:00"/>
    <n v="6"/>
    <n v="15804"/>
    <x v="0"/>
  </r>
  <r>
    <s v="T287"/>
    <s v="2025-05"/>
    <n v="2114"/>
    <n v="1838"/>
    <n v="276"/>
    <d v="2025-05-24T00:00:00"/>
    <n v="21"/>
    <n v="44394"/>
    <x v="2"/>
  </r>
  <r>
    <s v="T297"/>
    <s v="2025-08"/>
    <n v="2636"/>
    <n v="2636"/>
    <n v="0"/>
    <d v="2025-12-27T00:00:00"/>
    <n v="3"/>
    <n v="7908"/>
    <x v="0"/>
  </r>
  <r>
    <s v="T036"/>
    <s v="2025-03"/>
    <n v="5604"/>
    <n v="5604"/>
    <n v="0"/>
    <d v="2025-09-06T00:00:00"/>
    <n v="5"/>
    <n v="28020"/>
    <x v="0"/>
  </r>
  <r>
    <s v="T076"/>
    <s v="2025-02"/>
    <n v="6461"/>
    <n v="5985"/>
    <n v="476"/>
    <d v="2025-07-08T00:00:00"/>
    <n v="21"/>
    <n v="135681"/>
    <x v="2"/>
  </r>
  <r>
    <s v="T138"/>
    <s v="2025-08"/>
    <n v="4248"/>
    <n v="3495"/>
    <n v="753"/>
    <d v="2025-01-11T00:00:00"/>
    <n v="24"/>
    <n v="101952"/>
    <x v="2"/>
  </r>
  <r>
    <s v="T039"/>
    <s v="2025-12"/>
    <n v="4826"/>
    <n v="4826"/>
    <n v="0"/>
    <d v="2025-07-19T00:00:00"/>
    <n v="7"/>
    <n v="33782"/>
    <x v="0"/>
  </r>
  <r>
    <s v="T241"/>
    <s v="2025-01"/>
    <n v="4567"/>
    <n v="3668"/>
    <n v="899"/>
    <d v="2025-04-06T00:00:00"/>
    <n v="10"/>
    <n v="45670"/>
    <x v="1"/>
  </r>
  <r>
    <s v="T017"/>
    <s v="2025-02"/>
    <n v="6670"/>
    <n v="6364"/>
    <n v="306"/>
    <d v="2025-12-01T00:00:00"/>
    <n v="18"/>
    <n v="120060"/>
    <x v="2"/>
  </r>
  <r>
    <s v="T120"/>
    <s v="2025-12"/>
    <n v="6033"/>
    <n v="6033"/>
    <n v="0"/>
    <d v="2025-06-06T00:00:00"/>
    <n v="7"/>
    <n v="42231"/>
    <x v="0"/>
  </r>
  <r>
    <s v="T214"/>
    <s v="2025-01"/>
    <n v="6869"/>
    <n v="6869"/>
    <n v="0"/>
    <d v="2025-05-21T00:00:00"/>
    <n v="3"/>
    <n v="20607"/>
    <x v="0"/>
  </r>
  <r>
    <s v="T078"/>
    <s v="2025-03"/>
    <n v="3746"/>
    <n v="3746"/>
    <n v="0"/>
    <d v="2025-02-16T00:00:00"/>
    <n v="7"/>
    <n v="26222"/>
    <x v="0"/>
  </r>
  <r>
    <s v="T121"/>
    <s v="2025-12"/>
    <n v="4910"/>
    <n v="4816"/>
    <n v="94"/>
    <d v="2025-12-04T00:00:00"/>
    <n v="21"/>
    <n v="103110"/>
    <x v="2"/>
  </r>
  <r>
    <s v="T069"/>
    <s v="2025-09"/>
    <n v="5769"/>
    <n v="5769"/>
    <n v="0"/>
    <d v="2025-03-16T00:00:00"/>
    <n v="0"/>
    <n v="0"/>
    <x v="3"/>
  </r>
  <r>
    <s v="T114"/>
    <s v="2025-05"/>
    <n v="2684"/>
    <n v="2344"/>
    <n v="340"/>
    <d v="2025-06-17T00:00:00"/>
    <n v="10"/>
    <n v="26840"/>
    <x v="1"/>
  </r>
  <r>
    <s v="T107"/>
    <s v="2025-03"/>
    <n v="5426"/>
    <n v="5389"/>
    <n v="37"/>
    <d v="2025-01-24T00:00:00"/>
    <n v="10"/>
    <n v="54260"/>
    <x v="1"/>
  </r>
  <r>
    <s v="T086"/>
    <s v="2025-03"/>
    <n v="3394"/>
    <n v="3394"/>
    <n v="0"/>
    <d v="2025-10-15T00:00:00"/>
    <n v="3"/>
    <n v="10182"/>
    <x v="0"/>
  </r>
  <r>
    <s v="T145"/>
    <s v="2025-07"/>
    <n v="4389"/>
    <n v="4182"/>
    <n v="207"/>
    <d v="2025-09-13T00:00:00"/>
    <n v="13"/>
    <n v="57057"/>
    <x v="1"/>
  </r>
  <r>
    <s v="T022"/>
    <s v="2025-08"/>
    <n v="4964"/>
    <n v="4062"/>
    <n v="902"/>
    <d v="2025-04-10T00:00:00"/>
    <n v="12"/>
    <n v="59568"/>
    <x v="1"/>
  </r>
  <r>
    <s v="T132"/>
    <s v="2025-11"/>
    <n v="4181"/>
    <n v="3236"/>
    <n v="945"/>
    <d v="2025-03-24T00:00:00"/>
    <n v="14"/>
    <n v="58534"/>
    <x v="1"/>
  </r>
  <r>
    <s v="T013"/>
    <s v="2025-04"/>
    <n v="6288"/>
    <n v="6288"/>
    <n v="0"/>
    <d v="2025-01-05T00:00:00"/>
    <n v="0"/>
    <n v="0"/>
    <x v="3"/>
  </r>
  <r>
    <s v="T234"/>
    <s v="2025-02"/>
    <n v="2493"/>
    <n v="1555"/>
    <n v="938"/>
    <d v="2025-08-28T00:00:00"/>
    <n v="13"/>
    <n v="32409"/>
    <x v="1"/>
  </r>
  <r>
    <s v="T005"/>
    <s v="2025-11"/>
    <n v="5140"/>
    <n v="5140"/>
    <n v="0"/>
    <d v="2025-08-07T00:00:00"/>
    <n v="9"/>
    <n v="46260"/>
    <x v="1"/>
  </r>
  <r>
    <s v="T225"/>
    <s v="2025-05"/>
    <n v="2844"/>
    <n v="2196"/>
    <n v="648"/>
    <d v="2025-09-07T00:00:00"/>
    <n v="23"/>
    <n v="65412"/>
    <x v="2"/>
  </r>
  <r>
    <s v="T252"/>
    <s v="2025-04"/>
    <n v="6576"/>
    <n v="5922"/>
    <n v="654"/>
    <d v="2025-12-03T00:00:00"/>
    <n v="21"/>
    <n v="138096"/>
    <x v="2"/>
  </r>
  <r>
    <s v="T117"/>
    <s v="2025-10"/>
    <n v="6642"/>
    <n v="5644"/>
    <n v="998"/>
    <d v="2025-09-03T00:00:00"/>
    <n v="14"/>
    <n v="92988"/>
    <x v="1"/>
  </r>
  <r>
    <s v="T201"/>
    <s v="2025-02"/>
    <n v="5050"/>
    <n v="4781"/>
    <n v="269"/>
    <d v="2025-10-15T00:00:00"/>
    <n v="20"/>
    <n v="101000"/>
    <x v="2"/>
  </r>
  <r>
    <s v="T166"/>
    <s v="2025-11"/>
    <n v="6809"/>
    <n v="5813"/>
    <n v="996"/>
    <d v="2025-09-26T00:00:00"/>
    <n v="24"/>
    <n v="163416"/>
    <x v="2"/>
  </r>
  <r>
    <s v="T103"/>
    <s v="2025-07"/>
    <n v="6945"/>
    <n v="6191"/>
    <n v="754"/>
    <d v="2025-10-16T00:00:00"/>
    <n v="13"/>
    <n v="90285"/>
    <x v="1"/>
  </r>
  <r>
    <s v="T073"/>
    <s v="2025-10"/>
    <n v="5719"/>
    <n v="5719"/>
    <n v="0"/>
    <d v="2025-06-07T00:00:00"/>
    <n v="0"/>
    <n v="0"/>
    <x v="3"/>
  </r>
  <r>
    <s v="T221"/>
    <s v="2025-04"/>
    <n v="2635"/>
    <n v="2635"/>
    <n v="0"/>
    <d v="2025-11-23T00:00:00"/>
    <n v="7"/>
    <n v="18445"/>
    <x v="0"/>
  </r>
  <r>
    <s v="T258"/>
    <s v="2025-02"/>
    <n v="6007"/>
    <n v="6007"/>
    <n v="0"/>
    <d v="2025-10-04T00:00:00"/>
    <n v="1"/>
    <n v="6007"/>
    <x v="0"/>
  </r>
  <r>
    <s v="T092"/>
    <s v="2025-06"/>
    <n v="3257"/>
    <n v="3257"/>
    <n v="0"/>
    <d v="2025-02-28T00:00:00"/>
    <n v="1"/>
    <n v="3257"/>
    <x v="0"/>
  </r>
  <r>
    <s v="T251"/>
    <s v="2025-06"/>
    <n v="5843"/>
    <n v="5470"/>
    <n v="373"/>
    <d v="2025-09-11T00:00:00"/>
    <n v="17"/>
    <n v="99331"/>
    <x v="2"/>
  </r>
  <r>
    <s v="T134"/>
    <s v="2025-03"/>
    <n v="6435"/>
    <n v="6205"/>
    <n v="230"/>
    <d v="2025-01-17T00:00:00"/>
    <n v="19"/>
    <n v="122265"/>
    <x v="2"/>
  </r>
  <r>
    <s v="T149"/>
    <s v="2025-11"/>
    <n v="4392"/>
    <n v="3682"/>
    <n v="710"/>
    <d v="2025-11-03T00:00:00"/>
    <n v="11"/>
    <n v="48312"/>
    <x v="1"/>
  </r>
  <r>
    <s v="T241"/>
    <s v="2025-09"/>
    <n v="2389"/>
    <n v="1874"/>
    <n v="515"/>
    <d v="2025-01-14T00:00:00"/>
    <n v="14"/>
    <n v="33446"/>
    <x v="1"/>
  </r>
  <r>
    <s v="T098"/>
    <s v="2025-03"/>
    <n v="4006"/>
    <n v="4006"/>
    <n v="0"/>
    <d v="2025-10-11T00:00:00"/>
    <n v="4"/>
    <n v="16024"/>
    <x v="0"/>
  </r>
  <r>
    <s v="T104"/>
    <s v="2025-06"/>
    <n v="6092"/>
    <n v="5509"/>
    <n v="583"/>
    <d v="2025-02-21T00:00:00"/>
    <n v="16"/>
    <n v="97472"/>
    <x v="2"/>
  </r>
  <r>
    <s v="T212"/>
    <s v="2025-07"/>
    <n v="4792"/>
    <n v="4653"/>
    <n v="139"/>
    <d v="2025-12-03T00:00:00"/>
    <n v="13"/>
    <n v="62296"/>
    <x v="1"/>
  </r>
  <r>
    <s v="T265"/>
    <s v="2025-08"/>
    <n v="6819"/>
    <n v="6819"/>
    <n v="0"/>
    <d v="2025-10-03T00:00:00"/>
    <n v="2"/>
    <n v="13638"/>
    <x v="0"/>
  </r>
  <r>
    <s v="T072"/>
    <s v="2025-11"/>
    <n v="5322"/>
    <n v="4888"/>
    <n v="434"/>
    <d v="2025-02-06T00:00:00"/>
    <n v="22"/>
    <n v="117084"/>
    <x v="2"/>
  </r>
  <r>
    <s v="T221"/>
    <s v="2025-05"/>
    <n v="2809"/>
    <n v="1839"/>
    <n v="970"/>
    <d v="2025-08-09T00:00:00"/>
    <n v="19"/>
    <n v="53371"/>
    <x v="2"/>
  </r>
  <r>
    <s v="T063"/>
    <s v="2025-05"/>
    <n v="6130"/>
    <n v="6060"/>
    <n v="70"/>
    <d v="2025-08-10T00:00:00"/>
    <n v="23"/>
    <n v="140990"/>
    <x v="2"/>
  </r>
  <r>
    <s v="T197"/>
    <s v="2025-01"/>
    <n v="5255"/>
    <n v="5255"/>
    <n v="0"/>
    <d v="2025-08-27T00:00:00"/>
    <n v="6"/>
    <n v="31530"/>
    <x v="0"/>
  </r>
  <r>
    <s v="T216"/>
    <s v="2025-12"/>
    <n v="4993"/>
    <n v="4194"/>
    <n v="799"/>
    <d v="2025-11-18T00:00:00"/>
    <n v="13"/>
    <n v="64909"/>
    <x v="1"/>
  </r>
  <r>
    <s v="T025"/>
    <s v="2025-12"/>
    <n v="6033"/>
    <n v="6033"/>
    <n v="0"/>
    <d v="2025-10-02T00:00:00"/>
    <n v="6"/>
    <n v="36198"/>
    <x v="0"/>
  </r>
  <r>
    <s v="T250"/>
    <s v="2025-11"/>
    <n v="6025"/>
    <n v="6025"/>
    <n v="0"/>
    <d v="2025-11-09T00:00:00"/>
    <n v="6"/>
    <n v="36150"/>
    <x v="0"/>
  </r>
  <r>
    <s v="T227"/>
    <s v="2025-10"/>
    <n v="2562"/>
    <n v="2562"/>
    <n v="0"/>
    <d v="2025-10-13T00:00:00"/>
    <n v="7"/>
    <n v="17934"/>
    <x v="0"/>
  </r>
  <r>
    <s v="T094"/>
    <s v="2025-04"/>
    <n v="6562"/>
    <n v="6461"/>
    <n v="101"/>
    <d v="2025-12-01T00:00:00"/>
    <n v="25"/>
    <n v="164050"/>
    <x v="2"/>
  </r>
  <r>
    <s v="T204"/>
    <s v="2025-10"/>
    <n v="2878"/>
    <n v="2839"/>
    <n v="39"/>
    <d v="2025-10-25T00:00:00"/>
    <n v="23"/>
    <n v="66194"/>
    <x v="2"/>
  </r>
  <r>
    <s v="T035"/>
    <s v="2025-12"/>
    <n v="4342"/>
    <n v="4071"/>
    <n v="271"/>
    <d v="2025-07-11T00:00:00"/>
    <n v="25"/>
    <n v="108550"/>
    <x v="2"/>
  </r>
  <r>
    <s v="T194"/>
    <s v="2025-01"/>
    <n v="2807"/>
    <n v="2807"/>
    <n v="0"/>
    <d v="2025-06-10T00:00:00"/>
    <n v="0"/>
    <n v="0"/>
    <x v="3"/>
  </r>
  <r>
    <s v="T194"/>
    <s v="2025-10"/>
    <n v="5439"/>
    <n v="4446"/>
    <n v="993"/>
    <d v="2025-07-05T00:00:00"/>
    <n v="11"/>
    <n v="59829"/>
    <x v="1"/>
  </r>
  <r>
    <s v="T236"/>
    <s v="2025-03"/>
    <n v="4371"/>
    <n v="3779"/>
    <n v="592"/>
    <d v="2025-02-12T00:00:00"/>
    <n v="22"/>
    <n v="96162"/>
    <x v="2"/>
  </r>
  <r>
    <s v="T242"/>
    <s v="2025-06"/>
    <n v="3966"/>
    <n v="2982"/>
    <n v="984"/>
    <d v="2025-10-23T00:00:00"/>
    <n v="25"/>
    <n v="99150"/>
    <x v="2"/>
  </r>
  <r>
    <s v="T047"/>
    <s v="2025-05"/>
    <n v="4488"/>
    <n v="4444"/>
    <n v="44"/>
    <d v="2025-08-07T00:00:00"/>
    <n v="15"/>
    <n v="67320"/>
    <x v="1"/>
  </r>
  <r>
    <s v="T174"/>
    <s v="2025-11"/>
    <n v="3517"/>
    <n v="3517"/>
    <n v="0"/>
    <d v="2025-08-03T00:00:00"/>
    <n v="7"/>
    <n v="24619"/>
    <x v="0"/>
  </r>
  <r>
    <s v="T249"/>
    <s v="2025-04"/>
    <n v="5348"/>
    <n v="5348"/>
    <n v="0"/>
    <d v="2025-01-27T00:00:00"/>
    <n v="6"/>
    <n v="32088"/>
    <x v="0"/>
  </r>
  <r>
    <s v="T153"/>
    <s v="2025-10"/>
    <n v="6735"/>
    <n v="6735"/>
    <n v="0"/>
    <d v="2025-09-28T00:00:00"/>
    <n v="3"/>
    <n v="20205"/>
    <x v="0"/>
  </r>
  <r>
    <s v="T045"/>
    <s v="2025-03"/>
    <n v="6074"/>
    <n v="5798"/>
    <n v="276"/>
    <d v="2025-07-19T00:00:00"/>
    <n v="10"/>
    <n v="60740"/>
    <x v="1"/>
  </r>
  <r>
    <s v="T270"/>
    <s v="2025-03"/>
    <n v="6680"/>
    <n v="6600"/>
    <n v="80"/>
    <d v="2025-04-16T00:00:00"/>
    <n v="25"/>
    <n v="167000"/>
    <x v="2"/>
  </r>
  <r>
    <s v="T108"/>
    <s v="2025-10"/>
    <n v="2947"/>
    <n v="2947"/>
    <n v="0"/>
    <d v="2025-05-10T00:00:00"/>
    <n v="1"/>
    <n v="2947"/>
    <x v="0"/>
  </r>
  <r>
    <s v="T203"/>
    <s v="2025-10"/>
    <n v="5785"/>
    <n v="5102"/>
    <n v="683"/>
    <d v="2025-06-09T00:00:00"/>
    <n v="22"/>
    <n v="127270"/>
    <x v="2"/>
  </r>
  <r>
    <s v="T234"/>
    <s v="2025-01"/>
    <n v="4381"/>
    <n v="4163"/>
    <n v="218"/>
    <d v="2025-04-10T00:00:00"/>
    <n v="20"/>
    <n v="87620"/>
    <x v="2"/>
  </r>
  <r>
    <s v="T074"/>
    <s v="2025-02"/>
    <n v="3684"/>
    <n v="3624"/>
    <n v="60"/>
    <d v="2025-04-05T00:00:00"/>
    <n v="20"/>
    <n v="73680"/>
    <x v="2"/>
  </r>
  <r>
    <s v="T231"/>
    <s v="2025-07"/>
    <n v="2074"/>
    <n v="1653"/>
    <n v="421"/>
    <d v="2025-04-01T00:00:00"/>
    <n v="19"/>
    <n v="39406"/>
    <x v="2"/>
  </r>
  <r>
    <s v="T081"/>
    <s v="2025-11"/>
    <n v="3129"/>
    <n v="2764"/>
    <n v="365"/>
    <d v="2025-01-22T00:00:00"/>
    <n v="10"/>
    <n v="31290"/>
    <x v="1"/>
  </r>
  <r>
    <s v="T019"/>
    <s v="2025-01"/>
    <n v="4607"/>
    <n v="3764"/>
    <n v="843"/>
    <d v="2025-03-26T00:00:00"/>
    <n v="10"/>
    <n v="46070"/>
    <x v="1"/>
  </r>
  <r>
    <s v="T182"/>
    <s v="2025-07"/>
    <n v="3506"/>
    <n v="3331"/>
    <n v="175"/>
    <d v="2025-02-14T00:00:00"/>
    <n v="17"/>
    <n v="59602"/>
    <x v="2"/>
  </r>
  <r>
    <s v="T290"/>
    <s v="2025-05"/>
    <n v="2152"/>
    <n v="1918"/>
    <n v="234"/>
    <d v="2025-09-05T00:00:00"/>
    <n v="14"/>
    <n v="30128"/>
    <x v="1"/>
  </r>
  <r>
    <s v="T110"/>
    <s v="2025-08"/>
    <n v="6826"/>
    <n v="5954"/>
    <n v="872"/>
    <d v="2025-06-26T00:00:00"/>
    <n v="18"/>
    <n v="122868"/>
    <x v="2"/>
  </r>
  <r>
    <s v="T228"/>
    <s v="2025-07"/>
    <n v="5749"/>
    <n v="5385"/>
    <n v="364"/>
    <d v="2025-12-27T00:00:00"/>
    <n v="11"/>
    <n v="63239"/>
    <x v="1"/>
  </r>
  <r>
    <s v="T176"/>
    <s v="2025-11"/>
    <n v="6252"/>
    <n v="6252"/>
    <n v="0"/>
    <d v="2025-01-14T00:00:00"/>
    <n v="4"/>
    <n v="25008"/>
    <x v="0"/>
  </r>
  <r>
    <s v="T282"/>
    <s v="2025-01"/>
    <n v="4536"/>
    <n v="4023"/>
    <n v="513"/>
    <d v="2025-02-14T00:00:00"/>
    <n v="10"/>
    <n v="45360"/>
    <x v="1"/>
  </r>
  <r>
    <s v="T178"/>
    <s v="2025-12"/>
    <n v="4111"/>
    <n v="3227"/>
    <n v="884"/>
    <d v="2025-06-21T00:00:00"/>
    <n v="10"/>
    <n v="41110"/>
    <x v="1"/>
  </r>
  <r>
    <s v="T116"/>
    <s v="2025-01"/>
    <n v="5906"/>
    <n v="5768"/>
    <n v="138"/>
    <d v="2025-02-15T00:00:00"/>
    <n v="17"/>
    <n v="100402"/>
    <x v="2"/>
  </r>
  <r>
    <s v="T175"/>
    <s v="2025-03"/>
    <n v="2398"/>
    <n v="2253"/>
    <n v="145"/>
    <d v="2025-11-25T00:00:00"/>
    <n v="10"/>
    <n v="23980"/>
    <x v="1"/>
  </r>
  <r>
    <s v="T029"/>
    <s v="2025-01"/>
    <n v="4156"/>
    <n v="4156"/>
    <n v="0"/>
    <d v="2025-10-08T00:00:00"/>
    <n v="0"/>
    <n v="0"/>
    <x v="3"/>
  </r>
  <r>
    <s v="T024"/>
    <s v="2025-07"/>
    <n v="4992"/>
    <n v="4141"/>
    <n v="851"/>
    <d v="2025-10-09T00:00:00"/>
    <n v="19"/>
    <n v="94848"/>
    <x v="2"/>
  </r>
  <r>
    <s v="T183"/>
    <s v="2025-12"/>
    <n v="2831"/>
    <n v="2614"/>
    <n v="217"/>
    <d v="2025-02-11T00:00:00"/>
    <n v="15"/>
    <n v="42465"/>
    <x v="1"/>
  </r>
  <r>
    <s v="T206"/>
    <s v="2025-01"/>
    <n v="6093"/>
    <n v="5219"/>
    <n v="874"/>
    <d v="2025-02-03T00:00:00"/>
    <n v="19"/>
    <n v="115767"/>
    <x v="2"/>
  </r>
  <r>
    <s v="T047"/>
    <s v="2025-02"/>
    <n v="5839"/>
    <n v="5788"/>
    <n v="51"/>
    <d v="2025-04-24T00:00:00"/>
    <n v="10"/>
    <n v="58390"/>
    <x v="1"/>
  </r>
  <r>
    <s v="T083"/>
    <s v="2025-11"/>
    <n v="6892"/>
    <n v="5936"/>
    <n v="956"/>
    <d v="2025-10-07T00:00:00"/>
    <n v="11"/>
    <n v="75812"/>
    <x v="1"/>
  </r>
  <r>
    <s v="T206"/>
    <s v="2025-10"/>
    <n v="3214"/>
    <n v="2788"/>
    <n v="426"/>
    <d v="2025-08-19T00:00:00"/>
    <n v="18"/>
    <n v="57852"/>
    <x v="2"/>
  </r>
  <r>
    <s v="T222"/>
    <s v="2025-03"/>
    <n v="4116"/>
    <n v="4116"/>
    <n v="0"/>
    <d v="2025-04-24T00:00:00"/>
    <n v="5"/>
    <n v="20580"/>
    <x v="0"/>
  </r>
  <r>
    <s v="T211"/>
    <s v="2025-10"/>
    <n v="6159"/>
    <n v="5810"/>
    <n v="349"/>
    <d v="2025-04-07T00:00:00"/>
    <n v="12"/>
    <n v="73908"/>
    <x v="1"/>
  </r>
  <r>
    <s v="T218"/>
    <s v="2025-04"/>
    <n v="4208"/>
    <n v="4208"/>
    <n v="0"/>
    <d v="2025-08-21T00:00:00"/>
    <n v="7"/>
    <n v="29456"/>
    <x v="0"/>
  </r>
  <r>
    <s v="T153"/>
    <s v="2025-04"/>
    <n v="6359"/>
    <n v="6108"/>
    <n v="251"/>
    <d v="2025-06-02T00:00:00"/>
    <n v="21"/>
    <n v="133539"/>
    <x v="2"/>
  </r>
  <r>
    <s v="T038"/>
    <s v="2025-06"/>
    <n v="6174"/>
    <n v="5958"/>
    <n v="216"/>
    <d v="2025-08-16T00:00:00"/>
    <n v="16"/>
    <n v="98784"/>
    <x v="2"/>
  </r>
  <r>
    <s v="T164"/>
    <s v="2025-12"/>
    <n v="3205"/>
    <n v="2884"/>
    <n v="321"/>
    <d v="2025-11-09T00:00:00"/>
    <n v="24"/>
    <n v="76920"/>
    <x v="2"/>
  </r>
  <r>
    <s v="T046"/>
    <s v="2025-11"/>
    <n v="6438"/>
    <n v="6438"/>
    <n v="0"/>
    <d v="2025-06-24T00:00:00"/>
    <n v="6"/>
    <n v="38628"/>
    <x v="0"/>
  </r>
  <r>
    <s v="T248"/>
    <s v="2025-07"/>
    <n v="3462"/>
    <n v="3408"/>
    <n v="54"/>
    <d v="2025-09-01T00:00:00"/>
    <n v="16"/>
    <n v="55392"/>
    <x v="2"/>
  </r>
  <r>
    <s v="T277"/>
    <s v="2025-12"/>
    <n v="6504"/>
    <n v="5969"/>
    <n v="535"/>
    <d v="2025-02-16T00:00:00"/>
    <n v="24"/>
    <n v="156096"/>
    <x v="2"/>
  </r>
  <r>
    <s v="T145"/>
    <s v="2025-11"/>
    <n v="4492"/>
    <n v="4053"/>
    <n v="439"/>
    <d v="2025-08-20T00:00:00"/>
    <n v="22"/>
    <n v="98824"/>
    <x v="2"/>
  </r>
  <r>
    <s v="T049"/>
    <s v="2025-01"/>
    <n v="4586"/>
    <n v="4586"/>
    <n v="0"/>
    <d v="2025-10-06T00:00:00"/>
    <n v="4"/>
    <n v="18344"/>
    <x v="0"/>
  </r>
  <r>
    <s v="T262"/>
    <s v="2025-03"/>
    <n v="3567"/>
    <n v="3567"/>
    <n v="0"/>
    <d v="2025-04-08T00:00:00"/>
    <n v="0"/>
    <n v="0"/>
    <x v="3"/>
  </r>
  <r>
    <s v="T268"/>
    <s v="2025-02"/>
    <n v="6905"/>
    <n v="6367"/>
    <n v="538"/>
    <d v="2025-09-09T00:00:00"/>
    <n v="14"/>
    <n v="96670"/>
    <x v="1"/>
  </r>
  <r>
    <s v="T170"/>
    <s v="2025-01"/>
    <n v="4692"/>
    <n v="3799"/>
    <n v="893"/>
    <d v="2025-09-23T00:00:00"/>
    <n v="12"/>
    <n v="56304"/>
    <x v="1"/>
  </r>
  <r>
    <s v="T215"/>
    <s v="2025-08"/>
    <n v="4709"/>
    <n v="4478"/>
    <n v="231"/>
    <d v="2025-07-08T00:00:00"/>
    <n v="16"/>
    <n v="75344"/>
    <x v="2"/>
  </r>
  <r>
    <s v="T274"/>
    <s v="2025-04"/>
    <n v="2454"/>
    <n v="2454"/>
    <n v="0"/>
    <d v="2025-08-22T00:00:00"/>
    <n v="9"/>
    <n v="22086"/>
    <x v="1"/>
  </r>
  <r>
    <s v="T167"/>
    <s v="2025-12"/>
    <n v="4113"/>
    <n v="4113"/>
    <n v="0"/>
    <d v="2025-11-24T00:00:00"/>
    <n v="1"/>
    <n v="4113"/>
    <x v="0"/>
  </r>
  <r>
    <s v="T245"/>
    <s v="2025-01"/>
    <n v="4008"/>
    <n v="4008"/>
    <n v="0"/>
    <d v="2025-04-10T00:00:00"/>
    <n v="9"/>
    <n v="36072"/>
    <x v="1"/>
  </r>
  <r>
    <s v="T038"/>
    <s v="2025-09"/>
    <n v="2007"/>
    <n v="2007"/>
    <n v="0"/>
    <d v="2025-11-21T00:00:00"/>
    <n v="7"/>
    <n v="14049"/>
    <x v="0"/>
  </r>
  <r>
    <s v="T238"/>
    <s v="2025-04"/>
    <n v="2727"/>
    <n v="2112"/>
    <n v="615"/>
    <d v="2025-02-10T00:00:00"/>
    <n v="20"/>
    <n v="54540"/>
    <x v="2"/>
  </r>
  <r>
    <s v="T046"/>
    <s v="2025-10"/>
    <n v="2677"/>
    <n v="2677"/>
    <n v="0"/>
    <d v="2025-11-16T00:00:00"/>
    <n v="3"/>
    <n v="8031"/>
    <x v="0"/>
  </r>
  <r>
    <s v="T270"/>
    <s v="2025-07"/>
    <n v="5776"/>
    <n v="5776"/>
    <n v="0"/>
    <d v="2025-03-16T00:00:00"/>
    <n v="2"/>
    <n v="11552"/>
    <x v="0"/>
  </r>
  <r>
    <s v="T047"/>
    <s v="2025-02"/>
    <n v="3687"/>
    <n v="2905"/>
    <n v="782"/>
    <d v="2025-03-25T00:00:00"/>
    <n v="18"/>
    <n v="66366"/>
    <x v="2"/>
  </r>
  <r>
    <s v="T207"/>
    <s v="2025-05"/>
    <n v="2567"/>
    <n v="1585"/>
    <n v="982"/>
    <d v="2025-09-13T00:00:00"/>
    <n v="10"/>
    <n v="25670"/>
    <x v="1"/>
  </r>
  <r>
    <s v="T169"/>
    <s v="2025-09"/>
    <n v="6186"/>
    <n v="5679"/>
    <n v="507"/>
    <d v="2025-09-08T00:00:00"/>
    <n v="16"/>
    <n v="98976"/>
    <x v="2"/>
  </r>
  <r>
    <s v="T040"/>
    <s v="2025-06"/>
    <n v="5090"/>
    <n v="4358"/>
    <n v="732"/>
    <d v="2025-04-20T00:00:00"/>
    <n v="13"/>
    <n v="66170"/>
    <x v="1"/>
  </r>
  <r>
    <s v="T267"/>
    <s v="2025-09"/>
    <n v="4228"/>
    <n v="4228"/>
    <n v="0"/>
    <d v="2025-02-06T00:00:00"/>
    <n v="2"/>
    <n v="8456"/>
    <x v="0"/>
  </r>
  <r>
    <s v="T271"/>
    <s v="2025-11"/>
    <n v="4799"/>
    <n v="4799"/>
    <n v="0"/>
    <d v="2025-06-23T00:00:00"/>
    <n v="9"/>
    <n v="43191"/>
    <x v="1"/>
  </r>
  <r>
    <s v="T002"/>
    <s v="2025-05"/>
    <n v="6377"/>
    <n v="5742"/>
    <n v="635"/>
    <d v="2025-12-07T00:00:00"/>
    <n v="21"/>
    <n v="133917"/>
    <x v="2"/>
  </r>
  <r>
    <s v="T286"/>
    <s v="2025-06"/>
    <n v="3884"/>
    <n v="3884"/>
    <n v="0"/>
    <d v="2025-04-09T00:00:00"/>
    <n v="0"/>
    <n v="0"/>
    <x v="3"/>
  </r>
  <r>
    <s v="T055"/>
    <s v="2025-08"/>
    <n v="3561"/>
    <n v="3561"/>
    <n v="0"/>
    <d v="2025-06-23T00:00:00"/>
    <n v="2"/>
    <n v="7122"/>
    <x v="0"/>
  </r>
  <r>
    <s v="T052"/>
    <s v="2025-05"/>
    <n v="4165"/>
    <n v="4165"/>
    <n v="0"/>
    <d v="2025-07-28T00:00:00"/>
    <n v="9"/>
    <n v="37485"/>
    <x v="1"/>
  </r>
  <r>
    <s v="T071"/>
    <s v="2025-11"/>
    <n v="3428"/>
    <n v="3428"/>
    <n v="0"/>
    <d v="2025-11-17T00:00:00"/>
    <n v="3"/>
    <n v="10284"/>
    <x v="0"/>
  </r>
  <r>
    <s v="T081"/>
    <s v="2025-05"/>
    <n v="4528"/>
    <n v="4133"/>
    <n v="395"/>
    <d v="2025-01-12T00:00:00"/>
    <n v="14"/>
    <n v="63392"/>
    <x v="1"/>
  </r>
  <r>
    <s v="T089"/>
    <s v="2025-03"/>
    <n v="4996"/>
    <n v="4155"/>
    <n v="841"/>
    <d v="2025-08-01T00:00:00"/>
    <n v="18"/>
    <n v="89928"/>
    <x v="2"/>
  </r>
  <r>
    <s v="T218"/>
    <s v="2025-09"/>
    <n v="2649"/>
    <n v="2103"/>
    <n v="546"/>
    <d v="2025-02-04T00:00:00"/>
    <n v="14"/>
    <n v="37086"/>
    <x v="1"/>
  </r>
  <r>
    <s v="T180"/>
    <s v="2025-05"/>
    <n v="2880"/>
    <n v="2880"/>
    <n v="0"/>
    <d v="2025-04-07T00:00:00"/>
    <n v="3"/>
    <n v="8640"/>
    <x v="0"/>
  </r>
  <r>
    <s v="T281"/>
    <s v="2025-03"/>
    <n v="4675"/>
    <n v="4675"/>
    <n v="0"/>
    <d v="2025-05-11T00:00:00"/>
    <n v="9"/>
    <n v="42075"/>
    <x v="1"/>
  </r>
  <r>
    <s v="T116"/>
    <s v="2025-03"/>
    <n v="5810"/>
    <n v="5810"/>
    <n v="0"/>
    <d v="2025-08-24T00:00:00"/>
    <n v="4"/>
    <n v="23240"/>
    <x v="0"/>
  </r>
  <r>
    <s v="T266"/>
    <s v="2025-10"/>
    <n v="4803"/>
    <n v="4054"/>
    <n v="749"/>
    <d v="2025-01-25T00:00:00"/>
    <n v="24"/>
    <n v="115272"/>
    <x v="2"/>
  </r>
  <r>
    <s v="T126"/>
    <s v="2025-09"/>
    <n v="2151"/>
    <n v="2064"/>
    <n v="87"/>
    <d v="2025-08-16T00:00:00"/>
    <n v="20"/>
    <n v="43020"/>
    <x v="2"/>
  </r>
  <r>
    <s v="T259"/>
    <s v="2025-10"/>
    <n v="6775"/>
    <n v="5793"/>
    <n v="982"/>
    <d v="2025-08-21T00:00:00"/>
    <n v="11"/>
    <n v="74525"/>
    <x v="1"/>
  </r>
  <r>
    <s v="T176"/>
    <s v="2025-10"/>
    <n v="5190"/>
    <n v="4711"/>
    <n v="479"/>
    <d v="2025-10-28T00:00:00"/>
    <n v="19"/>
    <n v="98610"/>
    <x v="2"/>
  </r>
  <r>
    <s v="T030"/>
    <s v="2025-11"/>
    <n v="4628"/>
    <n v="4453"/>
    <n v="175"/>
    <d v="2025-08-06T00:00:00"/>
    <n v="23"/>
    <n v="106444"/>
    <x v="2"/>
  </r>
  <r>
    <s v="T278"/>
    <s v="2025-09"/>
    <n v="4044"/>
    <n v="3514"/>
    <n v="530"/>
    <d v="2025-02-16T00:00:00"/>
    <n v="11"/>
    <n v="44484"/>
    <x v="1"/>
  </r>
  <r>
    <s v="T025"/>
    <s v="2025-01"/>
    <n v="6685"/>
    <n v="6685"/>
    <n v="0"/>
    <d v="2025-02-09T00:00:00"/>
    <n v="8"/>
    <n v="53480"/>
    <x v="1"/>
  </r>
  <r>
    <s v="T158"/>
    <s v="2025-06"/>
    <n v="4445"/>
    <n v="3738"/>
    <n v="707"/>
    <d v="2025-01-09T00:00:00"/>
    <n v="18"/>
    <n v="80010"/>
    <x v="2"/>
  </r>
  <r>
    <s v="T248"/>
    <s v="2025-09"/>
    <n v="2273"/>
    <n v="1593"/>
    <n v="680"/>
    <d v="2025-09-07T00:00:00"/>
    <n v="21"/>
    <n v="47733"/>
    <x v="2"/>
  </r>
  <r>
    <s v="T291"/>
    <s v="2025-01"/>
    <n v="5896"/>
    <n v="5896"/>
    <n v="0"/>
    <d v="2025-10-12T00:00:00"/>
    <n v="4"/>
    <n v="23584"/>
    <x v="0"/>
  </r>
  <r>
    <s v="T186"/>
    <s v="2025-09"/>
    <n v="5237"/>
    <n v="5237"/>
    <n v="0"/>
    <d v="2025-08-21T00:00:00"/>
    <n v="9"/>
    <n v="47133"/>
    <x v="1"/>
  </r>
  <r>
    <s v="T101"/>
    <s v="2025-01"/>
    <n v="4940"/>
    <n v="4940"/>
    <n v="0"/>
    <d v="2025-10-01T00:00:00"/>
    <n v="6"/>
    <n v="29640"/>
    <x v="0"/>
  </r>
  <r>
    <s v="T006"/>
    <s v="2025-06"/>
    <n v="3328"/>
    <n v="2612"/>
    <n v="716"/>
    <d v="2025-09-24T00:00:00"/>
    <n v="11"/>
    <n v="36608"/>
    <x v="1"/>
  </r>
  <r>
    <s v="T032"/>
    <s v="2025-11"/>
    <n v="6799"/>
    <n v="6799"/>
    <n v="0"/>
    <d v="2025-09-10T00:00:00"/>
    <n v="6"/>
    <n v="40794"/>
    <x v="0"/>
  </r>
  <r>
    <s v="T006"/>
    <s v="2025-12"/>
    <n v="3949"/>
    <n v="3818"/>
    <n v="131"/>
    <d v="2025-10-16T00:00:00"/>
    <n v="12"/>
    <n v="47388"/>
    <x v="1"/>
  </r>
  <r>
    <s v="T148"/>
    <s v="2025-04"/>
    <n v="4993"/>
    <n v="4993"/>
    <n v="0"/>
    <d v="2025-04-22T00:00:00"/>
    <n v="3"/>
    <n v="14979"/>
    <x v="0"/>
  </r>
  <r>
    <s v="T149"/>
    <s v="2025-12"/>
    <n v="4654"/>
    <n v="4113"/>
    <n v="541"/>
    <d v="2025-11-14T00:00:00"/>
    <n v="22"/>
    <n v="102388"/>
    <x v="2"/>
  </r>
  <r>
    <s v="T108"/>
    <s v="2025-11"/>
    <n v="4300"/>
    <n v="4294"/>
    <n v="6"/>
    <d v="2025-09-08T00:00:00"/>
    <n v="17"/>
    <n v="73100"/>
    <x v="2"/>
  </r>
  <r>
    <s v="T224"/>
    <s v="2025-08"/>
    <n v="6367"/>
    <n v="5588"/>
    <n v="779"/>
    <d v="2025-03-28T00:00:00"/>
    <n v="16"/>
    <n v="101872"/>
    <x v="2"/>
  </r>
  <r>
    <s v="T209"/>
    <s v="2025-02"/>
    <n v="3108"/>
    <n v="2110"/>
    <n v="998"/>
    <d v="2025-06-14T00:00:00"/>
    <n v="22"/>
    <n v="68376"/>
    <x v="2"/>
  </r>
  <r>
    <s v="T001"/>
    <s v="2025-02"/>
    <n v="3712"/>
    <n v="3712"/>
    <n v="0"/>
    <d v="2025-09-02T00:00:00"/>
    <n v="3"/>
    <n v="11136"/>
    <x v="0"/>
  </r>
  <r>
    <s v="T075"/>
    <s v="2025-11"/>
    <n v="5754"/>
    <n v="5312"/>
    <n v="442"/>
    <d v="2025-09-27T00:00:00"/>
    <n v="22"/>
    <n v="126588"/>
    <x v="2"/>
  </r>
  <r>
    <s v="T063"/>
    <s v="2025-02"/>
    <n v="2310"/>
    <n v="2306"/>
    <n v="4"/>
    <d v="2025-10-15T00:00:00"/>
    <n v="20"/>
    <n v="46200"/>
    <x v="2"/>
  </r>
  <r>
    <s v="T025"/>
    <s v="2025-09"/>
    <n v="2043"/>
    <n v="1452"/>
    <n v="591"/>
    <d v="2025-10-23T00:00:00"/>
    <n v="19"/>
    <n v="38817"/>
    <x v="2"/>
  </r>
  <r>
    <s v="T010"/>
    <s v="2025-07"/>
    <n v="2633"/>
    <n v="1813"/>
    <n v="820"/>
    <d v="2025-03-18T00:00:00"/>
    <n v="20"/>
    <n v="52660"/>
    <x v="2"/>
  </r>
  <r>
    <s v="T300"/>
    <s v="2025-02"/>
    <n v="2685"/>
    <n v="2685"/>
    <n v="0"/>
    <d v="2025-10-15T00:00:00"/>
    <n v="2"/>
    <n v="5370"/>
    <x v="0"/>
  </r>
  <r>
    <s v="T266"/>
    <s v="2025-05"/>
    <n v="2560"/>
    <n v="2560"/>
    <n v="0"/>
    <d v="2025-04-08T00:00:00"/>
    <n v="1"/>
    <n v="2560"/>
    <x v="0"/>
  </r>
  <r>
    <s v="T257"/>
    <s v="2025-08"/>
    <n v="3497"/>
    <n v="3151"/>
    <n v="346"/>
    <d v="2025-09-08T00:00:00"/>
    <n v="17"/>
    <n v="59449"/>
    <x v="2"/>
  </r>
  <r>
    <s v="T268"/>
    <s v="2025-09"/>
    <n v="2217"/>
    <n v="2217"/>
    <n v="0"/>
    <d v="2025-06-25T00:00:00"/>
    <n v="7"/>
    <n v="15519"/>
    <x v="0"/>
  </r>
  <r>
    <s v="T163"/>
    <s v="2025-10"/>
    <n v="5239"/>
    <n v="5239"/>
    <n v="0"/>
    <d v="2025-02-02T00:00:00"/>
    <n v="5"/>
    <n v="26195"/>
    <x v="0"/>
  </r>
  <r>
    <s v="T178"/>
    <s v="2025-10"/>
    <n v="2905"/>
    <n v="2902"/>
    <n v="3"/>
    <d v="2025-09-05T00:00:00"/>
    <n v="15"/>
    <n v="43575"/>
    <x v="1"/>
  </r>
  <r>
    <s v="T003"/>
    <s v="2025-02"/>
    <n v="5828"/>
    <n v="5828"/>
    <n v="0"/>
    <d v="2025-05-26T00:00:00"/>
    <n v="2"/>
    <n v="11656"/>
    <x v="0"/>
  </r>
  <r>
    <s v="T293"/>
    <s v="2025-09"/>
    <n v="5718"/>
    <n v="5718"/>
    <n v="0"/>
    <d v="2025-03-13T00:00:00"/>
    <n v="4"/>
    <n v="22872"/>
    <x v="0"/>
  </r>
  <r>
    <s v="T113"/>
    <s v="2025-10"/>
    <n v="4863"/>
    <n v="4863"/>
    <n v="0"/>
    <d v="2025-02-24T00:00:00"/>
    <n v="0"/>
    <n v="0"/>
    <x v="3"/>
  </r>
  <r>
    <s v="T272"/>
    <s v="2025-05"/>
    <n v="6291"/>
    <n v="6291"/>
    <n v="0"/>
    <d v="2025-06-20T00:00:00"/>
    <n v="2"/>
    <n v="12582"/>
    <x v="0"/>
  </r>
  <r>
    <s v="T056"/>
    <s v="2025-03"/>
    <n v="4437"/>
    <n v="3509"/>
    <n v="928"/>
    <d v="2025-03-01T00:00:00"/>
    <n v="25"/>
    <n v="110925"/>
    <x v="2"/>
  </r>
  <r>
    <s v="T083"/>
    <s v="2025-10"/>
    <n v="5538"/>
    <n v="4764"/>
    <n v="774"/>
    <d v="2025-02-11T00:00:00"/>
    <n v="24"/>
    <n v="132912"/>
    <x v="2"/>
  </r>
  <r>
    <s v="T073"/>
    <s v="2025-11"/>
    <n v="6095"/>
    <n v="5297"/>
    <n v="798"/>
    <d v="2025-02-03T00:00:00"/>
    <n v="10"/>
    <n v="60950"/>
    <x v="1"/>
  </r>
  <r>
    <s v="T092"/>
    <s v="2025-01"/>
    <n v="2841"/>
    <n v="2841"/>
    <n v="0"/>
    <d v="2025-09-03T00:00:00"/>
    <n v="5"/>
    <n v="14205"/>
    <x v="0"/>
  </r>
  <r>
    <s v="T097"/>
    <s v="2025-01"/>
    <n v="4361"/>
    <n v="3465"/>
    <n v="896"/>
    <d v="2025-04-22T00:00:00"/>
    <n v="20"/>
    <n v="87220"/>
    <x v="2"/>
  </r>
  <r>
    <s v="T241"/>
    <s v="2025-10"/>
    <n v="6168"/>
    <n v="6168"/>
    <n v="0"/>
    <d v="2025-12-08T00:00:00"/>
    <n v="3"/>
    <n v="18504"/>
    <x v="0"/>
  </r>
  <r>
    <s v="T230"/>
    <s v="2025-10"/>
    <n v="5226"/>
    <n v="5032"/>
    <n v="194"/>
    <d v="2025-09-07T00:00:00"/>
    <n v="12"/>
    <n v="62712"/>
    <x v="1"/>
  </r>
  <r>
    <s v="T296"/>
    <s v="2025-03"/>
    <n v="2899"/>
    <n v="2784"/>
    <n v="115"/>
    <d v="2025-08-02T00:00:00"/>
    <n v="16"/>
    <n v="46384"/>
    <x v="2"/>
  </r>
  <r>
    <s v="T037"/>
    <s v="2025-12"/>
    <n v="5080"/>
    <n v="4722"/>
    <n v="358"/>
    <d v="2025-01-15T00:00:00"/>
    <n v="24"/>
    <n v="121920"/>
    <x v="2"/>
  </r>
  <r>
    <s v="T066"/>
    <s v="2025-05"/>
    <n v="3621"/>
    <n v="3621"/>
    <n v="0"/>
    <d v="2025-12-15T00:00:00"/>
    <n v="8"/>
    <n v="28968"/>
    <x v="1"/>
  </r>
  <r>
    <s v="T114"/>
    <s v="2025-03"/>
    <n v="2843"/>
    <n v="2264"/>
    <n v="579"/>
    <d v="2025-06-04T00:00:00"/>
    <n v="10"/>
    <n v="28430"/>
    <x v="1"/>
  </r>
  <r>
    <s v="T252"/>
    <s v="2025-07"/>
    <n v="4795"/>
    <n v="4795"/>
    <n v="0"/>
    <d v="2025-11-23T00:00:00"/>
    <n v="0"/>
    <n v="0"/>
    <x v="3"/>
  </r>
  <r>
    <s v="T243"/>
    <s v="2025-10"/>
    <n v="3397"/>
    <n v="3397"/>
    <n v="0"/>
    <d v="2025-06-26T00:00:00"/>
    <n v="7"/>
    <n v="23779"/>
    <x v="0"/>
  </r>
  <r>
    <s v="T256"/>
    <s v="2025-02"/>
    <n v="3991"/>
    <n v="3991"/>
    <n v="0"/>
    <d v="2025-12-06T00:00:00"/>
    <n v="8"/>
    <n v="31928"/>
    <x v="1"/>
  </r>
  <r>
    <s v="T133"/>
    <s v="2025-03"/>
    <n v="6832"/>
    <n v="6832"/>
    <n v="0"/>
    <d v="2025-05-08T00:00:00"/>
    <n v="9"/>
    <n v="61488"/>
    <x v="1"/>
  </r>
  <r>
    <s v="T056"/>
    <s v="2025-07"/>
    <n v="5750"/>
    <n v="5750"/>
    <n v="0"/>
    <d v="2025-11-18T00:00:00"/>
    <n v="6"/>
    <n v="34500"/>
    <x v="0"/>
  </r>
  <r>
    <s v="T190"/>
    <s v="2025-09"/>
    <n v="6214"/>
    <n v="5629"/>
    <n v="585"/>
    <d v="2025-05-21T00:00:00"/>
    <n v="25"/>
    <n v="155350"/>
    <x v="2"/>
  </r>
  <r>
    <s v="T087"/>
    <s v="2025-01"/>
    <n v="5050"/>
    <n v="5050"/>
    <n v="0"/>
    <d v="2025-11-13T00:00:00"/>
    <n v="1"/>
    <n v="5050"/>
    <x v="0"/>
  </r>
  <r>
    <s v="T001"/>
    <s v="2025-01"/>
    <n v="3858"/>
    <n v="3191"/>
    <n v="667"/>
    <d v="2025-12-12T00:00:00"/>
    <n v="21"/>
    <n v="81018"/>
    <x v="2"/>
  </r>
  <r>
    <s v="T159"/>
    <s v="2025-11"/>
    <n v="5248"/>
    <n v="4248"/>
    <n v="1000"/>
    <d v="2025-11-13T00:00:00"/>
    <n v="12"/>
    <n v="62976"/>
    <x v="1"/>
  </r>
  <r>
    <s v="T179"/>
    <s v="2025-09"/>
    <n v="6539"/>
    <n v="6170"/>
    <n v="369"/>
    <d v="2025-04-03T00:00:00"/>
    <n v="15"/>
    <n v="98085"/>
    <x v="1"/>
  </r>
  <r>
    <s v="T274"/>
    <s v="2025-03"/>
    <n v="2437"/>
    <n v="1459"/>
    <n v="978"/>
    <d v="2025-12-13T00:00:00"/>
    <n v="24"/>
    <n v="58488"/>
    <x v="2"/>
  </r>
  <r>
    <s v="T130"/>
    <s v="2025-12"/>
    <n v="5895"/>
    <n v="5895"/>
    <n v="0"/>
    <d v="2025-10-05T00:00:00"/>
    <n v="6"/>
    <n v="35370"/>
    <x v="0"/>
  </r>
  <r>
    <s v="T003"/>
    <s v="2025-07"/>
    <n v="4230"/>
    <n v="4230"/>
    <n v="0"/>
    <d v="2025-03-22T00:00:00"/>
    <n v="8"/>
    <n v="33840"/>
    <x v="1"/>
  </r>
  <r>
    <s v="T011"/>
    <s v="2025-12"/>
    <n v="2255"/>
    <n v="1578"/>
    <n v="677"/>
    <d v="2025-11-02T00:00:00"/>
    <n v="24"/>
    <n v="54120"/>
    <x v="2"/>
  </r>
  <r>
    <s v="T260"/>
    <s v="2025-10"/>
    <n v="5377"/>
    <n v="5274"/>
    <n v="103"/>
    <d v="2025-04-13T00:00:00"/>
    <n v="15"/>
    <n v="80655"/>
    <x v="1"/>
  </r>
  <r>
    <s v="T283"/>
    <s v="2025-12"/>
    <n v="4687"/>
    <n v="3688"/>
    <n v="999"/>
    <d v="2025-12-28T00:00:00"/>
    <n v="18"/>
    <n v="84366"/>
    <x v="2"/>
  </r>
  <r>
    <s v="T156"/>
    <s v="2025-11"/>
    <n v="2935"/>
    <n v="2463"/>
    <n v="472"/>
    <d v="2025-02-10T00:00:00"/>
    <n v="13"/>
    <n v="38155"/>
    <x v="1"/>
  </r>
  <r>
    <s v="T191"/>
    <s v="2025-10"/>
    <n v="3507"/>
    <n v="3236"/>
    <n v="271"/>
    <d v="2025-06-20T00:00:00"/>
    <n v="19"/>
    <n v="66633"/>
    <x v="2"/>
  </r>
  <r>
    <s v="T281"/>
    <s v="2025-03"/>
    <n v="5012"/>
    <n v="5012"/>
    <n v="0"/>
    <d v="2025-08-25T00:00:00"/>
    <n v="5"/>
    <n v="25060"/>
    <x v="0"/>
  </r>
  <r>
    <s v="T293"/>
    <s v="2025-04"/>
    <n v="2126"/>
    <n v="1367"/>
    <n v="759"/>
    <d v="2025-11-11T00:00:00"/>
    <n v="13"/>
    <n v="27638"/>
    <x v="1"/>
  </r>
  <r>
    <s v="T037"/>
    <s v="2025-12"/>
    <n v="5927"/>
    <n v="5447"/>
    <n v="480"/>
    <d v="2025-10-19T00:00:00"/>
    <n v="22"/>
    <n v="130394"/>
    <x v="2"/>
  </r>
  <r>
    <s v="T011"/>
    <s v="2025-12"/>
    <n v="4953"/>
    <n v="4096"/>
    <n v="857"/>
    <d v="2025-03-14T00:00:00"/>
    <n v="22"/>
    <n v="108966"/>
    <x v="2"/>
  </r>
  <r>
    <s v="T094"/>
    <s v="2025-09"/>
    <n v="6354"/>
    <n v="5724"/>
    <n v="630"/>
    <d v="2025-04-27T00:00:00"/>
    <n v="17"/>
    <n v="108018"/>
    <x v="2"/>
  </r>
  <r>
    <s v="T227"/>
    <s v="2025-01"/>
    <n v="3139"/>
    <n v="2818"/>
    <n v="321"/>
    <d v="2025-07-28T00:00:00"/>
    <n v="16"/>
    <n v="50224"/>
    <x v="2"/>
  </r>
  <r>
    <s v="T079"/>
    <s v="2025-08"/>
    <n v="3271"/>
    <n v="3004"/>
    <n v="267"/>
    <d v="2025-03-16T00:00:00"/>
    <n v="19"/>
    <n v="62149"/>
    <x v="2"/>
  </r>
  <r>
    <s v="T031"/>
    <s v="2025-06"/>
    <n v="3110"/>
    <n v="2337"/>
    <n v="773"/>
    <d v="2025-05-14T00:00:00"/>
    <n v="25"/>
    <n v="77750"/>
    <x v="2"/>
  </r>
  <r>
    <s v="T276"/>
    <s v="2025-03"/>
    <n v="2847"/>
    <n v="2847"/>
    <n v="0"/>
    <d v="2025-10-20T00:00:00"/>
    <n v="4"/>
    <n v="11388"/>
    <x v="0"/>
  </r>
  <r>
    <s v="T105"/>
    <s v="2025-07"/>
    <n v="5887"/>
    <n v="5061"/>
    <n v="826"/>
    <d v="2025-04-04T00:00:00"/>
    <n v="22"/>
    <n v="129514"/>
    <x v="2"/>
  </r>
  <r>
    <s v="T243"/>
    <s v="2025-08"/>
    <n v="6018"/>
    <n v="6018"/>
    <n v="0"/>
    <d v="2025-12-05T00:00:00"/>
    <n v="7"/>
    <n v="42126"/>
    <x v="0"/>
  </r>
  <r>
    <s v="T209"/>
    <s v="2025-09"/>
    <n v="4627"/>
    <n v="3905"/>
    <n v="722"/>
    <d v="2025-05-07T00:00:00"/>
    <n v="15"/>
    <n v="69405"/>
    <x v="1"/>
  </r>
  <r>
    <s v="T099"/>
    <s v="2025-10"/>
    <n v="4027"/>
    <n v="4027"/>
    <n v="0"/>
    <d v="2025-02-07T00:00:00"/>
    <n v="5"/>
    <n v="20135"/>
    <x v="0"/>
  </r>
  <r>
    <s v="T245"/>
    <s v="2025-12"/>
    <n v="6134"/>
    <n v="5403"/>
    <n v="731"/>
    <d v="2025-12-24T00:00:00"/>
    <n v="12"/>
    <n v="73608"/>
    <x v="1"/>
  </r>
  <r>
    <s v="T028"/>
    <s v="2025-09"/>
    <n v="5616"/>
    <n v="5616"/>
    <n v="0"/>
    <d v="2025-04-07T00:00:00"/>
    <n v="0"/>
    <n v="0"/>
    <x v="3"/>
  </r>
  <r>
    <s v="T052"/>
    <s v="2025-11"/>
    <n v="3565"/>
    <n v="3565"/>
    <n v="0"/>
    <d v="2025-08-24T00:00:00"/>
    <n v="0"/>
    <n v="0"/>
    <x v="3"/>
  </r>
  <r>
    <s v="T013"/>
    <s v="2025-01"/>
    <n v="4789"/>
    <n v="3803"/>
    <n v="986"/>
    <d v="2025-01-05T00:00:00"/>
    <n v="14"/>
    <n v="67046"/>
    <x v="1"/>
  </r>
  <r>
    <s v="T272"/>
    <s v="2025-09"/>
    <n v="6705"/>
    <n v="5814"/>
    <n v="891"/>
    <d v="2025-04-07T00:00:00"/>
    <n v="18"/>
    <n v="120690"/>
    <x v="2"/>
  </r>
  <r>
    <s v="T184"/>
    <s v="2025-03"/>
    <n v="2022"/>
    <n v="1224"/>
    <n v="798"/>
    <d v="2025-11-21T00:00:00"/>
    <n v="19"/>
    <n v="38418"/>
    <x v="2"/>
  </r>
  <r>
    <s v="T183"/>
    <s v="2025-11"/>
    <n v="4034"/>
    <n v="4034"/>
    <n v="0"/>
    <d v="2025-08-23T00:00:00"/>
    <n v="9"/>
    <n v="36306"/>
    <x v="1"/>
  </r>
  <r>
    <s v="T299"/>
    <s v="2025-02"/>
    <n v="6526"/>
    <n v="5530"/>
    <n v="996"/>
    <d v="2025-10-14T00:00:00"/>
    <n v="18"/>
    <n v="117468"/>
    <x v="2"/>
  </r>
  <r>
    <s v="T102"/>
    <s v="2025-02"/>
    <n v="3207"/>
    <n v="2254"/>
    <n v="953"/>
    <d v="2025-12-24T00:00:00"/>
    <n v="11"/>
    <n v="35277"/>
    <x v="1"/>
  </r>
  <r>
    <s v="T163"/>
    <s v="2025-01"/>
    <n v="3995"/>
    <n v="3995"/>
    <n v="0"/>
    <d v="2025-06-21T00:00:00"/>
    <n v="3"/>
    <n v="11985"/>
    <x v="0"/>
  </r>
  <r>
    <s v="T113"/>
    <s v="2025-02"/>
    <n v="2115"/>
    <n v="1346"/>
    <n v="769"/>
    <d v="2025-05-18T00:00:00"/>
    <n v="13"/>
    <n v="27495"/>
    <x v="1"/>
  </r>
  <r>
    <s v="T287"/>
    <s v="2025-03"/>
    <n v="5164"/>
    <n v="4354"/>
    <n v="810"/>
    <d v="2025-03-27T00:00:00"/>
    <n v="12"/>
    <n v="61968"/>
    <x v="1"/>
  </r>
  <r>
    <s v="T023"/>
    <s v="2025-12"/>
    <n v="5397"/>
    <n v="5259"/>
    <n v="138"/>
    <d v="2025-07-02T00:00:00"/>
    <n v="11"/>
    <n v="59367"/>
    <x v="1"/>
  </r>
  <r>
    <s v="T300"/>
    <s v="2025-02"/>
    <n v="4146"/>
    <n v="3764"/>
    <n v="382"/>
    <d v="2025-02-15T00:00:00"/>
    <n v="13"/>
    <n v="53898"/>
    <x v="1"/>
  </r>
  <r>
    <s v="T015"/>
    <s v="2025-11"/>
    <n v="4448"/>
    <n v="4448"/>
    <n v="0"/>
    <d v="2025-07-11T00:00:00"/>
    <n v="6"/>
    <n v="26688"/>
    <x v="0"/>
  </r>
  <r>
    <s v="T152"/>
    <s v="2025-03"/>
    <n v="3186"/>
    <n v="2857"/>
    <n v="329"/>
    <d v="2025-11-15T00:00:00"/>
    <n v="12"/>
    <n v="38232"/>
    <x v="1"/>
  </r>
  <r>
    <s v="T256"/>
    <s v="2025-08"/>
    <n v="3110"/>
    <n v="2641"/>
    <n v="469"/>
    <d v="2025-01-23T00:00:00"/>
    <n v="24"/>
    <n v="74640"/>
    <x v="2"/>
  </r>
  <r>
    <s v="T238"/>
    <s v="2025-11"/>
    <n v="3126"/>
    <n v="3126"/>
    <n v="0"/>
    <d v="2025-11-18T00:00:00"/>
    <n v="5"/>
    <n v="15630"/>
    <x v="0"/>
  </r>
  <r>
    <s v="T299"/>
    <s v="2025-07"/>
    <n v="6013"/>
    <n v="5369"/>
    <n v="644"/>
    <d v="2025-03-08T00:00:00"/>
    <n v="22"/>
    <n v="132286"/>
    <x v="2"/>
  </r>
  <r>
    <s v="T241"/>
    <s v="2025-02"/>
    <n v="5339"/>
    <n v="4906"/>
    <n v="433"/>
    <d v="2025-08-21T00:00:00"/>
    <n v="25"/>
    <n v="133475"/>
    <x v="2"/>
  </r>
  <r>
    <s v="T077"/>
    <s v="2025-10"/>
    <n v="6303"/>
    <n v="5965"/>
    <n v="338"/>
    <d v="2025-08-03T00:00:00"/>
    <n v="22"/>
    <n v="138666"/>
    <x v="2"/>
  </r>
  <r>
    <s v="T231"/>
    <s v="2025-02"/>
    <n v="4754"/>
    <n v="4754"/>
    <n v="0"/>
    <d v="2025-02-10T00:00:00"/>
    <n v="4"/>
    <n v="19016"/>
    <x v="0"/>
  </r>
  <r>
    <s v="T242"/>
    <s v="2025-01"/>
    <n v="4091"/>
    <n v="4091"/>
    <n v="0"/>
    <d v="2025-02-04T00:00:00"/>
    <n v="8"/>
    <n v="32728"/>
    <x v="1"/>
  </r>
  <r>
    <s v="T263"/>
    <s v="2025-11"/>
    <n v="2493"/>
    <n v="2493"/>
    <n v="0"/>
    <d v="2025-05-09T00:00:00"/>
    <n v="6"/>
    <n v="14958"/>
    <x v="0"/>
  </r>
  <r>
    <s v="T058"/>
    <s v="2025-01"/>
    <n v="6220"/>
    <n v="6220"/>
    <n v="0"/>
    <d v="2025-12-09T00:00:00"/>
    <n v="8"/>
    <n v="49760"/>
    <x v="1"/>
  </r>
  <r>
    <s v="T240"/>
    <s v="2025-01"/>
    <n v="6048"/>
    <n v="6048"/>
    <n v="0"/>
    <d v="2025-03-15T00:00:00"/>
    <n v="1"/>
    <n v="6048"/>
    <x v="0"/>
  </r>
  <r>
    <s v="T032"/>
    <s v="2025-01"/>
    <n v="2586"/>
    <n v="2234"/>
    <n v="352"/>
    <d v="2025-01-07T00:00:00"/>
    <n v="22"/>
    <n v="56892"/>
    <x v="2"/>
  </r>
  <r>
    <s v="T065"/>
    <s v="2025-02"/>
    <n v="5959"/>
    <n v="5959"/>
    <n v="0"/>
    <d v="2025-01-27T00:00:00"/>
    <n v="0"/>
    <n v="0"/>
    <x v="3"/>
  </r>
  <r>
    <s v="T177"/>
    <s v="2025-01"/>
    <n v="5442"/>
    <n v="4787"/>
    <n v="655"/>
    <d v="2025-07-27T00:00:00"/>
    <n v="18"/>
    <n v="97956"/>
    <x v="2"/>
  </r>
  <r>
    <s v="T006"/>
    <s v="2025-12"/>
    <n v="5072"/>
    <n v="5072"/>
    <n v="0"/>
    <d v="2025-10-02T00:00:00"/>
    <n v="3"/>
    <n v="15216"/>
    <x v="0"/>
  </r>
  <r>
    <s v="T202"/>
    <s v="2025-03"/>
    <n v="4964"/>
    <n v="4813"/>
    <n v="151"/>
    <d v="2025-07-08T00:00:00"/>
    <n v="22"/>
    <n v="109208"/>
    <x v="2"/>
  </r>
  <r>
    <s v="T055"/>
    <s v="2025-06"/>
    <n v="2405"/>
    <n v="2405"/>
    <n v="0"/>
    <d v="2025-03-04T00:00:00"/>
    <n v="0"/>
    <n v="0"/>
    <x v="3"/>
  </r>
  <r>
    <s v="T016"/>
    <s v="2025-10"/>
    <n v="4147"/>
    <n v="4147"/>
    <n v="0"/>
    <d v="2025-04-02T00:00:00"/>
    <n v="9"/>
    <n v="37323"/>
    <x v="1"/>
  </r>
  <r>
    <s v="T245"/>
    <s v="2025-07"/>
    <n v="4993"/>
    <n v="4016"/>
    <n v="977"/>
    <d v="2025-01-13T00:00:00"/>
    <n v="23"/>
    <n v="114839"/>
    <x v="2"/>
  </r>
  <r>
    <s v="T216"/>
    <s v="2025-05"/>
    <n v="5180"/>
    <n v="4426"/>
    <n v="754"/>
    <d v="2025-09-19T00:00:00"/>
    <n v="14"/>
    <n v="72520"/>
    <x v="1"/>
  </r>
  <r>
    <s v="T045"/>
    <s v="2025-06"/>
    <n v="4989"/>
    <n v="4989"/>
    <n v="0"/>
    <d v="2025-12-06T00:00:00"/>
    <n v="5"/>
    <n v="24945"/>
    <x v="0"/>
  </r>
  <r>
    <s v="T172"/>
    <s v="2025-04"/>
    <n v="6806"/>
    <n v="5838"/>
    <n v="968"/>
    <d v="2025-05-25T00:00:00"/>
    <n v="10"/>
    <n v="68060"/>
    <x v="1"/>
  </r>
  <r>
    <s v="T057"/>
    <s v="2025-01"/>
    <n v="6411"/>
    <n v="6223"/>
    <n v="188"/>
    <d v="2025-07-23T00:00:00"/>
    <n v="14"/>
    <n v="89754"/>
    <x v="1"/>
  </r>
  <r>
    <s v="T280"/>
    <s v="2025-05"/>
    <n v="4639"/>
    <n v="4639"/>
    <n v="0"/>
    <d v="2025-09-22T00:00:00"/>
    <n v="3"/>
    <n v="13917"/>
    <x v="0"/>
  </r>
  <r>
    <s v="T156"/>
    <s v="2025-01"/>
    <n v="5804"/>
    <n v="5688"/>
    <n v="116"/>
    <d v="2025-12-21T00:00:00"/>
    <n v="24"/>
    <n v="139296"/>
    <x v="2"/>
  </r>
  <r>
    <s v="T068"/>
    <s v="2025-12"/>
    <n v="6230"/>
    <n v="6167"/>
    <n v="63"/>
    <d v="2025-09-08T00:00:00"/>
    <n v="12"/>
    <n v="74760"/>
    <x v="1"/>
  </r>
  <r>
    <s v="T086"/>
    <s v="2025-10"/>
    <n v="6929"/>
    <n v="6929"/>
    <n v="0"/>
    <d v="2025-03-24T00:00:00"/>
    <n v="1"/>
    <n v="6929"/>
    <x v="0"/>
  </r>
  <r>
    <s v="T010"/>
    <s v="2025-02"/>
    <n v="4378"/>
    <n v="3586"/>
    <n v="792"/>
    <d v="2025-10-08T00:00:00"/>
    <n v="25"/>
    <n v="109450"/>
    <x v="2"/>
  </r>
  <r>
    <s v="T072"/>
    <s v="2025-09"/>
    <n v="2911"/>
    <n v="2911"/>
    <n v="0"/>
    <d v="2025-08-23T00:00:00"/>
    <n v="6"/>
    <n v="17466"/>
    <x v="0"/>
  </r>
  <r>
    <s v="T156"/>
    <s v="2025-05"/>
    <n v="2526"/>
    <n v="2396"/>
    <n v="130"/>
    <d v="2025-10-15T00:00:00"/>
    <n v="14"/>
    <n v="35364"/>
    <x v="1"/>
  </r>
  <r>
    <s v="T006"/>
    <s v="2025-07"/>
    <n v="6641"/>
    <n v="6443"/>
    <n v="198"/>
    <d v="2025-05-10T00:00:00"/>
    <n v="16"/>
    <n v="106256"/>
    <x v="2"/>
  </r>
  <r>
    <s v="T149"/>
    <s v="2025-10"/>
    <n v="6992"/>
    <n v="6979"/>
    <n v="13"/>
    <d v="2025-04-21T00:00:00"/>
    <n v="24"/>
    <n v="167808"/>
    <x v="2"/>
  </r>
  <r>
    <s v="T202"/>
    <s v="2025-03"/>
    <n v="4742"/>
    <n v="4272"/>
    <n v="470"/>
    <d v="2025-09-07T00:00:00"/>
    <n v="21"/>
    <n v="99582"/>
    <x v="2"/>
  </r>
  <r>
    <s v="T036"/>
    <s v="2025-12"/>
    <n v="2398"/>
    <n v="2398"/>
    <n v="0"/>
    <d v="2025-04-09T00:00:00"/>
    <n v="1"/>
    <n v="2398"/>
    <x v="0"/>
  </r>
  <r>
    <s v="T107"/>
    <s v="2025-03"/>
    <n v="4370"/>
    <n v="4072"/>
    <n v="298"/>
    <d v="2025-02-21T00:00:00"/>
    <n v="12"/>
    <n v="52440"/>
    <x v="1"/>
  </r>
  <r>
    <s v="T144"/>
    <s v="2025-06"/>
    <n v="5338"/>
    <n v="5338"/>
    <n v="0"/>
    <d v="2025-10-20T00:00:00"/>
    <n v="1"/>
    <n v="5338"/>
    <x v="0"/>
  </r>
  <r>
    <s v="T244"/>
    <s v="2025-12"/>
    <n v="5749"/>
    <n v="5352"/>
    <n v="397"/>
    <d v="2025-01-27T00:00:00"/>
    <n v="11"/>
    <n v="63239"/>
    <x v="1"/>
  </r>
  <r>
    <s v="T051"/>
    <s v="2025-04"/>
    <n v="6190"/>
    <n v="5949"/>
    <n v="241"/>
    <d v="2025-11-02T00:00:00"/>
    <n v="13"/>
    <n v="80470"/>
    <x v="1"/>
  </r>
  <r>
    <s v="T060"/>
    <s v="2025-12"/>
    <n v="5823"/>
    <n v="5144"/>
    <n v="679"/>
    <d v="2025-04-16T00:00:00"/>
    <n v="17"/>
    <n v="98991"/>
    <x v="2"/>
  </r>
  <r>
    <s v="T063"/>
    <s v="2025-03"/>
    <n v="3395"/>
    <n v="3395"/>
    <n v="0"/>
    <d v="2025-08-03T00:00:00"/>
    <n v="9"/>
    <n v="30555"/>
    <x v="1"/>
  </r>
  <r>
    <s v="T230"/>
    <s v="2025-05"/>
    <n v="3422"/>
    <n v="2585"/>
    <n v="837"/>
    <d v="2025-12-28T00:00:00"/>
    <n v="13"/>
    <n v="44486"/>
    <x v="1"/>
  </r>
  <r>
    <s v="T212"/>
    <s v="2025-03"/>
    <n v="3238"/>
    <n v="3238"/>
    <n v="0"/>
    <d v="2025-10-13T00:00:00"/>
    <n v="7"/>
    <n v="22666"/>
    <x v="0"/>
  </r>
  <r>
    <s v="T156"/>
    <s v="2025-05"/>
    <n v="6492"/>
    <n v="6402"/>
    <n v="90"/>
    <d v="2025-02-24T00:00:00"/>
    <n v="19"/>
    <n v="123348"/>
    <x v="2"/>
  </r>
  <r>
    <s v="T297"/>
    <s v="2025-03"/>
    <n v="6004"/>
    <n v="6004"/>
    <n v="0"/>
    <d v="2025-03-21T00:00:00"/>
    <n v="5"/>
    <n v="30020"/>
    <x v="0"/>
  </r>
  <r>
    <s v="T271"/>
    <s v="2025-02"/>
    <n v="5352"/>
    <n v="5302"/>
    <n v="50"/>
    <d v="2025-01-14T00:00:00"/>
    <n v="19"/>
    <n v="101688"/>
    <x v="2"/>
  </r>
  <r>
    <s v="T113"/>
    <s v="2025-02"/>
    <n v="2396"/>
    <n v="1621"/>
    <n v="775"/>
    <d v="2025-01-28T00:00:00"/>
    <n v="11"/>
    <n v="26356"/>
    <x v="1"/>
  </r>
  <r>
    <s v="T159"/>
    <s v="2025-11"/>
    <n v="2847"/>
    <n v="2847"/>
    <n v="0"/>
    <d v="2025-01-14T00:00:00"/>
    <n v="4"/>
    <n v="11388"/>
    <x v="0"/>
  </r>
  <r>
    <s v="T013"/>
    <s v="2025-11"/>
    <n v="5379"/>
    <n v="5379"/>
    <n v="0"/>
    <d v="2025-04-19T00:00:00"/>
    <n v="4"/>
    <n v="21516"/>
    <x v="0"/>
  </r>
  <r>
    <s v="T280"/>
    <s v="2025-07"/>
    <n v="2188"/>
    <n v="2188"/>
    <n v="0"/>
    <d v="2025-02-02T00:00:00"/>
    <n v="7"/>
    <n v="15316"/>
    <x v="0"/>
  </r>
  <r>
    <s v="T259"/>
    <s v="2025-01"/>
    <n v="5676"/>
    <n v="5635"/>
    <n v="41"/>
    <d v="2025-11-14T00:00:00"/>
    <n v="11"/>
    <n v="62436"/>
    <x v="1"/>
  </r>
  <r>
    <s v="T211"/>
    <s v="2025-08"/>
    <n v="6758"/>
    <n v="6047"/>
    <n v="711"/>
    <d v="2025-02-15T00:00:00"/>
    <n v="23"/>
    <n v="155434"/>
    <x v="2"/>
  </r>
  <r>
    <s v="T285"/>
    <s v="2025-06"/>
    <n v="2241"/>
    <n v="2241"/>
    <n v="0"/>
    <d v="2025-02-19T00:00:00"/>
    <n v="9"/>
    <n v="20169"/>
    <x v="1"/>
  </r>
  <r>
    <s v="T253"/>
    <s v="2025-07"/>
    <n v="3655"/>
    <n v="3115"/>
    <n v="540"/>
    <d v="2025-09-07T00:00:00"/>
    <n v="22"/>
    <n v="80410"/>
    <x v="2"/>
  </r>
  <r>
    <s v="T280"/>
    <s v="2025-04"/>
    <n v="3870"/>
    <n v="3467"/>
    <n v="403"/>
    <d v="2025-10-24T00:00:00"/>
    <n v="18"/>
    <n v="69660"/>
    <x v="2"/>
  </r>
  <r>
    <s v="T051"/>
    <s v="2025-05"/>
    <n v="3698"/>
    <n v="3698"/>
    <n v="0"/>
    <d v="2025-09-16T00:00:00"/>
    <n v="4"/>
    <n v="14792"/>
    <x v="0"/>
  </r>
  <r>
    <s v="T168"/>
    <s v="2025-08"/>
    <n v="2637"/>
    <n v="1850"/>
    <n v="787"/>
    <d v="2025-11-20T00:00:00"/>
    <n v="19"/>
    <n v="50103"/>
    <x v="2"/>
  </r>
  <r>
    <s v="T104"/>
    <s v="2025-03"/>
    <n v="6744"/>
    <n v="6744"/>
    <n v="0"/>
    <d v="2025-07-24T00:00:00"/>
    <n v="8"/>
    <n v="53952"/>
    <x v="1"/>
  </r>
  <r>
    <s v="T005"/>
    <s v="2025-12"/>
    <n v="5594"/>
    <n v="5155"/>
    <n v="439"/>
    <d v="2025-12-15T00:00:00"/>
    <n v="10"/>
    <n v="55940"/>
    <x v="1"/>
  </r>
  <r>
    <s v="T182"/>
    <s v="2025-12"/>
    <n v="3669"/>
    <n v="3669"/>
    <n v="0"/>
    <d v="2025-12-13T00:00:00"/>
    <n v="6"/>
    <n v="22014"/>
    <x v="0"/>
  </r>
  <r>
    <s v="T031"/>
    <s v="2025-04"/>
    <n v="6350"/>
    <n v="5485"/>
    <n v="865"/>
    <d v="2025-07-11T00:00:00"/>
    <n v="24"/>
    <n v="152400"/>
    <x v="2"/>
  </r>
  <r>
    <s v="T257"/>
    <s v="2025-02"/>
    <n v="6452"/>
    <n v="6452"/>
    <n v="0"/>
    <d v="2025-12-13T00:00:00"/>
    <n v="3"/>
    <n v="19356"/>
    <x v="0"/>
  </r>
  <r>
    <s v="T136"/>
    <s v="2025-06"/>
    <n v="5209"/>
    <n v="4457"/>
    <n v="752"/>
    <d v="2025-04-07T00:00:00"/>
    <n v="22"/>
    <n v="114598"/>
    <x v="2"/>
  </r>
  <r>
    <s v="T068"/>
    <s v="2025-06"/>
    <n v="4384"/>
    <n v="3835"/>
    <n v="549"/>
    <d v="2025-02-05T00:00:00"/>
    <n v="11"/>
    <n v="48224"/>
    <x v="1"/>
  </r>
  <r>
    <s v="T165"/>
    <s v="2025-08"/>
    <n v="5535"/>
    <n v="5354"/>
    <n v="181"/>
    <d v="2025-02-12T00:00:00"/>
    <n v="19"/>
    <n v="105165"/>
    <x v="2"/>
  </r>
  <r>
    <s v="T052"/>
    <s v="2025-10"/>
    <n v="4158"/>
    <n v="3970"/>
    <n v="188"/>
    <d v="2025-04-06T00:00:00"/>
    <n v="11"/>
    <n v="45738"/>
    <x v="1"/>
  </r>
  <r>
    <s v="T029"/>
    <s v="2025-07"/>
    <n v="3829"/>
    <n v="3829"/>
    <n v="0"/>
    <d v="2025-02-26T00:00:00"/>
    <n v="5"/>
    <n v="19145"/>
    <x v="0"/>
  </r>
  <r>
    <s v="T229"/>
    <s v="2025-03"/>
    <n v="3007"/>
    <n v="2033"/>
    <n v="974"/>
    <d v="2025-09-05T00:00:00"/>
    <n v="22"/>
    <n v="66154"/>
    <x v="2"/>
  </r>
  <r>
    <s v="T107"/>
    <s v="2025-10"/>
    <n v="3450"/>
    <n v="3114"/>
    <n v="336"/>
    <d v="2025-09-08T00:00:00"/>
    <n v="16"/>
    <n v="55200"/>
    <x v="2"/>
  </r>
  <r>
    <s v="T235"/>
    <s v="2025-01"/>
    <n v="6738"/>
    <n v="6167"/>
    <n v="571"/>
    <d v="2025-10-14T00:00:00"/>
    <n v="13"/>
    <n v="87594"/>
    <x v="1"/>
  </r>
  <r>
    <s v="T178"/>
    <s v="2025-12"/>
    <n v="5860"/>
    <n v="5767"/>
    <n v="93"/>
    <d v="2025-05-11T00:00:00"/>
    <n v="10"/>
    <n v="58600"/>
    <x v="1"/>
  </r>
  <r>
    <s v="T202"/>
    <s v="2025-04"/>
    <n v="4606"/>
    <n v="4604"/>
    <n v="2"/>
    <d v="2025-11-05T00:00:00"/>
    <n v="16"/>
    <n v="73696"/>
    <x v="2"/>
  </r>
  <r>
    <s v="T041"/>
    <s v="2025-02"/>
    <n v="3029"/>
    <n v="2168"/>
    <n v="861"/>
    <d v="2025-05-28T00:00:00"/>
    <n v="22"/>
    <n v="66638"/>
    <x v="2"/>
  </r>
  <r>
    <s v="T153"/>
    <s v="2025-05"/>
    <n v="6472"/>
    <n v="6472"/>
    <n v="0"/>
    <d v="2025-03-04T00:00:00"/>
    <n v="8"/>
    <n v="51776"/>
    <x v="1"/>
  </r>
  <r>
    <s v="T121"/>
    <s v="2025-10"/>
    <n v="5305"/>
    <n v="4997"/>
    <n v="308"/>
    <d v="2025-09-20T00:00:00"/>
    <n v="14"/>
    <n v="74270"/>
    <x v="1"/>
  </r>
  <r>
    <s v="T062"/>
    <s v="2025-01"/>
    <n v="6585"/>
    <n v="5819"/>
    <n v="766"/>
    <d v="2025-03-08T00:00:00"/>
    <n v="24"/>
    <n v="158040"/>
    <x v="2"/>
  </r>
  <r>
    <s v="T165"/>
    <s v="2025-12"/>
    <n v="2468"/>
    <n v="1619"/>
    <n v="849"/>
    <d v="2025-08-13T00:00:00"/>
    <n v="21"/>
    <n v="51828"/>
    <x v="2"/>
  </r>
  <r>
    <s v="T136"/>
    <s v="2025-06"/>
    <n v="5844"/>
    <n v="5591"/>
    <n v="253"/>
    <d v="2025-03-18T00:00:00"/>
    <n v="17"/>
    <n v="99348"/>
    <x v="2"/>
  </r>
  <r>
    <s v="T122"/>
    <s v="2025-09"/>
    <n v="3304"/>
    <n v="3304"/>
    <n v="0"/>
    <d v="2025-11-21T00:00:00"/>
    <n v="5"/>
    <n v="16520"/>
    <x v="0"/>
  </r>
  <r>
    <s v="T002"/>
    <s v="2025-09"/>
    <n v="6890"/>
    <n v="6890"/>
    <n v="0"/>
    <d v="2025-10-28T00:00:00"/>
    <n v="6"/>
    <n v="41340"/>
    <x v="0"/>
  </r>
  <r>
    <s v="T098"/>
    <s v="2025-07"/>
    <n v="6256"/>
    <n v="5605"/>
    <n v="651"/>
    <d v="2025-08-14T00:00:00"/>
    <n v="15"/>
    <n v="93840"/>
    <x v="1"/>
  </r>
  <r>
    <s v="T265"/>
    <s v="2025-08"/>
    <n v="2170"/>
    <n v="1666"/>
    <n v="504"/>
    <d v="2025-10-23T00:00:00"/>
    <n v="19"/>
    <n v="41230"/>
    <x v="2"/>
  </r>
  <r>
    <s v="T055"/>
    <s v="2025-12"/>
    <n v="2255"/>
    <n v="1586"/>
    <n v="669"/>
    <d v="2025-12-03T00:00:00"/>
    <n v="18"/>
    <n v="40590"/>
    <x v="2"/>
  </r>
  <r>
    <s v="T193"/>
    <s v="2025-11"/>
    <n v="3260"/>
    <n v="2465"/>
    <n v="795"/>
    <d v="2025-01-24T00:00:00"/>
    <n v="24"/>
    <n v="78240"/>
    <x v="2"/>
  </r>
  <r>
    <s v="T118"/>
    <s v="2025-02"/>
    <n v="4292"/>
    <n v="3913"/>
    <n v="379"/>
    <d v="2025-07-04T00:00:00"/>
    <n v="16"/>
    <n v="68672"/>
    <x v="2"/>
  </r>
  <r>
    <s v="T004"/>
    <s v="2025-01"/>
    <n v="2877"/>
    <n v="2877"/>
    <n v="0"/>
    <d v="2025-04-05T00:00:00"/>
    <n v="3"/>
    <n v="8631"/>
    <x v="0"/>
  </r>
  <r>
    <s v="T182"/>
    <s v="2025-11"/>
    <n v="3733"/>
    <n v="3367"/>
    <n v="366"/>
    <d v="2025-02-08T00:00:00"/>
    <n v="22"/>
    <n v="82126"/>
    <x v="2"/>
  </r>
  <r>
    <s v="T173"/>
    <s v="2025-09"/>
    <n v="4526"/>
    <n v="4346"/>
    <n v="180"/>
    <d v="2025-04-21T00:00:00"/>
    <n v="21"/>
    <n v="95046"/>
    <x v="2"/>
  </r>
  <r>
    <s v="T202"/>
    <s v="2025-05"/>
    <n v="5294"/>
    <n v="4611"/>
    <n v="683"/>
    <d v="2025-04-07T00:00:00"/>
    <n v="18"/>
    <n v="95292"/>
    <x v="2"/>
  </r>
  <r>
    <s v="T007"/>
    <s v="2025-10"/>
    <n v="6951"/>
    <n v="6951"/>
    <n v="0"/>
    <d v="2025-10-21T00:00:00"/>
    <n v="9"/>
    <n v="62559"/>
    <x v="1"/>
  </r>
  <r>
    <s v="T283"/>
    <s v="2025-02"/>
    <n v="6712"/>
    <n v="5938"/>
    <n v="774"/>
    <d v="2025-12-17T00:00:00"/>
    <n v="10"/>
    <n v="67120"/>
    <x v="1"/>
  </r>
  <r>
    <s v="T065"/>
    <s v="2025-05"/>
    <n v="2737"/>
    <n v="2737"/>
    <n v="0"/>
    <d v="2025-01-10T00:00:00"/>
    <n v="3"/>
    <n v="8211"/>
    <x v="0"/>
  </r>
  <r>
    <s v="T268"/>
    <s v="2025-01"/>
    <n v="6928"/>
    <n v="6459"/>
    <n v="469"/>
    <d v="2025-01-20T00:00:00"/>
    <n v="22"/>
    <n v="152416"/>
    <x v="2"/>
  </r>
  <r>
    <s v="T095"/>
    <s v="2025-04"/>
    <n v="6932"/>
    <n v="6932"/>
    <n v="0"/>
    <d v="2025-12-10T00:00:00"/>
    <n v="9"/>
    <n v="62388"/>
    <x v="1"/>
  </r>
  <r>
    <s v="T256"/>
    <s v="2025-03"/>
    <n v="5586"/>
    <n v="5586"/>
    <n v="0"/>
    <d v="2025-12-05T00:00:00"/>
    <n v="5"/>
    <n v="27930"/>
    <x v="0"/>
  </r>
  <r>
    <s v="T178"/>
    <s v="2025-02"/>
    <n v="6643"/>
    <n v="6082"/>
    <n v="561"/>
    <d v="2025-10-08T00:00:00"/>
    <n v="15"/>
    <n v="99645"/>
    <x v="1"/>
  </r>
  <r>
    <s v="T277"/>
    <s v="2025-01"/>
    <n v="2021"/>
    <n v="1862"/>
    <n v="159"/>
    <d v="2025-10-14T00:00:00"/>
    <n v="18"/>
    <n v="36378"/>
    <x v="2"/>
  </r>
  <r>
    <s v="T010"/>
    <s v="2025-11"/>
    <n v="3374"/>
    <n v="2821"/>
    <n v="553"/>
    <d v="2025-07-19T00:00:00"/>
    <n v="10"/>
    <n v="33740"/>
    <x v="1"/>
  </r>
  <r>
    <s v="T059"/>
    <s v="2025-01"/>
    <n v="5845"/>
    <n v="5845"/>
    <n v="0"/>
    <d v="2025-07-17T00:00:00"/>
    <n v="8"/>
    <n v="46760"/>
    <x v="1"/>
  </r>
  <r>
    <s v="T276"/>
    <s v="2025-10"/>
    <n v="4792"/>
    <n v="4778"/>
    <n v="14"/>
    <d v="2025-03-20T00:00:00"/>
    <n v="20"/>
    <n v="95840"/>
    <x v="2"/>
  </r>
  <r>
    <s v="T264"/>
    <s v="2025-09"/>
    <n v="2873"/>
    <n v="2108"/>
    <n v="765"/>
    <d v="2025-06-13T00:00:00"/>
    <n v="20"/>
    <n v="57460"/>
    <x v="2"/>
  </r>
  <r>
    <s v="T020"/>
    <s v="2025-10"/>
    <n v="2679"/>
    <n v="2541"/>
    <n v="138"/>
    <d v="2025-07-12T00:00:00"/>
    <n v="18"/>
    <n v="48222"/>
    <x v="2"/>
  </r>
  <r>
    <s v="T004"/>
    <s v="2025-07"/>
    <n v="6873"/>
    <n v="6690"/>
    <n v="183"/>
    <d v="2025-11-19T00:00:00"/>
    <n v="11"/>
    <n v="75603"/>
    <x v="1"/>
  </r>
  <r>
    <s v="T192"/>
    <s v="2025-11"/>
    <n v="5173"/>
    <n v="5173"/>
    <n v="0"/>
    <d v="2025-01-13T00:00:00"/>
    <n v="1"/>
    <n v="5173"/>
    <x v="0"/>
  </r>
  <r>
    <s v="T047"/>
    <s v="2025-06"/>
    <n v="5505"/>
    <n v="4773"/>
    <n v="732"/>
    <d v="2025-10-02T00:00:00"/>
    <n v="14"/>
    <n v="77070"/>
    <x v="1"/>
  </r>
  <r>
    <s v="T214"/>
    <s v="2025-06"/>
    <n v="6178"/>
    <n v="6178"/>
    <n v="0"/>
    <d v="2025-06-09T00:00:00"/>
    <n v="8"/>
    <n v="49424"/>
    <x v="1"/>
  </r>
  <r>
    <s v="T221"/>
    <s v="2025-10"/>
    <n v="3424"/>
    <n v="3424"/>
    <n v="0"/>
    <d v="2025-05-09T00:00:00"/>
    <n v="4"/>
    <n v="13696"/>
    <x v="0"/>
  </r>
  <r>
    <s v="T157"/>
    <s v="2025-08"/>
    <n v="6109"/>
    <n v="6109"/>
    <n v="0"/>
    <d v="2025-02-03T00:00:00"/>
    <n v="7"/>
    <n v="42763"/>
    <x v="0"/>
  </r>
  <r>
    <s v="T088"/>
    <s v="2025-11"/>
    <n v="5307"/>
    <n v="5307"/>
    <n v="0"/>
    <d v="2025-02-09T00:00:00"/>
    <n v="5"/>
    <n v="26535"/>
    <x v="0"/>
  </r>
  <r>
    <s v="T099"/>
    <s v="2025-03"/>
    <n v="5449"/>
    <n v="5449"/>
    <n v="0"/>
    <d v="2025-02-23T00:00:00"/>
    <n v="2"/>
    <n v="10898"/>
    <x v="0"/>
  </r>
  <r>
    <s v="T296"/>
    <s v="2025-04"/>
    <n v="5004"/>
    <n v="5004"/>
    <n v="0"/>
    <d v="2025-07-15T00:00:00"/>
    <n v="0"/>
    <n v="0"/>
    <x v="3"/>
  </r>
  <r>
    <s v="T061"/>
    <s v="2025-06"/>
    <n v="5066"/>
    <n v="5066"/>
    <n v="0"/>
    <d v="2025-10-27T00:00:00"/>
    <n v="0"/>
    <n v="0"/>
    <x v="3"/>
  </r>
  <r>
    <s v="T019"/>
    <s v="2025-09"/>
    <n v="5083"/>
    <n v="4177"/>
    <n v="906"/>
    <d v="2025-09-23T00:00:00"/>
    <n v="10"/>
    <n v="50830"/>
    <x v="1"/>
  </r>
  <r>
    <s v="T047"/>
    <s v="2025-08"/>
    <n v="6122"/>
    <n v="5886"/>
    <n v="236"/>
    <d v="2025-02-27T00:00:00"/>
    <n v="25"/>
    <n v="153050"/>
    <x v="2"/>
  </r>
  <r>
    <s v="T154"/>
    <s v="2025-10"/>
    <n v="5713"/>
    <n v="5713"/>
    <n v="0"/>
    <d v="2025-07-19T00:00:00"/>
    <n v="3"/>
    <n v="17139"/>
    <x v="0"/>
  </r>
  <r>
    <s v="T184"/>
    <s v="2025-09"/>
    <n v="6091"/>
    <n v="6091"/>
    <n v="0"/>
    <d v="2025-03-06T00:00:00"/>
    <n v="7"/>
    <n v="42637"/>
    <x v="0"/>
  </r>
  <r>
    <s v="T260"/>
    <s v="2025-09"/>
    <n v="2179"/>
    <n v="2179"/>
    <n v="0"/>
    <d v="2025-06-21T00:00:00"/>
    <n v="0"/>
    <n v="0"/>
    <x v="3"/>
  </r>
  <r>
    <s v="T232"/>
    <s v="2025-04"/>
    <n v="6637"/>
    <n v="6630"/>
    <n v="7"/>
    <d v="2025-06-05T00:00:00"/>
    <n v="12"/>
    <n v="79644"/>
    <x v="1"/>
  </r>
  <r>
    <s v="T121"/>
    <s v="2025-07"/>
    <n v="2919"/>
    <n v="2466"/>
    <n v="453"/>
    <d v="2025-04-16T00:00:00"/>
    <n v="15"/>
    <n v="43785"/>
    <x v="1"/>
  </r>
  <r>
    <s v="T026"/>
    <s v="2025-01"/>
    <n v="2234"/>
    <n v="1661"/>
    <n v="573"/>
    <d v="2025-09-03T00:00:00"/>
    <n v="23"/>
    <n v="51382"/>
    <x v="2"/>
  </r>
  <r>
    <s v="T144"/>
    <s v="2025-02"/>
    <n v="6649"/>
    <n v="6649"/>
    <n v="0"/>
    <d v="2025-09-07T00:00:00"/>
    <n v="0"/>
    <n v="0"/>
    <x v="3"/>
  </r>
  <r>
    <s v="T008"/>
    <s v="2025-11"/>
    <n v="4815"/>
    <n v="4345"/>
    <n v="470"/>
    <d v="2025-04-18T00:00:00"/>
    <n v="16"/>
    <n v="77040"/>
    <x v="2"/>
  </r>
  <r>
    <s v="T070"/>
    <s v="2025-01"/>
    <n v="4788"/>
    <n v="4788"/>
    <n v="0"/>
    <d v="2025-10-26T00:00:00"/>
    <n v="8"/>
    <n v="38304"/>
    <x v="1"/>
  </r>
  <r>
    <s v="T022"/>
    <s v="2025-05"/>
    <n v="2787"/>
    <n v="2272"/>
    <n v="515"/>
    <d v="2025-01-22T00:00:00"/>
    <n v="22"/>
    <n v="61314"/>
    <x v="2"/>
  </r>
  <r>
    <s v="T053"/>
    <s v="2025-12"/>
    <n v="4535"/>
    <n v="4057"/>
    <n v="478"/>
    <d v="2025-10-27T00:00:00"/>
    <n v="11"/>
    <n v="49885"/>
    <x v="1"/>
  </r>
  <r>
    <s v="T205"/>
    <s v="2025-06"/>
    <n v="5674"/>
    <n v="5216"/>
    <n v="458"/>
    <d v="2025-02-25T00:00:00"/>
    <n v="20"/>
    <n v="113480"/>
    <x v="2"/>
  </r>
  <r>
    <s v="T298"/>
    <s v="2025-09"/>
    <n v="6269"/>
    <n v="6269"/>
    <n v="0"/>
    <d v="2025-11-24T00:00:00"/>
    <n v="0"/>
    <n v="0"/>
    <x v="3"/>
  </r>
  <r>
    <s v="T176"/>
    <s v="2025-01"/>
    <n v="3248"/>
    <n v="3248"/>
    <n v="0"/>
    <d v="2025-08-19T00:00:00"/>
    <n v="1"/>
    <n v="3248"/>
    <x v="0"/>
  </r>
  <r>
    <s v="T043"/>
    <s v="2025-06"/>
    <n v="3651"/>
    <n v="3651"/>
    <n v="0"/>
    <d v="2025-03-10T00:00:00"/>
    <n v="7"/>
    <n v="25557"/>
    <x v="0"/>
  </r>
  <r>
    <s v="T232"/>
    <s v="2025-12"/>
    <n v="2941"/>
    <n v="2552"/>
    <n v="389"/>
    <d v="2025-06-08T00:00:00"/>
    <n v="10"/>
    <n v="29410"/>
    <x v="1"/>
  </r>
  <r>
    <s v="T215"/>
    <s v="2025-10"/>
    <n v="6310"/>
    <n v="5818"/>
    <n v="492"/>
    <d v="2025-01-11T00:00:00"/>
    <n v="15"/>
    <n v="94650"/>
    <x v="1"/>
  </r>
  <r>
    <s v="T100"/>
    <s v="2025-12"/>
    <n v="6761"/>
    <n v="6162"/>
    <n v="599"/>
    <d v="2025-10-22T00:00:00"/>
    <n v="20"/>
    <n v="135220"/>
    <x v="2"/>
  </r>
  <r>
    <s v="T125"/>
    <s v="2025-12"/>
    <n v="6701"/>
    <n v="6701"/>
    <n v="0"/>
    <d v="2025-07-04T00:00:00"/>
    <n v="0"/>
    <n v="0"/>
    <x v="3"/>
  </r>
  <r>
    <s v="T001"/>
    <s v="2025-04"/>
    <n v="2268"/>
    <n v="2193"/>
    <n v="75"/>
    <d v="2025-12-06T00:00:00"/>
    <n v="21"/>
    <n v="47628"/>
    <x v="2"/>
  </r>
  <r>
    <s v="T186"/>
    <s v="2025-12"/>
    <n v="3996"/>
    <n v="3996"/>
    <n v="0"/>
    <d v="2025-05-28T00:00:00"/>
    <n v="7"/>
    <n v="27972"/>
    <x v="0"/>
  </r>
  <r>
    <s v="T205"/>
    <s v="2025-01"/>
    <n v="5404"/>
    <n v="5299"/>
    <n v="105"/>
    <d v="2025-01-18T00:00:00"/>
    <n v="11"/>
    <n v="59444"/>
    <x v="1"/>
  </r>
  <r>
    <s v="T256"/>
    <s v="2025-04"/>
    <n v="5485"/>
    <n v="4623"/>
    <n v="862"/>
    <d v="2025-08-17T00:00:00"/>
    <n v="20"/>
    <n v="109700"/>
    <x v="2"/>
  </r>
  <r>
    <s v="T130"/>
    <s v="2025-04"/>
    <n v="2981"/>
    <n v="2981"/>
    <n v="0"/>
    <d v="2025-12-15T00:00:00"/>
    <n v="2"/>
    <n v="5962"/>
    <x v="0"/>
  </r>
  <r>
    <s v="T285"/>
    <s v="2025-06"/>
    <n v="6114"/>
    <n v="5180"/>
    <n v="934"/>
    <d v="2025-06-08T00:00:00"/>
    <n v="10"/>
    <n v="61140"/>
    <x v="1"/>
  </r>
  <r>
    <s v="T236"/>
    <s v="2025-12"/>
    <n v="2254"/>
    <n v="2251"/>
    <n v="3"/>
    <d v="2025-09-17T00:00:00"/>
    <n v="25"/>
    <n v="56350"/>
    <x v="2"/>
  </r>
  <r>
    <s v="T212"/>
    <s v="2025-03"/>
    <n v="2553"/>
    <n v="2553"/>
    <n v="0"/>
    <d v="2025-09-26T00:00:00"/>
    <n v="6"/>
    <n v="15318"/>
    <x v="0"/>
  </r>
  <r>
    <s v="T182"/>
    <s v="2025-10"/>
    <n v="5936"/>
    <n v="5936"/>
    <n v="0"/>
    <d v="2025-03-07T00:00:00"/>
    <n v="4"/>
    <n v="23744"/>
    <x v="0"/>
  </r>
  <r>
    <s v="T283"/>
    <s v="2025-07"/>
    <n v="4071"/>
    <n v="3552"/>
    <n v="519"/>
    <d v="2025-09-23T00:00:00"/>
    <n v="11"/>
    <n v="44781"/>
    <x v="1"/>
  </r>
  <r>
    <s v="T182"/>
    <s v="2025-08"/>
    <n v="2511"/>
    <n v="2491"/>
    <n v="20"/>
    <d v="2025-01-15T00:00:00"/>
    <n v="20"/>
    <n v="50220"/>
    <x v="2"/>
  </r>
  <r>
    <s v="T007"/>
    <s v="2025-04"/>
    <n v="3139"/>
    <n v="3109"/>
    <n v="30"/>
    <d v="2025-08-18T00:00:00"/>
    <n v="25"/>
    <n v="78475"/>
    <x v="2"/>
  </r>
  <r>
    <s v="T222"/>
    <s v="2025-06"/>
    <n v="2699"/>
    <n v="2025"/>
    <n v="674"/>
    <d v="2025-09-16T00:00:00"/>
    <n v="22"/>
    <n v="59378"/>
    <x v="2"/>
  </r>
  <r>
    <s v="T111"/>
    <s v="2025-06"/>
    <n v="5588"/>
    <n v="5202"/>
    <n v="386"/>
    <d v="2025-10-06T00:00:00"/>
    <n v="25"/>
    <n v="139700"/>
    <x v="2"/>
  </r>
  <r>
    <s v="T270"/>
    <s v="2025-04"/>
    <n v="3609"/>
    <n v="2796"/>
    <n v="813"/>
    <d v="2025-06-18T00:00:00"/>
    <n v="14"/>
    <n v="50526"/>
    <x v="1"/>
  </r>
  <r>
    <s v="T194"/>
    <s v="2025-11"/>
    <n v="5631"/>
    <n v="5373"/>
    <n v="258"/>
    <d v="2025-01-13T00:00:00"/>
    <n v="19"/>
    <n v="106989"/>
    <x v="2"/>
  </r>
  <r>
    <s v="T242"/>
    <s v="2025-03"/>
    <n v="5709"/>
    <n v="4953"/>
    <n v="756"/>
    <d v="2025-09-08T00:00:00"/>
    <n v="14"/>
    <n v="79926"/>
    <x v="1"/>
  </r>
  <r>
    <s v="T207"/>
    <s v="2025-06"/>
    <n v="5979"/>
    <n v="5702"/>
    <n v="277"/>
    <d v="2025-02-25T00:00:00"/>
    <n v="17"/>
    <n v="101643"/>
    <x v="2"/>
  </r>
  <r>
    <s v="T164"/>
    <s v="2025-03"/>
    <n v="5348"/>
    <n v="5242"/>
    <n v="106"/>
    <d v="2025-02-19T00:00:00"/>
    <n v="22"/>
    <n v="117656"/>
    <x v="2"/>
  </r>
  <r>
    <s v="T089"/>
    <s v="2025-12"/>
    <n v="4705"/>
    <n v="4252"/>
    <n v="453"/>
    <d v="2025-01-23T00:00:00"/>
    <n v="21"/>
    <n v="98805"/>
    <x v="2"/>
  </r>
  <r>
    <s v="T102"/>
    <s v="2025-11"/>
    <n v="4519"/>
    <n v="3780"/>
    <n v="739"/>
    <d v="2025-07-22T00:00:00"/>
    <n v="24"/>
    <n v="108456"/>
    <x v="2"/>
  </r>
  <r>
    <s v="T166"/>
    <s v="2025-02"/>
    <n v="3169"/>
    <n v="3043"/>
    <n v="126"/>
    <d v="2025-08-27T00:00:00"/>
    <n v="10"/>
    <n v="31690"/>
    <x v="1"/>
  </r>
  <r>
    <s v="T174"/>
    <s v="2025-10"/>
    <n v="4909"/>
    <n v="4909"/>
    <n v="0"/>
    <d v="2025-10-23T00:00:00"/>
    <n v="4"/>
    <n v="19636"/>
    <x v="0"/>
  </r>
  <r>
    <s v="T224"/>
    <s v="2025-05"/>
    <n v="6981"/>
    <n v="6981"/>
    <n v="0"/>
    <d v="2025-04-07T00:00:00"/>
    <n v="2"/>
    <n v="13962"/>
    <x v="0"/>
  </r>
  <r>
    <s v="T048"/>
    <s v="2025-02"/>
    <n v="5896"/>
    <n v="5896"/>
    <n v="0"/>
    <d v="2025-01-02T00:00:00"/>
    <n v="1"/>
    <n v="5896"/>
    <x v="0"/>
  </r>
  <r>
    <s v="T196"/>
    <s v="2025-12"/>
    <n v="5778"/>
    <n v="5378"/>
    <n v="400"/>
    <d v="2025-05-21T00:00:00"/>
    <n v="15"/>
    <n v="86670"/>
    <x v="1"/>
  </r>
  <r>
    <s v="T141"/>
    <s v="2025-04"/>
    <n v="3595"/>
    <n v="2738"/>
    <n v="857"/>
    <d v="2025-12-19T00:00:00"/>
    <n v="21"/>
    <n v="75495"/>
    <x v="2"/>
  </r>
  <r>
    <s v="T181"/>
    <s v="2025-12"/>
    <n v="5519"/>
    <n v="4672"/>
    <n v="847"/>
    <d v="2025-07-23T00:00:00"/>
    <n v="12"/>
    <n v="66228"/>
    <x v="1"/>
  </r>
  <r>
    <s v="T175"/>
    <s v="2025-10"/>
    <n v="5281"/>
    <n v="5281"/>
    <n v="0"/>
    <d v="2025-05-16T00:00:00"/>
    <n v="1"/>
    <n v="5281"/>
    <x v="0"/>
  </r>
  <r>
    <s v="T235"/>
    <s v="2025-08"/>
    <n v="2784"/>
    <n v="2418"/>
    <n v="366"/>
    <d v="2025-10-19T00:00:00"/>
    <n v="13"/>
    <n v="36192"/>
    <x v="1"/>
  </r>
  <r>
    <s v="T251"/>
    <s v="2025-07"/>
    <n v="4747"/>
    <n v="4747"/>
    <n v="0"/>
    <d v="2025-12-06T00:00:00"/>
    <n v="18"/>
    <n v="85446"/>
    <x v="2"/>
  </r>
  <r>
    <s v="T115"/>
    <s v="2025-01"/>
    <n v="4735"/>
    <n v="4623"/>
    <n v="112"/>
    <d v="2025-08-08T00:00:00"/>
    <n v="22"/>
    <n v="104170"/>
    <x v="2"/>
  </r>
  <r>
    <s v="T291"/>
    <s v="2025-10"/>
    <n v="6295"/>
    <n v="6295"/>
    <n v="0"/>
    <d v="2025-04-26T00:00:00"/>
    <n v="2"/>
    <n v="12590"/>
    <x v="0"/>
  </r>
  <r>
    <s v="T228"/>
    <s v="2025-07"/>
    <n v="4527"/>
    <n v="3719"/>
    <n v="808"/>
    <d v="2025-06-08T00:00:00"/>
    <n v="10"/>
    <n v="45270"/>
    <x v="1"/>
  </r>
  <r>
    <s v="T229"/>
    <s v="2025-03"/>
    <n v="2642"/>
    <n v="2043"/>
    <n v="599"/>
    <d v="2025-05-28T00:00:00"/>
    <n v="11"/>
    <n v="29062"/>
    <x v="1"/>
  </r>
  <r>
    <s v="T103"/>
    <s v="2025-11"/>
    <n v="2059"/>
    <n v="2059"/>
    <n v="0"/>
    <d v="2025-08-09T00:00:00"/>
    <n v="4"/>
    <n v="8236"/>
    <x v="0"/>
  </r>
  <r>
    <s v="T060"/>
    <s v="2025-08"/>
    <n v="6022"/>
    <n v="5595"/>
    <n v="427"/>
    <d v="2025-10-27T00:00:00"/>
    <n v="13"/>
    <n v="78286"/>
    <x v="1"/>
  </r>
  <r>
    <s v="T083"/>
    <s v="2025-02"/>
    <n v="4258"/>
    <n v="4258"/>
    <n v="0"/>
    <d v="2025-03-25T00:00:00"/>
    <n v="3"/>
    <n v="12774"/>
    <x v="0"/>
  </r>
  <r>
    <s v="T191"/>
    <s v="2025-07"/>
    <n v="4708"/>
    <n v="4459"/>
    <n v="249"/>
    <d v="2025-03-09T00:00:00"/>
    <n v="18"/>
    <n v="84744"/>
    <x v="2"/>
  </r>
  <r>
    <s v="T086"/>
    <s v="2025-08"/>
    <n v="5444"/>
    <n v="5370"/>
    <n v="74"/>
    <d v="2025-01-28T00:00:00"/>
    <n v="11"/>
    <n v="59884"/>
    <x v="1"/>
  </r>
  <r>
    <s v="T270"/>
    <s v="2025-06"/>
    <n v="2737"/>
    <n v="2737"/>
    <n v="0"/>
    <d v="2025-09-23T00:00:00"/>
    <n v="8"/>
    <n v="21896"/>
    <x v="1"/>
  </r>
  <r>
    <s v="T010"/>
    <s v="2025-06"/>
    <n v="5659"/>
    <n v="5659"/>
    <n v="0"/>
    <d v="2025-10-24T00:00:00"/>
    <n v="0"/>
    <n v="0"/>
    <x v="3"/>
  </r>
  <r>
    <s v="T014"/>
    <s v="2025-05"/>
    <n v="3418"/>
    <n v="3008"/>
    <n v="410"/>
    <d v="2025-12-04T00:00:00"/>
    <n v="20"/>
    <n v="68360"/>
    <x v="2"/>
  </r>
  <r>
    <s v="T247"/>
    <s v="2025-08"/>
    <n v="5945"/>
    <n v="5926"/>
    <n v="19"/>
    <d v="2025-07-08T00:00:00"/>
    <n v="17"/>
    <n v="101065"/>
    <x v="2"/>
  </r>
  <r>
    <s v="T089"/>
    <s v="2025-09"/>
    <n v="4537"/>
    <n v="4537"/>
    <n v="0"/>
    <d v="2025-08-26T00:00:00"/>
    <n v="3"/>
    <n v="13611"/>
    <x v="0"/>
  </r>
  <r>
    <s v="T112"/>
    <s v="2025-02"/>
    <n v="2695"/>
    <n v="2695"/>
    <n v="0"/>
    <d v="2025-05-03T00:00:00"/>
    <n v="7"/>
    <n v="18865"/>
    <x v="0"/>
  </r>
  <r>
    <s v="T246"/>
    <s v="2025-04"/>
    <n v="2681"/>
    <n v="2448"/>
    <n v="233"/>
    <d v="2025-07-28T00:00:00"/>
    <n v="16"/>
    <n v="42896"/>
    <x v="2"/>
  </r>
  <r>
    <s v="T018"/>
    <s v="2025-03"/>
    <n v="4969"/>
    <n v="4586"/>
    <n v="383"/>
    <d v="2025-11-03T00:00:00"/>
    <n v="15"/>
    <n v="74535"/>
    <x v="1"/>
  </r>
  <r>
    <s v="T014"/>
    <s v="2025-08"/>
    <n v="6397"/>
    <n v="5785"/>
    <n v="612"/>
    <d v="2025-04-26T00:00:00"/>
    <n v="17"/>
    <n v="108749"/>
    <x v="2"/>
  </r>
  <r>
    <s v="T137"/>
    <s v="2025-10"/>
    <n v="5705"/>
    <n v="5346"/>
    <n v="359"/>
    <d v="2025-05-26T00:00:00"/>
    <n v="21"/>
    <n v="119805"/>
    <x v="2"/>
  </r>
  <r>
    <s v="T186"/>
    <s v="2025-04"/>
    <n v="3780"/>
    <n v="3780"/>
    <n v="0"/>
    <d v="2025-10-20T00:00:00"/>
    <n v="3"/>
    <n v="11340"/>
    <x v="0"/>
  </r>
  <r>
    <s v="T198"/>
    <s v="2025-06"/>
    <n v="3427"/>
    <n v="3427"/>
    <n v="0"/>
    <d v="2025-06-07T00:00:00"/>
    <n v="5"/>
    <n v="17135"/>
    <x v="0"/>
  </r>
  <r>
    <s v="T023"/>
    <s v="2025-11"/>
    <n v="2567"/>
    <n v="2567"/>
    <n v="0"/>
    <d v="2025-10-15T00:00:00"/>
    <n v="3"/>
    <n v="7701"/>
    <x v="0"/>
  </r>
  <r>
    <s v="T282"/>
    <s v="2025-12"/>
    <n v="6934"/>
    <n v="6385"/>
    <n v="549"/>
    <d v="2025-06-12T00:00:00"/>
    <n v="10"/>
    <n v="69340"/>
    <x v="1"/>
  </r>
  <r>
    <s v="T157"/>
    <s v="2025-06"/>
    <n v="6350"/>
    <n v="5508"/>
    <n v="842"/>
    <d v="2025-09-03T00:00:00"/>
    <n v="16"/>
    <n v="101600"/>
    <x v="2"/>
  </r>
  <r>
    <s v="T022"/>
    <s v="2025-10"/>
    <n v="3567"/>
    <n v="3488"/>
    <n v="79"/>
    <d v="2025-04-02T00:00:00"/>
    <n v="18"/>
    <n v="64206"/>
    <x v="2"/>
  </r>
  <r>
    <s v="T158"/>
    <s v="2025-03"/>
    <n v="5505"/>
    <n v="5505"/>
    <n v="0"/>
    <d v="2025-08-08T00:00:00"/>
    <n v="8"/>
    <n v="44040"/>
    <x v="1"/>
  </r>
  <r>
    <s v="T201"/>
    <s v="2025-11"/>
    <n v="4643"/>
    <n v="3882"/>
    <n v="761"/>
    <d v="2025-07-24T00:00:00"/>
    <n v="20"/>
    <n v="92860"/>
    <x v="2"/>
  </r>
  <r>
    <s v="T003"/>
    <s v="2025-11"/>
    <n v="6126"/>
    <n v="5649"/>
    <n v="477"/>
    <d v="2025-10-16T00:00:00"/>
    <n v="14"/>
    <n v="85764"/>
    <x v="1"/>
  </r>
  <r>
    <s v="T027"/>
    <s v="2025-06"/>
    <n v="6768"/>
    <n v="5787"/>
    <n v="981"/>
    <d v="2025-02-17T00:00:00"/>
    <n v="21"/>
    <n v="142128"/>
    <x v="2"/>
  </r>
  <r>
    <s v="T149"/>
    <s v="2025-08"/>
    <n v="2222"/>
    <n v="2222"/>
    <n v="0"/>
    <d v="2025-05-03T00:00:00"/>
    <n v="4"/>
    <n v="8888"/>
    <x v="0"/>
  </r>
  <r>
    <s v="T205"/>
    <s v="2025-10"/>
    <n v="5638"/>
    <n v="5638"/>
    <n v="0"/>
    <d v="2025-01-02T00:00:00"/>
    <n v="9"/>
    <n v="50742"/>
    <x v="1"/>
  </r>
  <r>
    <s v="T162"/>
    <s v="2025-09"/>
    <n v="6078"/>
    <n v="6078"/>
    <n v="0"/>
    <d v="2025-05-26T00:00:00"/>
    <n v="2"/>
    <n v="12156"/>
    <x v="0"/>
  </r>
  <r>
    <s v="T212"/>
    <s v="2025-01"/>
    <n v="2100"/>
    <n v="2100"/>
    <n v="0"/>
    <d v="2025-05-28T00:00:00"/>
    <n v="0"/>
    <n v="0"/>
    <x v="3"/>
  </r>
  <r>
    <s v="T247"/>
    <s v="2025-06"/>
    <n v="5249"/>
    <n v="4797"/>
    <n v="452"/>
    <d v="2025-12-12T00:00:00"/>
    <n v="14"/>
    <n v="73486"/>
    <x v="1"/>
  </r>
  <r>
    <s v="T069"/>
    <s v="2025-07"/>
    <n v="6673"/>
    <n v="6673"/>
    <n v="0"/>
    <d v="2025-09-12T00:00:00"/>
    <n v="0"/>
    <n v="0"/>
    <x v="3"/>
  </r>
  <r>
    <s v="T046"/>
    <s v="2025-11"/>
    <n v="2574"/>
    <n v="1807"/>
    <n v="767"/>
    <d v="2025-12-05T00:00:00"/>
    <n v="10"/>
    <n v="25740"/>
    <x v="1"/>
  </r>
  <r>
    <s v="T140"/>
    <s v="2025-08"/>
    <n v="4546"/>
    <n v="4546"/>
    <n v="0"/>
    <d v="2025-08-12T00:00:00"/>
    <n v="7"/>
    <n v="31822"/>
    <x v="0"/>
  </r>
  <r>
    <s v="T161"/>
    <s v="2025-07"/>
    <n v="4084"/>
    <n v="3825"/>
    <n v="259"/>
    <d v="2025-06-27T00:00:00"/>
    <n v="18"/>
    <n v="73512"/>
    <x v="2"/>
  </r>
  <r>
    <s v="T108"/>
    <s v="2025-01"/>
    <n v="3153"/>
    <n v="3153"/>
    <n v="0"/>
    <d v="2025-12-12T00:00:00"/>
    <n v="8"/>
    <n v="25224"/>
    <x v="1"/>
  </r>
  <r>
    <s v="T003"/>
    <s v="2025-09"/>
    <n v="4131"/>
    <n v="4131"/>
    <n v="0"/>
    <d v="2025-03-09T00:00:00"/>
    <n v="7"/>
    <n v="28917"/>
    <x v="0"/>
  </r>
  <r>
    <s v="T079"/>
    <s v="2025-05"/>
    <n v="3057"/>
    <n v="2210"/>
    <n v="847"/>
    <d v="2025-08-13T00:00:00"/>
    <n v="20"/>
    <n v="61140"/>
    <x v="2"/>
  </r>
  <r>
    <s v="T264"/>
    <s v="2025-04"/>
    <n v="4604"/>
    <n v="4604"/>
    <n v="0"/>
    <d v="2025-10-26T00:00:00"/>
    <n v="0"/>
    <n v="0"/>
    <x v="3"/>
  </r>
  <r>
    <s v="T106"/>
    <s v="2025-05"/>
    <n v="3566"/>
    <n v="3566"/>
    <n v="0"/>
    <d v="2025-06-18T00:00:00"/>
    <n v="3"/>
    <n v="10698"/>
    <x v="0"/>
  </r>
  <r>
    <s v="T039"/>
    <s v="2025-06"/>
    <n v="3066"/>
    <n v="3066"/>
    <n v="0"/>
    <d v="2025-11-17T00:00:00"/>
    <n v="8"/>
    <n v="24528"/>
    <x v="1"/>
  </r>
  <r>
    <s v="T155"/>
    <s v="2025-04"/>
    <n v="2151"/>
    <n v="2151"/>
    <n v="0"/>
    <d v="2025-04-07T00:00:00"/>
    <n v="1"/>
    <n v="2151"/>
    <x v="0"/>
  </r>
  <r>
    <s v="T154"/>
    <s v="2025-03"/>
    <n v="4343"/>
    <n v="4343"/>
    <n v="0"/>
    <d v="2025-04-21T00:00:00"/>
    <n v="4"/>
    <n v="17372"/>
    <x v="0"/>
  </r>
  <r>
    <s v="T038"/>
    <s v="2025-04"/>
    <n v="6675"/>
    <n v="6675"/>
    <n v="0"/>
    <d v="2025-07-05T00:00:00"/>
    <n v="7"/>
    <n v="46725"/>
    <x v="0"/>
  </r>
  <r>
    <s v="T036"/>
    <s v="2025-11"/>
    <n v="2744"/>
    <n v="2744"/>
    <n v="0"/>
    <d v="2025-12-12T00:00:00"/>
    <n v="8"/>
    <n v="21952"/>
    <x v="1"/>
  </r>
  <r>
    <s v="T120"/>
    <s v="2025-09"/>
    <n v="5795"/>
    <n v="5746"/>
    <n v="49"/>
    <d v="2025-09-06T00:00:00"/>
    <n v="20"/>
    <n v="115900"/>
    <x v="2"/>
  </r>
  <r>
    <s v="T221"/>
    <s v="2025-01"/>
    <n v="4152"/>
    <n v="4152"/>
    <n v="0"/>
    <d v="2025-11-08T00:00:00"/>
    <n v="6"/>
    <n v="24912"/>
    <x v="0"/>
  </r>
  <r>
    <s v="T291"/>
    <s v="2025-09"/>
    <n v="6640"/>
    <n v="6548"/>
    <n v="92"/>
    <d v="2025-02-12T00:00:00"/>
    <n v="22"/>
    <n v="146080"/>
    <x v="2"/>
  </r>
  <r>
    <s v="T194"/>
    <s v="2025-01"/>
    <n v="5344"/>
    <n v="4827"/>
    <n v="517"/>
    <d v="2025-10-24T00:00:00"/>
    <n v="24"/>
    <n v="128256"/>
    <x v="2"/>
  </r>
  <r>
    <s v="T138"/>
    <s v="2025-10"/>
    <n v="4085"/>
    <n v="3544"/>
    <n v="541"/>
    <d v="2025-10-14T00:00:00"/>
    <n v="19"/>
    <n v="77615"/>
    <x v="2"/>
  </r>
  <r>
    <s v="T137"/>
    <s v="2025-06"/>
    <n v="4183"/>
    <n v="4183"/>
    <n v="0"/>
    <d v="2025-07-06T00:00:00"/>
    <n v="4"/>
    <n v="16732"/>
    <x v="0"/>
  </r>
  <r>
    <s v="T114"/>
    <s v="2025-05"/>
    <n v="3676"/>
    <n v="3183"/>
    <n v="493"/>
    <d v="2025-07-10T00:00:00"/>
    <n v="12"/>
    <n v="44112"/>
    <x v="1"/>
  </r>
  <r>
    <s v="T073"/>
    <s v="2025-04"/>
    <n v="5451"/>
    <n v="5113"/>
    <n v="338"/>
    <d v="2025-12-22T00:00:00"/>
    <n v="22"/>
    <n v="119922"/>
    <x v="2"/>
  </r>
  <r>
    <s v="T067"/>
    <s v="2025-06"/>
    <n v="3957"/>
    <n v="3665"/>
    <n v="292"/>
    <d v="2025-01-07T00:00:00"/>
    <n v="21"/>
    <n v="83097"/>
    <x v="2"/>
  </r>
  <r>
    <s v="T265"/>
    <s v="2025-05"/>
    <n v="3227"/>
    <n v="2539"/>
    <n v="688"/>
    <d v="2025-07-08T00:00:00"/>
    <n v="19"/>
    <n v="61313"/>
    <x v="2"/>
  </r>
  <r>
    <s v="T288"/>
    <s v="2025-11"/>
    <n v="2044"/>
    <n v="1092"/>
    <n v="952"/>
    <d v="2025-02-11T00:00:00"/>
    <n v="17"/>
    <n v="34748"/>
    <x v="2"/>
  </r>
  <r>
    <s v="T227"/>
    <s v="2025-11"/>
    <n v="4890"/>
    <n v="4890"/>
    <n v="0"/>
    <d v="2025-06-06T00:00:00"/>
    <n v="4"/>
    <n v="19560"/>
    <x v="0"/>
  </r>
  <r>
    <s v="T011"/>
    <s v="2025-05"/>
    <n v="4316"/>
    <n v="3625"/>
    <n v="691"/>
    <d v="2025-01-11T00:00:00"/>
    <n v="19"/>
    <n v="82004"/>
    <x v="2"/>
  </r>
  <r>
    <s v="T068"/>
    <s v="2025-05"/>
    <n v="6511"/>
    <n v="6231"/>
    <n v="280"/>
    <d v="2025-12-09T00:00:00"/>
    <n v="13"/>
    <n v="84643"/>
    <x v="1"/>
  </r>
  <r>
    <s v="T175"/>
    <s v="2025-11"/>
    <n v="2783"/>
    <n v="2783"/>
    <n v="0"/>
    <d v="2025-04-22T00:00:00"/>
    <n v="5"/>
    <n v="13915"/>
    <x v="0"/>
  </r>
  <r>
    <s v="T215"/>
    <s v="2025-05"/>
    <n v="4010"/>
    <n v="3136"/>
    <n v="874"/>
    <d v="2025-03-02T00:00:00"/>
    <n v="15"/>
    <n v="60150"/>
    <x v="1"/>
  </r>
  <r>
    <s v="T253"/>
    <s v="2025-06"/>
    <n v="5965"/>
    <n v="5319"/>
    <n v="646"/>
    <d v="2025-11-23T00:00:00"/>
    <n v="24"/>
    <n v="143160"/>
    <x v="2"/>
  </r>
  <r>
    <s v="T103"/>
    <s v="2025-03"/>
    <n v="5209"/>
    <n v="5131"/>
    <n v="78"/>
    <d v="2025-03-03T00:00:00"/>
    <n v="25"/>
    <n v="130225"/>
    <x v="2"/>
  </r>
  <r>
    <s v="T170"/>
    <s v="2025-05"/>
    <n v="3577"/>
    <n v="3577"/>
    <n v="0"/>
    <d v="2025-08-14T00:00:00"/>
    <n v="6"/>
    <n v="21462"/>
    <x v="0"/>
  </r>
  <r>
    <s v="T162"/>
    <s v="2025-10"/>
    <n v="2425"/>
    <n v="1565"/>
    <n v="860"/>
    <d v="2025-06-09T00:00:00"/>
    <n v="13"/>
    <n v="31525"/>
    <x v="1"/>
  </r>
  <r>
    <s v="T006"/>
    <s v="2025-01"/>
    <n v="3410"/>
    <n v="2462"/>
    <n v="948"/>
    <d v="2025-03-19T00:00:00"/>
    <n v="13"/>
    <n v="44330"/>
    <x v="1"/>
  </r>
  <r>
    <s v="T210"/>
    <s v="2025-01"/>
    <n v="2861"/>
    <n v="1908"/>
    <n v="953"/>
    <d v="2025-08-28T00:00:00"/>
    <n v="20"/>
    <n v="57220"/>
    <x v="2"/>
  </r>
  <r>
    <s v="T157"/>
    <s v="2025-04"/>
    <n v="2016"/>
    <n v="1381"/>
    <n v="635"/>
    <d v="2025-04-02T00:00:00"/>
    <n v="16"/>
    <n v="32256"/>
    <x v="2"/>
  </r>
  <r>
    <s v="T079"/>
    <s v="2025-02"/>
    <n v="4382"/>
    <n v="4382"/>
    <n v="0"/>
    <d v="2025-10-06T00:00:00"/>
    <n v="1"/>
    <n v="4382"/>
    <x v="0"/>
  </r>
  <r>
    <s v="T127"/>
    <s v="2025-07"/>
    <n v="6883"/>
    <n v="6883"/>
    <n v="0"/>
    <d v="2025-06-13T00:00:00"/>
    <n v="0"/>
    <n v="0"/>
    <x v="3"/>
  </r>
  <r>
    <s v="T245"/>
    <s v="2025-06"/>
    <n v="6895"/>
    <n v="6437"/>
    <n v="458"/>
    <d v="2025-09-09T00:00:00"/>
    <n v="20"/>
    <n v="137900"/>
    <x v="2"/>
  </r>
  <r>
    <s v="T272"/>
    <s v="2025-12"/>
    <n v="4578"/>
    <n v="4421"/>
    <n v="157"/>
    <d v="2025-05-04T00:00:00"/>
    <n v="24"/>
    <n v="109872"/>
    <x v="2"/>
  </r>
  <r>
    <s v="T073"/>
    <s v="2025-04"/>
    <n v="4786"/>
    <n v="4786"/>
    <n v="0"/>
    <d v="2025-03-07T00:00:00"/>
    <n v="2"/>
    <n v="9572"/>
    <x v="0"/>
  </r>
  <r>
    <s v="T253"/>
    <s v="2025-06"/>
    <n v="3946"/>
    <n v="3627"/>
    <n v="319"/>
    <d v="2025-02-24T00:00:00"/>
    <n v="13"/>
    <n v="51298"/>
    <x v="1"/>
  </r>
  <r>
    <s v="T131"/>
    <s v="2025-01"/>
    <n v="3658"/>
    <n v="3518"/>
    <n v="140"/>
    <d v="2025-09-23T00:00:00"/>
    <n v="13"/>
    <n v="47554"/>
    <x v="1"/>
  </r>
  <r>
    <s v="T193"/>
    <s v="2025-08"/>
    <n v="2144"/>
    <n v="2144"/>
    <n v="0"/>
    <d v="2025-12-24T00:00:00"/>
    <n v="4"/>
    <n v="8576"/>
    <x v="0"/>
  </r>
  <r>
    <s v="T014"/>
    <s v="2025-05"/>
    <n v="3305"/>
    <n v="2635"/>
    <n v="670"/>
    <d v="2025-08-19T00:00:00"/>
    <n v="14"/>
    <n v="46270"/>
    <x v="1"/>
  </r>
  <r>
    <s v="T266"/>
    <s v="2025-09"/>
    <n v="6659"/>
    <n v="6390"/>
    <n v="269"/>
    <d v="2025-06-22T00:00:00"/>
    <n v="24"/>
    <n v="159816"/>
    <x v="2"/>
  </r>
  <r>
    <s v="T161"/>
    <s v="2025-06"/>
    <n v="6078"/>
    <n v="5879"/>
    <n v="199"/>
    <d v="2025-11-26T00:00:00"/>
    <n v="14"/>
    <n v="85092"/>
    <x v="1"/>
  </r>
  <r>
    <s v="T101"/>
    <s v="2025-06"/>
    <n v="3492"/>
    <n v="3492"/>
    <n v="0"/>
    <d v="2025-02-04T00:00:00"/>
    <n v="3"/>
    <n v="10476"/>
    <x v="0"/>
  </r>
  <r>
    <s v="T030"/>
    <s v="2025-08"/>
    <n v="3131"/>
    <n v="3092"/>
    <n v="39"/>
    <d v="2025-01-12T00:00:00"/>
    <n v="11"/>
    <n v="34441"/>
    <x v="1"/>
  </r>
  <r>
    <s v="T085"/>
    <s v="2025-02"/>
    <n v="5904"/>
    <n v="5904"/>
    <n v="0"/>
    <d v="2025-04-19T00:00:00"/>
    <n v="9"/>
    <n v="53136"/>
    <x v="1"/>
  </r>
  <r>
    <s v="T255"/>
    <s v="2025-07"/>
    <n v="5539"/>
    <n v="5264"/>
    <n v="275"/>
    <d v="2025-03-07T00:00:00"/>
    <n v="14"/>
    <n v="77546"/>
    <x v="1"/>
  </r>
  <r>
    <s v="T114"/>
    <s v="2025-06"/>
    <n v="4986"/>
    <n v="4580"/>
    <n v="406"/>
    <d v="2025-10-02T00:00:00"/>
    <n v="10"/>
    <n v="49860"/>
    <x v="1"/>
  </r>
  <r>
    <s v="T115"/>
    <s v="2025-10"/>
    <n v="4757"/>
    <n v="4567"/>
    <n v="190"/>
    <d v="2025-04-28T00:00:00"/>
    <n v="11"/>
    <n v="52327"/>
    <x v="1"/>
  </r>
  <r>
    <s v="T016"/>
    <s v="2025-06"/>
    <n v="4200"/>
    <n v="4047"/>
    <n v="153"/>
    <d v="2025-09-18T00:00:00"/>
    <n v="22"/>
    <n v="92400"/>
    <x v="2"/>
  </r>
  <r>
    <s v="T127"/>
    <s v="2025-08"/>
    <n v="5767"/>
    <n v="5481"/>
    <n v="286"/>
    <d v="2025-12-03T00:00:00"/>
    <n v="15"/>
    <n v="86505"/>
    <x v="1"/>
  </r>
  <r>
    <s v="T012"/>
    <s v="2025-01"/>
    <n v="5986"/>
    <n v="5780"/>
    <n v="206"/>
    <d v="2025-10-02T00:00:00"/>
    <n v="19"/>
    <n v="113734"/>
    <x v="2"/>
  </r>
  <r>
    <s v="T215"/>
    <s v="2025-06"/>
    <n v="6871"/>
    <n v="6094"/>
    <n v="777"/>
    <d v="2025-11-11T00:00:00"/>
    <n v="20"/>
    <n v="137420"/>
    <x v="2"/>
  </r>
  <r>
    <s v="T150"/>
    <s v="2025-02"/>
    <n v="3754"/>
    <n v="3474"/>
    <n v="280"/>
    <d v="2025-10-17T00:00:00"/>
    <n v="11"/>
    <n v="41294"/>
    <x v="1"/>
  </r>
  <r>
    <s v="T001"/>
    <s v="2025-05"/>
    <n v="3713"/>
    <n v="3015"/>
    <n v="698"/>
    <d v="2025-11-06T00:00:00"/>
    <n v="15"/>
    <n v="55695"/>
    <x v="1"/>
  </r>
  <r>
    <s v="T283"/>
    <s v="2025-08"/>
    <n v="5386"/>
    <n v="5386"/>
    <n v="0"/>
    <d v="2025-01-05T00:00:00"/>
    <n v="5"/>
    <n v="26930"/>
    <x v="0"/>
  </r>
  <r>
    <s v="T114"/>
    <s v="2025-08"/>
    <n v="4243"/>
    <n v="3673"/>
    <n v="570"/>
    <d v="2025-07-17T00:00:00"/>
    <n v="20"/>
    <n v="84860"/>
    <x v="2"/>
  </r>
  <r>
    <s v="T135"/>
    <s v="2025-03"/>
    <n v="5641"/>
    <n v="4939"/>
    <n v="702"/>
    <d v="2025-04-16T00:00:00"/>
    <n v="14"/>
    <n v="78974"/>
    <x v="1"/>
  </r>
  <r>
    <s v="T182"/>
    <s v="2025-07"/>
    <n v="4909"/>
    <n v="4006"/>
    <n v="903"/>
    <d v="2025-10-17T00:00:00"/>
    <n v="14"/>
    <n v="68726"/>
    <x v="1"/>
  </r>
  <r>
    <s v="T165"/>
    <s v="2025-09"/>
    <n v="5870"/>
    <n v="5471"/>
    <n v="399"/>
    <d v="2025-09-22T00:00:00"/>
    <n v="19"/>
    <n v="111530"/>
    <x v="2"/>
  </r>
  <r>
    <s v="T010"/>
    <s v="2025-02"/>
    <n v="6927"/>
    <n v="6338"/>
    <n v="589"/>
    <d v="2025-03-12T00:00:00"/>
    <n v="15"/>
    <n v="103905"/>
    <x v="1"/>
  </r>
  <r>
    <s v="T261"/>
    <s v="2025-12"/>
    <n v="3759"/>
    <n v="2926"/>
    <n v="833"/>
    <d v="2025-08-01T00:00:00"/>
    <n v="13"/>
    <n v="48867"/>
    <x v="1"/>
  </r>
  <r>
    <s v="T065"/>
    <s v="2025-04"/>
    <n v="4266"/>
    <n v="4266"/>
    <n v="0"/>
    <d v="2025-05-26T00:00:00"/>
    <n v="3"/>
    <n v="12798"/>
    <x v="0"/>
  </r>
  <r>
    <s v="T203"/>
    <s v="2025-07"/>
    <n v="3118"/>
    <n v="3118"/>
    <n v="0"/>
    <d v="2025-03-19T00:00:00"/>
    <n v="8"/>
    <n v="24944"/>
    <x v="1"/>
  </r>
  <r>
    <s v="T080"/>
    <s v="2025-07"/>
    <n v="3310"/>
    <n v="2447"/>
    <n v="863"/>
    <d v="2025-10-24T00:00:00"/>
    <n v="18"/>
    <n v="59580"/>
    <x v="2"/>
  </r>
  <r>
    <s v="T191"/>
    <s v="2025-04"/>
    <n v="4844"/>
    <n v="4844"/>
    <n v="0"/>
    <d v="2025-09-08T00:00:00"/>
    <n v="0"/>
    <n v="0"/>
    <x v="3"/>
  </r>
  <r>
    <s v="T049"/>
    <s v="2025-06"/>
    <n v="2807"/>
    <n v="2630"/>
    <n v="177"/>
    <d v="2025-04-22T00:00:00"/>
    <n v="23"/>
    <n v="64561"/>
    <x v="2"/>
  </r>
  <r>
    <s v="T173"/>
    <s v="2025-04"/>
    <n v="6547"/>
    <n v="6547"/>
    <n v="0"/>
    <d v="2025-05-16T00:00:00"/>
    <n v="2"/>
    <n v="13094"/>
    <x v="0"/>
  </r>
  <r>
    <s v="T051"/>
    <s v="2025-01"/>
    <n v="5006"/>
    <n v="5006"/>
    <n v="0"/>
    <d v="2025-11-19T00:00:00"/>
    <n v="0"/>
    <n v="0"/>
    <x v="3"/>
  </r>
  <r>
    <s v="T175"/>
    <s v="2025-01"/>
    <n v="5080"/>
    <n v="4618"/>
    <n v="462"/>
    <d v="2025-05-15T00:00:00"/>
    <n v="12"/>
    <n v="60960"/>
    <x v="1"/>
  </r>
  <r>
    <s v="T020"/>
    <s v="2025-10"/>
    <n v="6329"/>
    <n v="5610"/>
    <n v="719"/>
    <d v="2025-12-27T00:00:00"/>
    <n v="23"/>
    <n v="145567"/>
    <x v="2"/>
  </r>
  <r>
    <s v="T038"/>
    <s v="2025-04"/>
    <n v="4275"/>
    <n v="3690"/>
    <n v="585"/>
    <d v="2025-09-07T00:00:00"/>
    <n v="20"/>
    <n v="85500"/>
    <x v="2"/>
  </r>
  <r>
    <s v="T190"/>
    <s v="2025-07"/>
    <n v="4461"/>
    <n v="4461"/>
    <n v="0"/>
    <d v="2025-05-19T00:00:00"/>
    <n v="0"/>
    <n v="0"/>
    <x v="3"/>
  </r>
  <r>
    <s v="T097"/>
    <s v="2025-02"/>
    <n v="4845"/>
    <n v="4351"/>
    <n v="494"/>
    <d v="2025-08-17T00:00:00"/>
    <n v="25"/>
    <n v="121125"/>
    <x v="2"/>
  </r>
  <r>
    <s v="T058"/>
    <s v="2025-06"/>
    <n v="6832"/>
    <n v="6808"/>
    <n v="24"/>
    <d v="2025-06-17T00:00:00"/>
    <n v="19"/>
    <n v="129808"/>
    <x v="2"/>
  </r>
  <r>
    <s v="T186"/>
    <s v="2025-11"/>
    <n v="2172"/>
    <n v="1679"/>
    <n v="493"/>
    <d v="2025-07-18T00:00:00"/>
    <n v="13"/>
    <n v="28236"/>
    <x v="1"/>
  </r>
  <r>
    <s v="T101"/>
    <s v="2025-03"/>
    <n v="6185"/>
    <n v="5927"/>
    <n v="258"/>
    <d v="2025-06-16T00:00:00"/>
    <n v="10"/>
    <n v="6185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L028"/>
    <s v="P121"/>
    <s v="T028"/>
    <d v="2022-01-12T00:00:00"/>
    <d v="2023-01-12T00:00:00"/>
    <n v="4018"/>
    <n v="7512"/>
    <n v="7.61"/>
    <s v="Expired"/>
    <n v="1128"/>
    <n v="-1128"/>
    <x v="0"/>
  </r>
  <r>
    <s v="L213"/>
    <s v="P096"/>
    <s v="T213"/>
    <d v="2022-01-13T00:00:00"/>
    <d v="2023-01-13T00:00:00"/>
    <n v="5213"/>
    <n v="17529"/>
    <n v="5.75"/>
    <s v="Expired"/>
    <n v="1127"/>
    <n v="-1127"/>
    <x v="0"/>
  </r>
  <r>
    <s v="L160"/>
    <s v="P079"/>
    <s v="T160"/>
    <d v="2022-02-19T00:00:00"/>
    <d v="2023-02-19T00:00:00"/>
    <n v="2512"/>
    <n v="15515"/>
    <n v="3.62"/>
    <s v="Expired"/>
    <n v="1090"/>
    <n v="-1090"/>
    <x v="0"/>
  </r>
  <r>
    <s v="L286"/>
    <s v="P049"/>
    <s v="T286"/>
    <d v="2022-03-17T00:00:00"/>
    <d v="2023-03-17T00:00:00"/>
    <n v="5807"/>
    <n v="12964"/>
    <n v="3.68"/>
    <s v="Expired"/>
    <n v="1064"/>
    <n v="-1064"/>
    <x v="0"/>
  </r>
  <r>
    <s v="L144"/>
    <s v="P004"/>
    <s v="T144"/>
    <d v="2022-04-22T00:00:00"/>
    <d v="2023-04-22T00:00:00"/>
    <n v="4147"/>
    <n v="6423"/>
    <n v="4.01"/>
    <s v="Expired"/>
    <n v="1028"/>
    <n v="-1028"/>
    <x v="0"/>
  </r>
  <r>
    <s v="L261"/>
    <s v="P058"/>
    <s v="T261"/>
    <d v="2022-06-24T00:00:00"/>
    <d v="2023-06-24T00:00:00"/>
    <n v="6819"/>
    <n v="16068"/>
    <n v="3.01"/>
    <s v="Expired"/>
    <n v="965"/>
    <n v="-965"/>
    <x v="0"/>
  </r>
  <r>
    <s v="L021"/>
    <s v="P041"/>
    <s v="T021"/>
    <d v="2022-07-03T00:00:00"/>
    <d v="2023-07-03T00:00:00"/>
    <n v="3229"/>
    <n v="6906"/>
    <n v="5.7"/>
    <s v="Expired"/>
    <n v="956"/>
    <n v="-956"/>
    <x v="0"/>
  </r>
  <r>
    <s v="L051"/>
    <s v="P068"/>
    <s v="T051"/>
    <d v="2022-07-03T00:00:00"/>
    <d v="2023-07-03T00:00:00"/>
    <n v="2213"/>
    <n v="5471"/>
    <n v="3.08"/>
    <s v="Expired"/>
    <n v="956"/>
    <n v="-956"/>
    <x v="0"/>
  </r>
  <r>
    <s v="L136"/>
    <s v="P078"/>
    <s v="T136"/>
    <d v="2022-07-17T00:00:00"/>
    <d v="2023-07-17T00:00:00"/>
    <n v="5935"/>
    <n v="7530"/>
    <n v="5.54"/>
    <s v="Expired"/>
    <n v="942"/>
    <n v="-942"/>
    <x v="0"/>
  </r>
  <r>
    <s v="L061"/>
    <s v="P130"/>
    <s v="T061"/>
    <d v="2022-08-13T00:00:00"/>
    <d v="2023-08-13T00:00:00"/>
    <n v="6206"/>
    <n v="7269"/>
    <n v="3.48"/>
    <s v="Expired"/>
    <n v="915"/>
    <n v="-915"/>
    <x v="0"/>
  </r>
  <r>
    <s v="L212"/>
    <s v="P064"/>
    <s v="T212"/>
    <d v="2022-09-13T00:00:00"/>
    <d v="2023-09-13T00:00:00"/>
    <n v="4616"/>
    <n v="16014"/>
    <n v="6.57"/>
    <s v="Expired"/>
    <n v="884"/>
    <n v="-884"/>
    <x v="0"/>
  </r>
  <r>
    <s v="L035"/>
    <s v="P059"/>
    <s v="T035"/>
    <d v="2022-09-18T00:00:00"/>
    <d v="2023-09-18T00:00:00"/>
    <n v="5204"/>
    <n v="16175"/>
    <n v="6.17"/>
    <s v="Expired"/>
    <n v="879"/>
    <n v="-879"/>
    <x v="0"/>
  </r>
  <r>
    <s v="L121"/>
    <s v="P120"/>
    <s v="T121"/>
    <d v="2022-09-18T00:00:00"/>
    <d v="2023-09-18T00:00:00"/>
    <n v="3691"/>
    <n v="5185"/>
    <n v="5.0199999999999996"/>
    <s v="Expired"/>
    <n v="879"/>
    <n v="-879"/>
    <x v="0"/>
  </r>
  <r>
    <s v="L158"/>
    <s v="P121"/>
    <s v="T158"/>
    <d v="2022-09-26T00:00:00"/>
    <d v="2023-09-26T00:00:00"/>
    <n v="6917"/>
    <n v="9250"/>
    <n v="7.03"/>
    <s v="Expired"/>
    <n v="871"/>
    <n v="-871"/>
    <x v="0"/>
  </r>
  <r>
    <s v="L123"/>
    <s v="P045"/>
    <s v="T123"/>
    <d v="2022-09-29T00:00:00"/>
    <d v="2023-09-29T00:00:00"/>
    <n v="5399"/>
    <n v="18507"/>
    <n v="4.7"/>
    <s v="Expired"/>
    <n v="868"/>
    <n v="-868"/>
    <x v="0"/>
  </r>
  <r>
    <s v="L282"/>
    <s v="P070"/>
    <s v="T282"/>
    <d v="2022-10-08T00:00:00"/>
    <d v="2023-10-08T00:00:00"/>
    <n v="5077"/>
    <n v="5399"/>
    <n v="4.1900000000000004"/>
    <s v="Expired"/>
    <n v="859"/>
    <n v="-859"/>
    <x v="0"/>
  </r>
  <r>
    <s v="L083"/>
    <s v="P092"/>
    <s v="T083"/>
    <d v="2022-10-20T00:00:00"/>
    <d v="2023-10-20T00:00:00"/>
    <n v="4054"/>
    <n v="13749"/>
    <n v="6.08"/>
    <s v="Expired"/>
    <n v="847"/>
    <n v="-847"/>
    <x v="0"/>
  </r>
  <r>
    <s v="L013"/>
    <s v="P026"/>
    <s v="T013"/>
    <d v="2022-11-29T00:00:00"/>
    <d v="2023-11-29T00:00:00"/>
    <n v="3658"/>
    <n v="11641"/>
    <n v="3.02"/>
    <s v="Expired"/>
    <n v="807"/>
    <n v="-807"/>
    <x v="0"/>
  </r>
  <r>
    <s v="L116"/>
    <s v="P010"/>
    <s v="T116"/>
    <d v="2022-11-30T00:00:00"/>
    <d v="2023-11-30T00:00:00"/>
    <n v="4475"/>
    <n v="12995"/>
    <n v="6.01"/>
    <s v="Expired"/>
    <n v="806"/>
    <n v="-806"/>
    <x v="0"/>
  </r>
  <r>
    <s v="L253"/>
    <s v="P062"/>
    <s v="T253"/>
    <d v="2022-12-24T00:00:00"/>
    <d v="2023-12-24T00:00:00"/>
    <n v="5191"/>
    <n v="12724"/>
    <n v="4.28"/>
    <s v="Expired"/>
    <n v="782"/>
    <n v="-782"/>
    <x v="0"/>
  </r>
  <r>
    <s v="L168"/>
    <s v="P049"/>
    <s v="T168"/>
    <d v="2022-01-07T00:00:00"/>
    <d v="2024-01-07T00:00:00"/>
    <n v="6608"/>
    <n v="9609"/>
    <n v="4.62"/>
    <s v="Expired"/>
    <n v="768"/>
    <n v="-768"/>
    <x v="0"/>
  </r>
  <r>
    <s v="L151"/>
    <s v="P059"/>
    <s v="T151"/>
    <d v="2022-01-09T00:00:00"/>
    <d v="2024-01-09T00:00:00"/>
    <n v="4986"/>
    <n v="16334"/>
    <n v="7.16"/>
    <s v="Expired"/>
    <n v="766"/>
    <n v="-766"/>
    <x v="0"/>
  </r>
  <r>
    <s v="L188"/>
    <s v="P036"/>
    <s v="T188"/>
    <d v="2022-01-11T00:00:00"/>
    <d v="2024-01-11T00:00:00"/>
    <n v="2669"/>
    <n v="15415"/>
    <n v="6.24"/>
    <s v="Expired"/>
    <n v="764"/>
    <n v="-764"/>
    <x v="0"/>
  </r>
  <r>
    <s v="L218"/>
    <s v="P050"/>
    <s v="T218"/>
    <d v="2023-01-21T00:00:00"/>
    <d v="2024-01-21T00:00:00"/>
    <n v="6437"/>
    <n v="6073"/>
    <n v="4.5199999999999996"/>
    <s v="Expired"/>
    <n v="754"/>
    <n v="-754"/>
    <x v="0"/>
  </r>
  <r>
    <s v="L200"/>
    <s v="P023"/>
    <s v="T200"/>
    <d v="2023-01-23T00:00:00"/>
    <d v="2024-01-23T00:00:00"/>
    <n v="6752"/>
    <n v="17922"/>
    <n v="5"/>
    <s v="Expired"/>
    <n v="752"/>
    <n v="-752"/>
    <x v="0"/>
  </r>
  <r>
    <s v="L194"/>
    <s v="P042"/>
    <s v="T194"/>
    <d v="2022-01-30T00:00:00"/>
    <d v="2024-01-30T00:00:00"/>
    <n v="2960"/>
    <n v="7932"/>
    <n v="3.68"/>
    <s v="Expired"/>
    <n v="745"/>
    <n v="-745"/>
    <x v="0"/>
  </r>
  <r>
    <s v="L159"/>
    <s v="P110"/>
    <s v="T159"/>
    <d v="2022-02-05T00:00:00"/>
    <d v="2024-02-05T00:00:00"/>
    <n v="5629"/>
    <n v="8447"/>
    <n v="6.86"/>
    <s v="Expired"/>
    <n v="739"/>
    <n v="-739"/>
    <x v="0"/>
  </r>
  <r>
    <s v="L260"/>
    <s v="P036"/>
    <s v="T260"/>
    <d v="2022-03-03T00:00:00"/>
    <d v="2024-03-02T00:00:00"/>
    <n v="2835"/>
    <n v="10992"/>
    <n v="5.46"/>
    <s v="Expired"/>
    <n v="713"/>
    <n v="-713"/>
    <x v="0"/>
  </r>
  <r>
    <s v="L258"/>
    <s v="P144"/>
    <s v="T258"/>
    <d v="2022-03-05T00:00:00"/>
    <d v="2024-03-04T00:00:00"/>
    <n v="2067"/>
    <n v="15341"/>
    <n v="4.0999999999999996"/>
    <s v="Expired"/>
    <n v="711"/>
    <n v="-711"/>
    <x v="0"/>
  </r>
  <r>
    <s v="L073"/>
    <s v="P058"/>
    <s v="T073"/>
    <d v="2022-03-10T00:00:00"/>
    <d v="2024-03-09T00:00:00"/>
    <n v="6450"/>
    <n v="11711"/>
    <n v="5.23"/>
    <s v="Expired"/>
    <n v="706"/>
    <n v="-706"/>
    <x v="0"/>
  </r>
  <r>
    <s v="L290"/>
    <s v="P068"/>
    <s v="T290"/>
    <d v="2023-04-17T00:00:00"/>
    <d v="2024-04-16T00:00:00"/>
    <n v="6632"/>
    <n v="14617"/>
    <n v="5.9"/>
    <s v="Expired"/>
    <n v="668"/>
    <n v="-668"/>
    <x v="0"/>
  </r>
  <r>
    <s v="L165"/>
    <s v="P065"/>
    <s v="T165"/>
    <d v="2023-04-27T00:00:00"/>
    <d v="2024-04-26T00:00:00"/>
    <n v="6852"/>
    <n v="15438"/>
    <n v="7.22"/>
    <s v="Expired"/>
    <n v="658"/>
    <n v="-658"/>
    <x v="0"/>
  </r>
  <r>
    <s v="L037"/>
    <s v="P114"/>
    <s v="T037"/>
    <d v="2023-04-29T00:00:00"/>
    <d v="2024-04-28T00:00:00"/>
    <n v="2472"/>
    <n v="5714"/>
    <n v="7.26"/>
    <s v="Expired"/>
    <n v="656"/>
    <n v="-656"/>
    <x v="0"/>
  </r>
  <r>
    <s v="L268"/>
    <s v="P117"/>
    <s v="T268"/>
    <d v="2023-05-04T00:00:00"/>
    <d v="2024-05-03T00:00:00"/>
    <n v="6032"/>
    <n v="13221"/>
    <n v="3.68"/>
    <s v="Expired"/>
    <n v="651"/>
    <n v="-651"/>
    <x v="0"/>
  </r>
  <r>
    <s v="L254"/>
    <s v="P080"/>
    <s v="T254"/>
    <d v="2022-05-28T00:00:00"/>
    <d v="2024-05-27T00:00:00"/>
    <n v="5446"/>
    <n v="12851"/>
    <n v="4.13"/>
    <s v="Expired"/>
    <n v="627"/>
    <n v="-627"/>
    <x v="0"/>
  </r>
  <r>
    <s v="L120"/>
    <s v="P016"/>
    <s v="T120"/>
    <d v="2022-06-16T00:00:00"/>
    <d v="2024-06-15T00:00:00"/>
    <n v="5243"/>
    <n v="9417"/>
    <n v="5.6"/>
    <s v="Expired"/>
    <n v="608"/>
    <n v="-608"/>
    <x v="0"/>
  </r>
  <r>
    <s v="L166"/>
    <s v="P045"/>
    <s v="T166"/>
    <d v="2022-07-27T00:00:00"/>
    <d v="2024-07-26T00:00:00"/>
    <n v="2739"/>
    <n v="18980"/>
    <n v="4.6900000000000004"/>
    <s v="Expired"/>
    <n v="567"/>
    <n v="-567"/>
    <x v="0"/>
  </r>
  <r>
    <s v="L032"/>
    <s v="P144"/>
    <s v="T032"/>
    <d v="2023-08-10T00:00:00"/>
    <d v="2024-08-09T00:00:00"/>
    <n v="4171"/>
    <n v="7316"/>
    <n v="4.49"/>
    <s v="Expired"/>
    <n v="553"/>
    <n v="-553"/>
    <x v="0"/>
  </r>
  <r>
    <s v="L154"/>
    <s v="P084"/>
    <s v="T154"/>
    <d v="2022-08-29T00:00:00"/>
    <d v="2024-08-28T00:00:00"/>
    <n v="6620"/>
    <n v="6465"/>
    <n v="5.55"/>
    <s v="Expired"/>
    <n v="534"/>
    <n v="-534"/>
    <x v="0"/>
  </r>
  <r>
    <s v="L033"/>
    <s v="P045"/>
    <s v="T033"/>
    <d v="2022-08-31T00:00:00"/>
    <d v="2024-08-30T00:00:00"/>
    <n v="4342"/>
    <n v="9033"/>
    <n v="4.74"/>
    <s v="Expired"/>
    <n v="532"/>
    <n v="-532"/>
    <x v="0"/>
  </r>
  <r>
    <s v="L219"/>
    <s v="P113"/>
    <s v="T219"/>
    <d v="2023-09-03T00:00:00"/>
    <d v="2024-09-02T00:00:00"/>
    <n v="2358"/>
    <n v="9438"/>
    <n v="4.47"/>
    <s v="Expired"/>
    <n v="529"/>
    <n v="-529"/>
    <x v="0"/>
  </r>
  <r>
    <s v="L049"/>
    <s v="P141"/>
    <s v="T049"/>
    <d v="2022-09-07T00:00:00"/>
    <d v="2024-09-06T00:00:00"/>
    <n v="3791"/>
    <n v="12958"/>
    <n v="5.48"/>
    <s v="Expired"/>
    <n v="525"/>
    <n v="-525"/>
    <x v="0"/>
  </r>
  <r>
    <s v="L014"/>
    <s v="P059"/>
    <s v="T014"/>
    <d v="2022-09-20T00:00:00"/>
    <d v="2024-09-19T00:00:00"/>
    <n v="6535"/>
    <n v="19140"/>
    <n v="5.74"/>
    <s v="Expired"/>
    <n v="512"/>
    <n v="-512"/>
    <x v="0"/>
  </r>
  <r>
    <s v="L117"/>
    <s v="P009"/>
    <s v="T117"/>
    <d v="2022-10-09T00:00:00"/>
    <d v="2024-10-08T00:00:00"/>
    <n v="2111"/>
    <n v="18134"/>
    <n v="3.32"/>
    <s v="Expired"/>
    <n v="493"/>
    <n v="-493"/>
    <x v="0"/>
  </r>
  <r>
    <s v="L210"/>
    <s v="P081"/>
    <s v="T210"/>
    <d v="2023-11-02T00:00:00"/>
    <d v="2024-11-01T00:00:00"/>
    <n v="5454"/>
    <n v="10319"/>
    <n v="5.93"/>
    <s v="Expired"/>
    <n v="469"/>
    <n v="-469"/>
    <x v="0"/>
  </r>
  <r>
    <s v="L003"/>
    <s v="P067"/>
    <s v="T003"/>
    <d v="2023-11-03T00:00:00"/>
    <d v="2024-11-02T00:00:00"/>
    <n v="2127"/>
    <n v="12162"/>
    <n v="6.55"/>
    <s v="Expired"/>
    <n v="468"/>
    <n v="-468"/>
    <x v="0"/>
  </r>
  <r>
    <s v="L150"/>
    <s v="P037"/>
    <s v="T150"/>
    <d v="2022-11-03T00:00:00"/>
    <d v="2024-11-02T00:00:00"/>
    <n v="6517"/>
    <n v="6453"/>
    <n v="7.7"/>
    <s v="Expired"/>
    <n v="468"/>
    <n v="-468"/>
    <x v="0"/>
  </r>
  <r>
    <s v="L209"/>
    <s v="P118"/>
    <s v="T209"/>
    <d v="2023-11-14T00:00:00"/>
    <d v="2024-11-13T00:00:00"/>
    <n v="3130"/>
    <n v="18319"/>
    <n v="4.59"/>
    <s v="Expired"/>
    <n v="457"/>
    <n v="-457"/>
    <x v="0"/>
  </r>
  <r>
    <s v="L241"/>
    <s v="P056"/>
    <s v="T241"/>
    <d v="2022-11-15T00:00:00"/>
    <d v="2024-11-14T00:00:00"/>
    <n v="6481"/>
    <n v="7087"/>
    <n v="4.83"/>
    <s v="Expired"/>
    <n v="456"/>
    <n v="-456"/>
    <x v="0"/>
  </r>
  <r>
    <s v="L155"/>
    <s v="P014"/>
    <s v="T155"/>
    <d v="2022-12-09T00:00:00"/>
    <d v="2024-12-08T00:00:00"/>
    <n v="5085"/>
    <n v="6979"/>
    <n v="4.7699999999999996"/>
    <s v="Expired"/>
    <n v="432"/>
    <n v="-432"/>
    <x v="0"/>
  </r>
  <r>
    <s v="L245"/>
    <s v="P082"/>
    <s v="T245"/>
    <d v="2022-01-11T00:00:00"/>
    <d v="2025-01-10T00:00:00"/>
    <n v="6191"/>
    <n v="8993"/>
    <n v="4.6399999999999997"/>
    <s v="Expired"/>
    <n v="399"/>
    <n v="-399"/>
    <x v="0"/>
  </r>
  <r>
    <s v="L288"/>
    <s v="P067"/>
    <s v="T288"/>
    <d v="2023-01-28T00:00:00"/>
    <d v="2025-01-27T00:00:00"/>
    <n v="6197"/>
    <n v="8795"/>
    <n v="4.79"/>
    <s v="Expired"/>
    <n v="382"/>
    <n v="-382"/>
    <x v="0"/>
  </r>
  <r>
    <s v="L215"/>
    <s v="P054"/>
    <s v="T215"/>
    <d v="2023-02-07T00:00:00"/>
    <d v="2025-02-06T00:00:00"/>
    <n v="4348"/>
    <n v="17687"/>
    <n v="3.63"/>
    <s v="Expired"/>
    <n v="372"/>
    <n v="-372"/>
    <x v="0"/>
  </r>
  <r>
    <s v="L295"/>
    <s v="P116"/>
    <s v="T295"/>
    <d v="2022-03-17T00:00:00"/>
    <d v="2025-03-16T00:00:00"/>
    <n v="5088"/>
    <n v="10442"/>
    <n v="3.3"/>
    <s v="Expired"/>
    <n v="334"/>
    <n v="-334"/>
    <x v="0"/>
  </r>
  <r>
    <s v="L157"/>
    <s v="P019"/>
    <s v="T157"/>
    <d v="2022-03-25T00:00:00"/>
    <d v="2025-03-24T00:00:00"/>
    <n v="5151"/>
    <n v="16554"/>
    <n v="7.45"/>
    <s v="Expired"/>
    <n v="326"/>
    <n v="-326"/>
    <x v="0"/>
  </r>
  <r>
    <s v="L096"/>
    <s v="P069"/>
    <s v="T096"/>
    <d v="2023-03-28T00:00:00"/>
    <d v="2025-03-27T00:00:00"/>
    <n v="6996"/>
    <n v="11620"/>
    <n v="4.3499999999999996"/>
    <s v="Expired"/>
    <n v="323"/>
    <n v="-323"/>
    <x v="0"/>
  </r>
  <r>
    <s v="L122"/>
    <s v="P106"/>
    <s v="T122"/>
    <d v="2023-04-03T00:00:00"/>
    <d v="2025-04-02T00:00:00"/>
    <n v="4314"/>
    <n v="6669"/>
    <n v="5.88"/>
    <s v="Expired"/>
    <n v="317"/>
    <n v="-317"/>
    <x v="0"/>
  </r>
  <r>
    <s v="L133"/>
    <s v="P024"/>
    <s v="T133"/>
    <d v="2023-04-06T00:00:00"/>
    <d v="2025-04-05T00:00:00"/>
    <n v="6224"/>
    <n v="13218"/>
    <n v="5.24"/>
    <s v="Expired"/>
    <n v="314"/>
    <n v="-314"/>
    <x v="0"/>
  </r>
  <r>
    <s v="L127"/>
    <s v="P047"/>
    <s v="T127"/>
    <d v="2023-04-22T00:00:00"/>
    <d v="2025-04-21T00:00:00"/>
    <n v="6190"/>
    <n v="8544"/>
    <n v="5.83"/>
    <s v="Expired"/>
    <n v="298"/>
    <n v="-298"/>
    <x v="0"/>
  </r>
  <r>
    <s v="L244"/>
    <s v="P020"/>
    <s v="T244"/>
    <d v="2023-05-01T00:00:00"/>
    <d v="2025-04-30T00:00:00"/>
    <n v="6307"/>
    <n v="10006"/>
    <n v="5.59"/>
    <s v="Expired"/>
    <n v="289"/>
    <n v="-289"/>
    <x v="0"/>
  </r>
  <r>
    <s v="L153"/>
    <s v="P007"/>
    <s v="T153"/>
    <d v="2023-05-03T00:00:00"/>
    <d v="2025-05-02T00:00:00"/>
    <n v="5274"/>
    <n v="15137"/>
    <n v="7.97"/>
    <s v="Expired"/>
    <n v="287"/>
    <n v="-287"/>
    <x v="0"/>
  </r>
  <r>
    <s v="L038"/>
    <s v="P038"/>
    <s v="T038"/>
    <d v="2023-05-08T00:00:00"/>
    <d v="2025-05-07T00:00:00"/>
    <n v="2618"/>
    <n v="8013"/>
    <n v="5.45"/>
    <s v="Expired"/>
    <n v="282"/>
    <n v="-282"/>
    <x v="0"/>
  </r>
  <r>
    <s v="L134"/>
    <s v="P002"/>
    <s v="T134"/>
    <d v="2023-06-02T00:00:00"/>
    <d v="2025-06-01T00:00:00"/>
    <n v="2704"/>
    <n v="14539"/>
    <n v="6.58"/>
    <s v="Expired"/>
    <n v="257"/>
    <n v="-257"/>
    <x v="0"/>
  </r>
  <r>
    <s v="L142"/>
    <s v="P124"/>
    <s v="T142"/>
    <d v="2022-06-03T00:00:00"/>
    <d v="2025-06-02T00:00:00"/>
    <n v="3323"/>
    <n v="8178"/>
    <n v="6.1"/>
    <s v="Expired"/>
    <n v="256"/>
    <n v="-256"/>
    <x v="0"/>
  </r>
  <r>
    <s v="L048"/>
    <s v="P127"/>
    <s v="T048"/>
    <d v="2023-06-10T00:00:00"/>
    <d v="2025-06-09T00:00:00"/>
    <n v="4969"/>
    <n v="19549"/>
    <n v="4.1399999999999997"/>
    <s v="Expired"/>
    <n v="249"/>
    <n v="-249"/>
    <x v="0"/>
  </r>
  <r>
    <s v="L162"/>
    <s v="P080"/>
    <s v="T162"/>
    <d v="2022-06-13T00:00:00"/>
    <d v="2025-06-12T00:00:00"/>
    <n v="2546"/>
    <n v="15829"/>
    <n v="7.6"/>
    <s v="Expired"/>
    <n v="246"/>
    <n v="-246"/>
    <x v="0"/>
  </r>
  <r>
    <s v="L050"/>
    <s v="P013"/>
    <s v="T050"/>
    <d v="2023-07-09T00:00:00"/>
    <d v="2025-07-08T00:00:00"/>
    <n v="3381"/>
    <n v="6856"/>
    <n v="3.81"/>
    <s v="Expired"/>
    <n v="220"/>
    <n v="-220"/>
    <x v="0"/>
  </r>
  <r>
    <s v="L090"/>
    <s v="P074"/>
    <s v="T090"/>
    <d v="2023-07-18T00:00:00"/>
    <d v="2025-07-17T00:00:00"/>
    <n v="3585"/>
    <n v="9250"/>
    <n v="3.5"/>
    <s v="Expired"/>
    <n v="211"/>
    <n v="-211"/>
    <x v="0"/>
  </r>
  <r>
    <s v="L052"/>
    <s v="P079"/>
    <s v="T052"/>
    <d v="2022-08-01T00:00:00"/>
    <d v="2025-07-31T00:00:00"/>
    <n v="3793"/>
    <n v="9883"/>
    <n v="3.36"/>
    <s v="Expired"/>
    <n v="197"/>
    <n v="-197"/>
    <x v="0"/>
  </r>
  <r>
    <s v="L119"/>
    <s v="P027"/>
    <s v="T119"/>
    <d v="2023-08-29T00:00:00"/>
    <d v="2025-08-28T00:00:00"/>
    <n v="2629"/>
    <n v="7953"/>
    <n v="7.56"/>
    <s v="Expired"/>
    <n v="169"/>
    <n v="-169"/>
    <x v="0"/>
  </r>
  <r>
    <s v="L217"/>
    <s v="P060"/>
    <s v="T217"/>
    <d v="2022-09-20T00:00:00"/>
    <d v="2025-09-19T00:00:00"/>
    <n v="5529"/>
    <n v="18666"/>
    <n v="5.05"/>
    <s v="Expired"/>
    <n v="147"/>
    <n v="-147"/>
    <x v="0"/>
  </r>
  <r>
    <s v="L216"/>
    <s v="P009"/>
    <s v="T216"/>
    <d v="2023-10-23T00:00:00"/>
    <d v="2025-10-22T00:00:00"/>
    <n v="4857"/>
    <n v="10510"/>
    <n v="3.56"/>
    <s v="Expired"/>
    <n v="114"/>
    <n v="-114"/>
    <x v="0"/>
  </r>
  <r>
    <s v="L125"/>
    <s v="P141"/>
    <s v="T125"/>
    <d v="2023-10-27T00:00:00"/>
    <d v="2025-10-26T00:00:00"/>
    <n v="3793"/>
    <n v="6696"/>
    <n v="5.05"/>
    <s v="Expired"/>
    <n v="110"/>
    <n v="-110"/>
    <x v="0"/>
  </r>
  <r>
    <s v="L247"/>
    <s v="P001"/>
    <s v="T247"/>
    <d v="2022-11-05T00:00:00"/>
    <d v="2025-11-04T00:00:00"/>
    <n v="6375"/>
    <n v="5680"/>
    <n v="5.24"/>
    <s v="Expired"/>
    <n v="101"/>
    <n v="-101"/>
    <x v="0"/>
  </r>
  <r>
    <s v="L300"/>
    <s v="P025"/>
    <s v="T300"/>
    <d v="2022-11-06T00:00:00"/>
    <d v="2025-11-05T00:00:00"/>
    <n v="3941"/>
    <n v="15144"/>
    <n v="3.57"/>
    <s v="Expired"/>
    <n v="100"/>
    <n v="-100"/>
    <x v="0"/>
  </r>
  <r>
    <s v="L170"/>
    <s v="P040"/>
    <s v="T170"/>
    <d v="2022-11-16T00:00:00"/>
    <d v="2025-11-15T00:00:00"/>
    <n v="6936"/>
    <n v="14466"/>
    <n v="6.93"/>
    <s v="Expired"/>
    <n v="90"/>
    <n v="-90"/>
    <x v="0"/>
  </r>
  <r>
    <s v="L189"/>
    <s v="P081"/>
    <s v="T189"/>
    <d v="2023-11-16T00:00:00"/>
    <d v="2025-11-15T00:00:00"/>
    <n v="6641"/>
    <n v="15519"/>
    <n v="3.55"/>
    <s v="Expired"/>
    <n v="90"/>
    <n v="-90"/>
    <x v="0"/>
  </r>
  <r>
    <s v="L262"/>
    <s v="P131"/>
    <s v="T262"/>
    <d v="2023-11-17T00:00:00"/>
    <d v="2025-11-16T00:00:00"/>
    <n v="4814"/>
    <n v="12121"/>
    <n v="5.51"/>
    <s v="Expired"/>
    <n v="89"/>
    <n v="-89"/>
    <x v="0"/>
  </r>
  <r>
    <s v="L071"/>
    <s v="P058"/>
    <s v="T071"/>
    <d v="2023-02-01T00:00:00"/>
    <d v="2026-01-31T00:00:00"/>
    <n v="2706"/>
    <n v="8961"/>
    <n v="3.93"/>
    <s v="Expired"/>
    <n v="13"/>
    <n v="-13"/>
    <x v="0"/>
  </r>
  <r>
    <s v="L001"/>
    <s v="P125"/>
    <s v="T001"/>
    <d v="2022-01-29T00:00:00"/>
    <d v="2025-01-28T00:00:00"/>
    <n v="5764"/>
    <n v="14853"/>
    <n v="5.15"/>
    <s v="Active"/>
    <n v="0"/>
    <n v="-381"/>
    <x v="0"/>
  </r>
  <r>
    <s v="L002"/>
    <s v="P075"/>
    <s v="T002"/>
    <d v="2022-04-07T00:00:00"/>
    <d v="2023-04-07T00:00:00"/>
    <n v="2007"/>
    <n v="16299"/>
    <n v="6.49"/>
    <s v="Renewed"/>
    <n v="0"/>
    <n v="-1043"/>
    <x v="0"/>
  </r>
  <r>
    <s v="L004"/>
    <s v="P040"/>
    <s v="T004"/>
    <d v="2022-01-25T00:00:00"/>
    <d v="2023-01-25T00:00:00"/>
    <n v="2170"/>
    <n v="8098"/>
    <n v="4.38"/>
    <s v="Renewed"/>
    <n v="0"/>
    <n v="-1115"/>
    <x v="0"/>
  </r>
  <r>
    <s v="L005"/>
    <s v="P054"/>
    <s v="T005"/>
    <d v="2023-09-30T00:00:00"/>
    <d v="2026-09-29T00:00:00"/>
    <n v="5102"/>
    <n v="7331"/>
    <n v="4.37"/>
    <s v="Active"/>
    <n v="0"/>
    <n v="228"/>
    <x v="1"/>
  </r>
  <r>
    <s v="L006"/>
    <s v="P016"/>
    <s v="T006"/>
    <d v="2022-01-26T00:00:00"/>
    <d v="2025-01-25T00:00:00"/>
    <n v="4936"/>
    <n v="12568"/>
    <n v="5.98"/>
    <s v="Active"/>
    <n v="0"/>
    <n v="-384"/>
    <x v="0"/>
  </r>
  <r>
    <s v="L007"/>
    <s v="P008"/>
    <s v="T007"/>
    <d v="2022-11-12T00:00:00"/>
    <d v="2024-11-11T00:00:00"/>
    <n v="6274"/>
    <n v="6924"/>
    <n v="7.42"/>
    <s v="Renewed"/>
    <n v="0"/>
    <n v="-459"/>
    <x v="0"/>
  </r>
  <r>
    <s v="L008"/>
    <s v="P081"/>
    <s v="T008"/>
    <d v="2022-01-30T00:00:00"/>
    <d v="2025-01-29T00:00:00"/>
    <n v="2643"/>
    <n v="9556"/>
    <n v="6.62"/>
    <s v="Renewed"/>
    <n v="0"/>
    <n v="-380"/>
    <x v="0"/>
  </r>
  <r>
    <s v="L009"/>
    <s v="P126"/>
    <s v="T009"/>
    <d v="2023-03-10T00:00:00"/>
    <d v="2024-03-09T00:00:00"/>
    <n v="2664"/>
    <n v="14977"/>
    <n v="3.76"/>
    <s v="Renewed"/>
    <n v="0"/>
    <n v="-706"/>
    <x v="0"/>
  </r>
  <r>
    <s v="L010"/>
    <s v="P033"/>
    <s v="T010"/>
    <d v="2023-06-28T00:00:00"/>
    <d v="2024-06-27T00:00:00"/>
    <n v="3060"/>
    <n v="10047"/>
    <n v="7.6"/>
    <s v="Renewed"/>
    <n v="0"/>
    <n v="-596"/>
    <x v="0"/>
  </r>
  <r>
    <s v="L011"/>
    <s v="P009"/>
    <s v="T011"/>
    <d v="2023-11-23T00:00:00"/>
    <d v="2024-11-22T00:00:00"/>
    <n v="3950"/>
    <n v="19450"/>
    <n v="7.08"/>
    <s v="Active"/>
    <n v="0"/>
    <n v="-448"/>
    <x v="0"/>
  </r>
  <r>
    <s v="L012"/>
    <s v="P067"/>
    <s v="T012"/>
    <d v="2023-10-16T00:00:00"/>
    <d v="2024-10-15T00:00:00"/>
    <n v="3656"/>
    <n v="8631"/>
    <n v="7.31"/>
    <s v="Renewed"/>
    <n v="0"/>
    <n v="-486"/>
    <x v="0"/>
  </r>
  <r>
    <s v="L015"/>
    <s v="P094"/>
    <s v="T015"/>
    <d v="2022-07-18T00:00:00"/>
    <d v="2023-07-18T00:00:00"/>
    <n v="2803"/>
    <n v="16772"/>
    <n v="5.13"/>
    <s v="Renewed"/>
    <n v="0"/>
    <n v="-941"/>
    <x v="0"/>
  </r>
  <r>
    <s v="L016"/>
    <s v="P100"/>
    <s v="T016"/>
    <d v="2023-10-31T00:00:00"/>
    <d v="2026-10-30T00:00:00"/>
    <n v="3600"/>
    <n v="7689"/>
    <n v="6.46"/>
    <s v="Renewed"/>
    <n v="0"/>
    <n v="259"/>
    <x v="1"/>
  </r>
  <r>
    <s v="L018"/>
    <s v="P056"/>
    <s v="T018"/>
    <d v="2023-10-03T00:00:00"/>
    <d v="2026-10-02T00:00:00"/>
    <n v="2554"/>
    <n v="10648"/>
    <n v="6.37"/>
    <s v="Renewed"/>
    <n v="0"/>
    <n v="231"/>
    <x v="1"/>
  </r>
  <r>
    <s v="L019"/>
    <s v="P136"/>
    <s v="T019"/>
    <d v="2023-07-27T00:00:00"/>
    <d v="2026-07-26T00:00:00"/>
    <n v="2001"/>
    <n v="12153"/>
    <n v="6.82"/>
    <s v="Renewed"/>
    <n v="0"/>
    <n v="163"/>
    <x v="1"/>
  </r>
  <r>
    <s v="L020"/>
    <s v="P138"/>
    <s v="T020"/>
    <d v="2022-02-17T00:00:00"/>
    <d v="2024-02-17T00:00:00"/>
    <n v="4496"/>
    <n v="19415"/>
    <n v="3.51"/>
    <s v="Renewed"/>
    <n v="0"/>
    <n v="-727"/>
    <x v="0"/>
  </r>
  <r>
    <s v="L022"/>
    <s v="P147"/>
    <s v="T022"/>
    <d v="2023-03-09T00:00:00"/>
    <d v="2025-03-08T00:00:00"/>
    <n v="3034"/>
    <n v="8948"/>
    <n v="5.53"/>
    <s v="Active"/>
    <n v="0"/>
    <n v="-342"/>
    <x v="0"/>
  </r>
  <r>
    <s v="L023"/>
    <s v="P068"/>
    <s v="T023"/>
    <d v="2023-01-18T00:00:00"/>
    <d v="2026-01-17T00:00:00"/>
    <n v="3441"/>
    <n v="18508"/>
    <n v="4.96"/>
    <s v="Renewed"/>
    <n v="0"/>
    <n v="-27"/>
    <x v="0"/>
  </r>
  <r>
    <s v="L024"/>
    <s v="P026"/>
    <s v="T024"/>
    <d v="2022-11-07T00:00:00"/>
    <d v="2024-11-06T00:00:00"/>
    <n v="6522"/>
    <n v="14553"/>
    <n v="7.37"/>
    <s v="Renewed"/>
    <n v="0"/>
    <n v="-464"/>
    <x v="0"/>
  </r>
  <r>
    <s v="L025"/>
    <s v="P056"/>
    <s v="T025"/>
    <d v="2022-03-21T00:00:00"/>
    <d v="2024-03-20T00:00:00"/>
    <n v="6604"/>
    <n v="15188"/>
    <n v="4.34"/>
    <s v="Active"/>
    <n v="0"/>
    <n v="-695"/>
    <x v="0"/>
  </r>
  <r>
    <s v="L026"/>
    <s v="P053"/>
    <s v="T026"/>
    <d v="2023-07-29T00:00:00"/>
    <d v="2026-07-28T00:00:00"/>
    <n v="3077"/>
    <n v="7051"/>
    <n v="6.46"/>
    <s v="Active"/>
    <n v="0"/>
    <n v="165"/>
    <x v="1"/>
  </r>
  <r>
    <s v="L029"/>
    <s v="P039"/>
    <s v="T029"/>
    <d v="2022-06-08T00:00:00"/>
    <d v="2023-06-08T00:00:00"/>
    <n v="6486"/>
    <n v="10925"/>
    <n v="4.21"/>
    <s v="Renewed"/>
    <n v="0"/>
    <n v="-981"/>
    <x v="0"/>
  </r>
  <r>
    <s v="L030"/>
    <s v="P116"/>
    <s v="T030"/>
    <d v="2022-10-19T00:00:00"/>
    <d v="2023-10-19T00:00:00"/>
    <n v="5512"/>
    <n v="19079"/>
    <n v="7.18"/>
    <s v="Active"/>
    <n v="0"/>
    <n v="-848"/>
    <x v="0"/>
  </r>
  <r>
    <s v="L034"/>
    <s v="P101"/>
    <s v="T034"/>
    <d v="2022-11-18T00:00:00"/>
    <d v="2025-11-17T00:00:00"/>
    <n v="4642"/>
    <n v="13461"/>
    <n v="5.61"/>
    <s v="Renewed"/>
    <n v="0"/>
    <n v="-88"/>
    <x v="0"/>
  </r>
  <r>
    <s v="L036"/>
    <s v="P005"/>
    <s v="T036"/>
    <d v="2023-04-19T00:00:00"/>
    <d v="2026-04-18T00:00:00"/>
    <n v="2727"/>
    <n v="17987"/>
    <n v="3.88"/>
    <s v="Active"/>
    <n v="0"/>
    <n v="64"/>
    <x v="1"/>
  </r>
  <r>
    <s v="L039"/>
    <s v="P146"/>
    <s v="T039"/>
    <d v="2023-05-14T00:00:00"/>
    <d v="2025-05-13T00:00:00"/>
    <n v="5443"/>
    <n v="13027"/>
    <n v="6.65"/>
    <s v="Active"/>
    <n v="0"/>
    <n v="-276"/>
    <x v="0"/>
  </r>
  <r>
    <s v="L040"/>
    <s v="P086"/>
    <s v="T040"/>
    <d v="2023-01-08T00:00:00"/>
    <d v="2024-01-08T00:00:00"/>
    <n v="2695"/>
    <n v="10432"/>
    <n v="4.43"/>
    <s v="Renewed"/>
    <n v="0"/>
    <n v="-767"/>
    <x v="0"/>
  </r>
  <r>
    <s v="L041"/>
    <s v="P135"/>
    <s v="T041"/>
    <d v="2022-07-18T00:00:00"/>
    <d v="2023-07-18T00:00:00"/>
    <n v="5985"/>
    <n v="9903"/>
    <n v="7.67"/>
    <s v="Renewed"/>
    <n v="0"/>
    <n v="-941"/>
    <x v="0"/>
  </r>
  <r>
    <s v="L042"/>
    <s v="P116"/>
    <s v="T042"/>
    <d v="2023-11-01T00:00:00"/>
    <d v="2024-10-31T00:00:00"/>
    <n v="3325"/>
    <n v="15477"/>
    <n v="6.6"/>
    <s v="Renewed"/>
    <n v="0"/>
    <n v="-470"/>
    <x v="0"/>
  </r>
  <r>
    <s v="L043"/>
    <s v="P101"/>
    <s v="T043"/>
    <d v="2022-06-15T00:00:00"/>
    <d v="2025-06-14T00:00:00"/>
    <n v="6402"/>
    <n v="18021"/>
    <n v="3.65"/>
    <s v="Renewed"/>
    <n v="0"/>
    <n v="-244"/>
    <x v="0"/>
  </r>
  <r>
    <s v="L044"/>
    <s v="P065"/>
    <s v="T044"/>
    <d v="2022-12-12T00:00:00"/>
    <d v="2025-12-11T00:00:00"/>
    <n v="5007"/>
    <n v="14733"/>
    <n v="4.38"/>
    <s v="Renewed"/>
    <n v="0"/>
    <n v="-64"/>
    <x v="0"/>
  </r>
  <r>
    <s v="L045"/>
    <s v="P150"/>
    <s v="T045"/>
    <d v="2022-01-24T00:00:00"/>
    <d v="2024-01-24T00:00:00"/>
    <n v="3658"/>
    <n v="15053"/>
    <n v="6.74"/>
    <s v="Renewed"/>
    <n v="0"/>
    <n v="-751"/>
    <x v="0"/>
  </r>
  <r>
    <s v="L046"/>
    <s v="P124"/>
    <s v="T046"/>
    <d v="2023-02-21T00:00:00"/>
    <d v="2026-02-20T00:00:00"/>
    <n v="2811"/>
    <n v="7630"/>
    <n v="5.95"/>
    <s v="Renewed"/>
    <n v="0"/>
    <n v="7"/>
    <x v="2"/>
  </r>
  <r>
    <s v="L047"/>
    <s v="P096"/>
    <s v="T047"/>
    <d v="2022-01-07T00:00:00"/>
    <d v="2023-01-07T00:00:00"/>
    <n v="4060"/>
    <n v="8637"/>
    <n v="4.3600000000000003"/>
    <s v="Renewed"/>
    <n v="0"/>
    <n v="-1133"/>
    <x v="0"/>
  </r>
  <r>
    <s v="L055"/>
    <s v="P069"/>
    <s v="T055"/>
    <d v="2023-10-14T00:00:00"/>
    <d v="2026-10-13T00:00:00"/>
    <n v="5653"/>
    <n v="6933"/>
    <n v="4.1100000000000003"/>
    <s v="Active"/>
    <n v="0"/>
    <n v="242"/>
    <x v="1"/>
  </r>
  <r>
    <s v="L056"/>
    <s v="P062"/>
    <s v="T056"/>
    <d v="2023-10-31T00:00:00"/>
    <d v="2024-10-30T00:00:00"/>
    <n v="4008"/>
    <n v="18620"/>
    <n v="4.67"/>
    <s v="Renewed"/>
    <n v="0"/>
    <n v="-471"/>
    <x v="0"/>
  </r>
  <r>
    <s v="L057"/>
    <s v="P059"/>
    <s v="T057"/>
    <d v="2023-01-09T00:00:00"/>
    <d v="2026-01-08T00:00:00"/>
    <n v="4398"/>
    <n v="17112"/>
    <n v="6.2"/>
    <s v="Active"/>
    <n v="0"/>
    <n v="-36"/>
    <x v="0"/>
  </r>
  <r>
    <s v="L058"/>
    <s v="P139"/>
    <s v="T058"/>
    <d v="2022-02-15T00:00:00"/>
    <d v="2023-02-15T00:00:00"/>
    <n v="6348"/>
    <n v="18410"/>
    <n v="3.81"/>
    <s v="Renewed"/>
    <n v="0"/>
    <n v="-1094"/>
    <x v="0"/>
  </r>
  <r>
    <s v="L059"/>
    <s v="P133"/>
    <s v="T059"/>
    <d v="2022-08-12T00:00:00"/>
    <d v="2023-08-12T00:00:00"/>
    <n v="5369"/>
    <n v="19679"/>
    <n v="4.8"/>
    <s v="Active"/>
    <n v="0"/>
    <n v="-916"/>
    <x v="0"/>
  </r>
  <r>
    <s v="L060"/>
    <s v="P016"/>
    <s v="T060"/>
    <d v="2023-04-17T00:00:00"/>
    <d v="2025-04-16T00:00:00"/>
    <n v="4554"/>
    <n v="10117"/>
    <n v="6.45"/>
    <s v="Active"/>
    <n v="0"/>
    <n v="-303"/>
    <x v="0"/>
  </r>
  <r>
    <s v="L062"/>
    <s v="P038"/>
    <s v="T062"/>
    <d v="2023-10-25T00:00:00"/>
    <d v="2026-10-24T00:00:00"/>
    <n v="3348"/>
    <n v="10173"/>
    <n v="6.08"/>
    <s v="Renewed"/>
    <n v="0"/>
    <n v="253"/>
    <x v="1"/>
  </r>
  <r>
    <s v="L063"/>
    <s v="P118"/>
    <s v="T063"/>
    <d v="2023-10-11T00:00:00"/>
    <d v="2026-10-10T00:00:00"/>
    <n v="2016"/>
    <n v="12873"/>
    <n v="3.17"/>
    <s v="Renewed"/>
    <n v="0"/>
    <n v="239"/>
    <x v="1"/>
  </r>
  <r>
    <s v="L064"/>
    <s v="P016"/>
    <s v="T064"/>
    <d v="2023-08-14T00:00:00"/>
    <d v="2025-08-13T00:00:00"/>
    <n v="3146"/>
    <n v="16435"/>
    <n v="3"/>
    <s v="Renewed"/>
    <n v="0"/>
    <n v="-184"/>
    <x v="0"/>
  </r>
  <r>
    <s v="L065"/>
    <s v="P097"/>
    <s v="T065"/>
    <d v="2023-07-21T00:00:00"/>
    <d v="2025-07-20T00:00:00"/>
    <n v="5386"/>
    <n v="9248"/>
    <n v="7.09"/>
    <s v="Renewed"/>
    <n v="0"/>
    <n v="-208"/>
    <x v="0"/>
  </r>
  <r>
    <s v="L066"/>
    <s v="P108"/>
    <s v="T066"/>
    <d v="2022-08-12T00:00:00"/>
    <d v="2025-08-11T00:00:00"/>
    <n v="3669"/>
    <n v="15653"/>
    <n v="7.16"/>
    <s v="Active"/>
    <n v="0"/>
    <n v="-186"/>
    <x v="0"/>
  </r>
  <r>
    <s v="L067"/>
    <s v="P034"/>
    <s v="T067"/>
    <d v="2023-03-02T00:00:00"/>
    <d v="2024-03-01T00:00:00"/>
    <n v="6957"/>
    <n v="8685"/>
    <n v="7.3"/>
    <s v="Active"/>
    <n v="0"/>
    <n v="-714"/>
    <x v="0"/>
  </r>
  <r>
    <s v="L068"/>
    <s v="P106"/>
    <s v="T068"/>
    <d v="2022-01-04T00:00:00"/>
    <d v="2023-01-04T00:00:00"/>
    <n v="3732"/>
    <n v="16819"/>
    <n v="3.11"/>
    <s v="Active"/>
    <n v="0"/>
    <n v="-1136"/>
    <x v="0"/>
  </r>
  <r>
    <s v="L069"/>
    <s v="P091"/>
    <s v="T069"/>
    <d v="2023-01-07T00:00:00"/>
    <d v="2025-01-06T00:00:00"/>
    <n v="5181"/>
    <n v="15327"/>
    <n v="4.04"/>
    <s v="Active"/>
    <n v="0"/>
    <n v="-403"/>
    <x v="0"/>
  </r>
  <r>
    <s v="L070"/>
    <s v="P115"/>
    <s v="T070"/>
    <d v="2022-11-15T00:00:00"/>
    <d v="2025-11-14T00:00:00"/>
    <n v="4408"/>
    <n v="13896"/>
    <n v="5.05"/>
    <s v="Active"/>
    <n v="0"/>
    <n v="-91"/>
    <x v="0"/>
  </r>
  <r>
    <s v="L072"/>
    <s v="P035"/>
    <s v="T072"/>
    <d v="2022-03-25T00:00:00"/>
    <d v="2024-03-24T00:00:00"/>
    <n v="2605"/>
    <n v="15983"/>
    <n v="5.83"/>
    <s v="Active"/>
    <n v="0"/>
    <n v="-691"/>
    <x v="0"/>
  </r>
  <r>
    <s v="L074"/>
    <s v="P108"/>
    <s v="T074"/>
    <d v="2022-12-18T00:00:00"/>
    <d v="2024-12-17T00:00:00"/>
    <n v="2978"/>
    <n v="18131"/>
    <n v="5.73"/>
    <s v="Renewed"/>
    <n v="0"/>
    <n v="-423"/>
    <x v="0"/>
  </r>
  <r>
    <s v="L075"/>
    <s v="P049"/>
    <s v="T075"/>
    <d v="2022-07-17T00:00:00"/>
    <d v="2024-07-16T00:00:00"/>
    <n v="5363"/>
    <n v="12394"/>
    <n v="5.65"/>
    <s v="Active"/>
    <n v="0"/>
    <n v="-577"/>
    <x v="0"/>
  </r>
  <r>
    <s v="L076"/>
    <s v="P130"/>
    <s v="T076"/>
    <d v="2023-03-02T00:00:00"/>
    <d v="2026-03-01T00:00:00"/>
    <n v="3881"/>
    <n v="9796"/>
    <n v="5.39"/>
    <s v="Renewed"/>
    <n v="0"/>
    <n v="16"/>
    <x v="2"/>
  </r>
  <r>
    <s v="L077"/>
    <s v="P081"/>
    <s v="T077"/>
    <d v="2022-11-11T00:00:00"/>
    <d v="2024-11-10T00:00:00"/>
    <n v="6118"/>
    <n v="16047"/>
    <n v="5.07"/>
    <s v="Active"/>
    <n v="0"/>
    <n v="-460"/>
    <x v="0"/>
  </r>
  <r>
    <s v="L078"/>
    <s v="P132"/>
    <s v="T078"/>
    <d v="2022-11-10T00:00:00"/>
    <d v="2025-11-09T00:00:00"/>
    <n v="5479"/>
    <n v="5095"/>
    <n v="7.83"/>
    <s v="Renewed"/>
    <n v="0"/>
    <n v="-96"/>
    <x v="0"/>
  </r>
  <r>
    <s v="L079"/>
    <s v="P078"/>
    <s v="T079"/>
    <d v="2023-07-23T00:00:00"/>
    <d v="2026-07-22T00:00:00"/>
    <n v="3196"/>
    <n v="17317"/>
    <n v="3.72"/>
    <s v="Active"/>
    <n v="0"/>
    <n v="159"/>
    <x v="1"/>
  </r>
  <r>
    <s v="L080"/>
    <s v="P031"/>
    <s v="T080"/>
    <d v="2022-10-08T00:00:00"/>
    <d v="2024-10-07T00:00:00"/>
    <n v="4279"/>
    <n v="14999"/>
    <n v="7.38"/>
    <s v="Renewed"/>
    <n v="0"/>
    <n v="-494"/>
    <x v="0"/>
  </r>
  <r>
    <s v="L081"/>
    <s v="P131"/>
    <s v="T081"/>
    <d v="2023-06-18T00:00:00"/>
    <d v="2025-06-17T00:00:00"/>
    <n v="6889"/>
    <n v="8091"/>
    <n v="6.05"/>
    <s v="Renewed"/>
    <n v="0"/>
    <n v="-241"/>
    <x v="0"/>
  </r>
  <r>
    <s v="L084"/>
    <s v="P034"/>
    <s v="T084"/>
    <d v="2023-07-18T00:00:00"/>
    <d v="2025-07-17T00:00:00"/>
    <n v="3019"/>
    <n v="13692"/>
    <n v="7.63"/>
    <s v="Renewed"/>
    <n v="0"/>
    <n v="-211"/>
    <x v="0"/>
  </r>
  <r>
    <s v="L085"/>
    <s v="P114"/>
    <s v="T085"/>
    <d v="2022-09-07T00:00:00"/>
    <d v="2023-09-07T00:00:00"/>
    <n v="3238"/>
    <n v="13878"/>
    <n v="7.06"/>
    <s v="Active"/>
    <n v="0"/>
    <n v="-890"/>
    <x v="0"/>
  </r>
  <r>
    <s v="L086"/>
    <s v="P146"/>
    <s v="T086"/>
    <d v="2023-07-24T00:00:00"/>
    <d v="2026-07-23T00:00:00"/>
    <n v="3326"/>
    <n v="9540"/>
    <n v="5.22"/>
    <s v="Renewed"/>
    <n v="0"/>
    <n v="160"/>
    <x v="1"/>
  </r>
  <r>
    <s v="L087"/>
    <s v="P131"/>
    <s v="T087"/>
    <d v="2023-02-21T00:00:00"/>
    <d v="2026-02-20T00:00:00"/>
    <n v="5284"/>
    <n v="19005"/>
    <n v="6.63"/>
    <s v="Active"/>
    <n v="0"/>
    <n v="7"/>
    <x v="2"/>
  </r>
  <r>
    <s v="L088"/>
    <s v="P130"/>
    <s v="T088"/>
    <d v="2023-06-13T00:00:00"/>
    <d v="2024-06-12T00:00:00"/>
    <n v="6322"/>
    <n v="8624"/>
    <n v="5.08"/>
    <s v="Renewed"/>
    <n v="0"/>
    <n v="-611"/>
    <x v="0"/>
  </r>
  <r>
    <s v="L089"/>
    <s v="P079"/>
    <s v="T089"/>
    <d v="2022-05-13T00:00:00"/>
    <d v="2025-05-12T00:00:00"/>
    <n v="3572"/>
    <n v="8615"/>
    <n v="5.38"/>
    <s v="Active"/>
    <n v="0"/>
    <n v="-277"/>
    <x v="0"/>
  </r>
  <r>
    <s v="L091"/>
    <s v="P114"/>
    <s v="T091"/>
    <d v="2022-09-03T00:00:00"/>
    <d v="2025-09-02T00:00:00"/>
    <n v="3772"/>
    <n v="6257"/>
    <n v="5.01"/>
    <s v="Active"/>
    <n v="0"/>
    <n v="-164"/>
    <x v="0"/>
  </r>
  <r>
    <s v="L092"/>
    <s v="P034"/>
    <s v="T092"/>
    <d v="2023-02-02T00:00:00"/>
    <d v="2024-02-02T00:00:00"/>
    <n v="2931"/>
    <n v="18853"/>
    <n v="4.76"/>
    <s v="Active"/>
    <n v="0"/>
    <n v="-742"/>
    <x v="0"/>
  </r>
  <r>
    <s v="L093"/>
    <s v="P058"/>
    <s v="T093"/>
    <d v="2022-04-23T00:00:00"/>
    <d v="2023-04-23T00:00:00"/>
    <n v="6285"/>
    <n v="6609"/>
    <n v="5.25"/>
    <s v="Renewed"/>
    <n v="0"/>
    <n v="-1027"/>
    <x v="0"/>
  </r>
  <r>
    <s v="L094"/>
    <s v="P131"/>
    <s v="T094"/>
    <d v="2023-03-05T00:00:00"/>
    <d v="2026-03-04T00:00:00"/>
    <n v="4687"/>
    <n v="13413"/>
    <n v="4.42"/>
    <s v="Renewed"/>
    <n v="0"/>
    <n v="19"/>
    <x v="2"/>
  </r>
  <r>
    <s v="L095"/>
    <s v="P078"/>
    <s v="T095"/>
    <d v="2023-01-02T00:00:00"/>
    <d v="2024-01-02T00:00:00"/>
    <n v="2426"/>
    <n v="14055"/>
    <n v="7.27"/>
    <s v="Active"/>
    <n v="0"/>
    <n v="-773"/>
    <x v="0"/>
  </r>
  <r>
    <s v="L097"/>
    <s v="P052"/>
    <s v="T097"/>
    <d v="2023-01-05T00:00:00"/>
    <d v="2026-01-04T00:00:00"/>
    <n v="4082"/>
    <n v="19065"/>
    <n v="4.08"/>
    <s v="Active"/>
    <n v="0"/>
    <n v="-40"/>
    <x v="0"/>
  </r>
  <r>
    <s v="L098"/>
    <s v="P101"/>
    <s v="T098"/>
    <d v="2022-11-30T00:00:00"/>
    <d v="2025-11-29T00:00:00"/>
    <n v="6506"/>
    <n v="9230"/>
    <n v="7.81"/>
    <s v="Renewed"/>
    <n v="0"/>
    <n v="-76"/>
    <x v="0"/>
  </r>
  <r>
    <s v="L099"/>
    <s v="P058"/>
    <s v="T099"/>
    <d v="2022-07-05T00:00:00"/>
    <d v="2025-07-04T00:00:00"/>
    <n v="5397"/>
    <n v="9086"/>
    <n v="6.81"/>
    <s v="Active"/>
    <n v="0"/>
    <n v="-224"/>
    <x v="0"/>
  </r>
  <r>
    <s v="L100"/>
    <s v="P011"/>
    <s v="T100"/>
    <d v="2022-03-16T00:00:00"/>
    <d v="2025-03-15T00:00:00"/>
    <n v="3482"/>
    <n v="17210"/>
    <n v="6.76"/>
    <s v="Active"/>
    <n v="0"/>
    <n v="-335"/>
    <x v="0"/>
  </r>
  <r>
    <s v="L101"/>
    <s v="P145"/>
    <s v="T101"/>
    <d v="2022-11-22T00:00:00"/>
    <d v="2024-11-21T00:00:00"/>
    <n v="5968"/>
    <n v="10530"/>
    <n v="5.18"/>
    <s v="Renewed"/>
    <n v="0"/>
    <n v="-449"/>
    <x v="0"/>
  </r>
  <r>
    <s v="L102"/>
    <s v="P004"/>
    <s v="T102"/>
    <d v="2022-02-06T00:00:00"/>
    <d v="2024-02-06T00:00:00"/>
    <n v="3091"/>
    <n v="16523"/>
    <n v="3.88"/>
    <s v="Renewed"/>
    <n v="0"/>
    <n v="-738"/>
    <x v="0"/>
  </r>
  <r>
    <s v="L103"/>
    <s v="P105"/>
    <s v="T103"/>
    <d v="2022-06-09T00:00:00"/>
    <d v="2025-06-08T00:00:00"/>
    <n v="3744"/>
    <n v="17928"/>
    <n v="6.91"/>
    <s v="Renewed"/>
    <n v="0"/>
    <n v="-250"/>
    <x v="0"/>
  </r>
  <r>
    <s v="L104"/>
    <s v="P114"/>
    <s v="T104"/>
    <d v="2022-04-07T00:00:00"/>
    <d v="2024-04-06T00:00:00"/>
    <n v="2643"/>
    <n v="7080"/>
    <n v="4.92"/>
    <s v="Active"/>
    <n v="0"/>
    <n v="-678"/>
    <x v="0"/>
  </r>
  <r>
    <s v="L106"/>
    <s v="P078"/>
    <s v="T106"/>
    <d v="2022-12-11T00:00:00"/>
    <d v="2025-12-10T00:00:00"/>
    <n v="2945"/>
    <n v="7029"/>
    <n v="6.9"/>
    <s v="Active"/>
    <n v="0"/>
    <n v="-65"/>
    <x v="0"/>
  </r>
  <r>
    <s v="L107"/>
    <s v="P129"/>
    <s v="T107"/>
    <d v="2022-02-18T00:00:00"/>
    <d v="2025-02-17T00:00:00"/>
    <n v="3247"/>
    <n v="17627"/>
    <n v="7.14"/>
    <s v="Active"/>
    <n v="0"/>
    <n v="-361"/>
    <x v="0"/>
  </r>
  <r>
    <s v="L108"/>
    <s v="P040"/>
    <s v="T108"/>
    <d v="2023-08-01T00:00:00"/>
    <d v="2026-07-31T00:00:00"/>
    <n v="5728"/>
    <n v="12238"/>
    <n v="6.63"/>
    <s v="Renewed"/>
    <n v="0"/>
    <n v="168"/>
    <x v="1"/>
  </r>
  <r>
    <s v="L109"/>
    <s v="P027"/>
    <s v="T109"/>
    <d v="2023-11-26T00:00:00"/>
    <d v="2024-11-25T00:00:00"/>
    <n v="4847"/>
    <n v="5226"/>
    <n v="5.45"/>
    <s v="Renewed"/>
    <n v="0"/>
    <n v="-445"/>
    <x v="0"/>
  </r>
  <r>
    <s v="L110"/>
    <s v="P061"/>
    <s v="T110"/>
    <d v="2023-07-09T00:00:00"/>
    <d v="2024-07-08T00:00:00"/>
    <n v="3922"/>
    <n v="9172"/>
    <n v="7.37"/>
    <s v="Renewed"/>
    <n v="0"/>
    <n v="-585"/>
    <x v="0"/>
  </r>
  <r>
    <s v="L111"/>
    <s v="P130"/>
    <s v="T111"/>
    <d v="2023-05-03T00:00:00"/>
    <d v="2024-05-02T00:00:00"/>
    <n v="5479"/>
    <n v="14014"/>
    <n v="6.22"/>
    <s v="Renewed"/>
    <n v="0"/>
    <n v="-652"/>
    <x v="0"/>
  </r>
  <r>
    <s v="L112"/>
    <s v="P114"/>
    <s v="T112"/>
    <d v="2023-10-21T00:00:00"/>
    <d v="2024-10-20T00:00:00"/>
    <n v="5561"/>
    <n v="17102"/>
    <n v="7.59"/>
    <s v="Renewed"/>
    <n v="0"/>
    <n v="-481"/>
    <x v="0"/>
  </r>
  <r>
    <s v="L113"/>
    <s v="P091"/>
    <s v="T113"/>
    <d v="2023-06-21T00:00:00"/>
    <d v="2026-06-20T00:00:00"/>
    <n v="3025"/>
    <n v="7545"/>
    <n v="5.72"/>
    <s v="Active"/>
    <n v="0"/>
    <n v="127"/>
    <x v="1"/>
  </r>
  <r>
    <s v="L114"/>
    <s v="P008"/>
    <s v="T114"/>
    <d v="2022-12-03T00:00:00"/>
    <d v="2023-12-03T00:00:00"/>
    <n v="4524"/>
    <n v="7543"/>
    <n v="7.14"/>
    <s v="Active"/>
    <n v="0"/>
    <n v="-803"/>
    <x v="0"/>
  </r>
  <r>
    <s v="L115"/>
    <s v="P085"/>
    <s v="T115"/>
    <d v="2023-07-18T00:00:00"/>
    <d v="2024-07-17T00:00:00"/>
    <n v="6922"/>
    <n v="18467"/>
    <n v="4.03"/>
    <s v="Active"/>
    <n v="0"/>
    <n v="-576"/>
    <x v="0"/>
  </r>
  <r>
    <s v="L118"/>
    <s v="P095"/>
    <s v="T118"/>
    <d v="2023-03-30T00:00:00"/>
    <d v="2025-03-29T00:00:00"/>
    <n v="4913"/>
    <n v="12827"/>
    <n v="5.61"/>
    <s v="Renewed"/>
    <n v="0"/>
    <n v="-321"/>
    <x v="0"/>
  </r>
  <r>
    <s v="L124"/>
    <s v="P051"/>
    <s v="T124"/>
    <d v="2023-07-31T00:00:00"/>
    <d v="2026-07-30T00:00:00"/>
    <n v="5313"/>
    <n v="8577"/>
    <n v="4.26"/>
    <s v="Active"/>
    <n v="0"/>
    <n v="167"/>
    <x v="1"/>
  </r>
  <r>
    <s v="L126"/>
    <s v="P038"/>
    <s v="T126"/>
    <d v="2023-04-21T00:00:00"/>
    <d v="2025-04-20T00:00:00"/>
    <n v="2717"/>
    <n v="19762"/>
    <n v="5.12"/>
    <s v="Renewed"/>
    <n v="0"/>
    <n v="-299"/>
    <x v="0"/>
  </r>
  <r>
    <s v="L128"/>
    <s v="P060"/>
    <s v="T128"/>
    <d v="2022-11-05T00:00:00"/>
    <d v="2024-11-04T00:00:00"/>
    <n v="3110"/>
    <n v="6176"/>
    <n v="7.69"/>
    <s v="Renewed"/>
    <n v="0"/>
    <n v="-466"/>
    <x v="0"/>
  </r>
  <r>
    <s v="L129"/>
    <s v="P050"/>
    <s v="T129"/>
    <d v="2023-08-09T00:00:00"/>
    <d v="2026-08-08T00:00:00"/>
    <n v="6841"/>
    <n v="18925"/>
    <n v="6.85"/>
    <s v="Active"/>
    <n v="0"/>
    <n v="176"/>
    <x v="1"/>
  </r>
  <r>
    <s v="L130"/>
    <s v="P139"/>
    <s v="T130"/>
    <d v="2022-07-19T00:00:00"/>
    <d v="2024-07-18T00:00:00"/>
    <n v="2449"/>
    <n v="18178"/>
    <n v="5.54"/>
    <s v="Renewed"/>
    <n v="0"/>
    <n v="-575"/>
    <x v="0"/>
  </r>
  <r>
    <s v="L131"/>
    <s v="P012"/>
    <s v="T131"/>
    <d v="2022-12-20T00:00:00"/>
    <d v="2025-12-19T00:00:00"/>
    <n v="3240"/>
    <n v="6861"/>
    <n v="5.92"/>
    <s v="Renewed"/>
    <n v="0"/>
    <n v="-56"/>
    <x v="0"/>
  </r>
  <r>
    <s v="L135"/>
    <s v="P007"/>
    <s v="T135"/>
    <d v="2022-04-15T00:00:00"/>
    <d v="2023-04-15T00:00:00"/>
    <n v="6053"/>
    <n v="16971"/>
    <n v="4.2699999999999996"/>
    <s v="Renewed"/>
    <n v="0"/>
    <n v="-1035"/>
    <x v="0"/>
  </r>
  <r>
    <s v="L137"/>
    <s v="P117"/>
    <s v="T137"/>
    <d v="2022-09-13T00:00:00"/>
    <d v="2023-09-13T00:00:00"/>
    <n v="4063"/>
    <n v="18833"/>
    <n v="6.71"/>
    <s v="Renewed"/>
    <n v="0"/>
    <n v="-884"/>
    <x v="0"/>
  </r>
  <r>
    <s v="L138"/>
    <s v="P005"/>
    <s v="T138"/>
    <d v="2022-12-02T00:00:00"/>
    <d v="2024-12-01T00:00:00"/>
    <n v="2346"/>
    <n v="5409"/>
    <n v="5.4"/>
    <s v="Active"/>
    <n v="0"/>
    <n v="-439"/>
    <x v="0"/>
  </r>
  <r>
    <s v="L139"/>
    <s v="P042"/>
    <s v="T139"/>
    <d v="2023-02-09T00:00:00"/>
    <d v="2024-02-09T00:00:00"/>
    <n v="5171"/>
    <n v="5442"/>
    <n v="6.21"/>
    <s v="Active"/>
    <n v="0"/>
    <n v="-735"/>
    <x v="0"/>
  </r>
  <r>
    <s v="L143"/>
    <s v="P013"/>
    <s v="T143"/>
    <d v="2023-09-27T00:00:00"/>
    <d v="2024-09-26T00:00:00"/>
    <n v="3374"/>
    <n v="17067"/>
    <n v="4.74"/>
    <s v="Active"/>
    <n v="0"/>
    <n v="-505"/>
    <x v="0"/>
  </r>
  <r>
    <s v="L146"/>
    <s v="P134"/>
    <s v="T146"/>
    <d v="2023-08-12T00:00:00"/>
    <d v="2024-08-11T00:00:00"/>
    <n v="2686"/>
    <n v="15759"/>
    <n v="4.97"/>
    <s v="Active"/>
    <n v="0"/>
    <n v="-551"/>
    <x v="0"/>
  </r>
  <r>
    <s v="L147"/>
    <s v="P066"/>
    <s v="T147"/>
    <d v="2023-07-31T00:00:00"/>
    <d v="2025-07-30T00:00:00"/>
    <n v="2861"/>
    <n v="13817"/>
    <n v="5.18"/>
    <s v="Renewed"/>
    <n v="0"/>
    <n v="-198"/>
    <x v="0"/>
  </r>
  <r>
    <s v="L148"/>
    <s v="P097"/>
    <s v="T148"/>
    <d v="2023-08-21T00:00:00"/>
    <d v="2026-08-20T00:00:00"/>
    <n v="3185"/>
    <n v="16392"/>
    <n v="7.12"/>
    <s v="Renewed"/>
    <n v="0"/>
    <n v="188"/>
    <x v="1"/>
  </r>
  <r>
    <s v="L149"/>
    <s v="P078"/>
    <s v="T149"/>
    <d v="2023-03-21T00:00:00"/>
    <d v="2026-03-20T00:00:00"/>
    <n v="6934"/>
    <n v="15880"/>
    <n v="4.63"/>
    <s v="Active"/>
    <n v="0"/>
    <n v="35"/>
    <x v="3"/>
  </r>
  <r>
    <s v="L152"/>
    <s v="P139"/>
    <s v="T152"/>
    <d v="2023-02-24T00:00:00"/>
    <d v="2024-02-24T00:00:00"/>
    <n v="4188"/>
    <n v="19525"/>
    <n v="5.54"/>
    <s v="Active"/>
    <n v="0"/>
    <n v="-720"/>
    <x v="0"/>
  </r>
  <r>
    <s v="L156"/>
    <s v="P034"/>
    <s v="T156"/>
    <d v="2022-02-12T00:00:00"/>
    <d v="2023-02-12T00:00:00"/>
    <n v="6252"/>
    <n v="11566"/>
    <n v="4.4000000000000004"/>
    <s v="Renewed"/>
    <n v="0"/>
    <n v="-1097"/>
    <x v="0"/>
  </r>
  <r>
    <s v="L161"/>
    <s v="P096"/>
    <s v="T161"/>
    <d v="2022-11-06T00:00:00"/>
    <d v="2024-11-05T00:00:00"/>
    <n v="4194"/>
    <n v="13111"/>
    <n v="5.73"/>
    <s v="Renewed"/>
    <n v="0"/>
    <n v="-465"/>
    <x v="0"/>
  </r>
  <r>
    <s v="L163"/>
    <s v="P025"/>
    <s v="T163"/>
    <d v="2023-01-09T00:00:00"/>
    <d v="2025-01-08T00:00:00"/>
    <n v="2958"/>
    <n v="16120"/>
    <n v="7.12"/>
    <s v="Renewed"/>
    <n v="0"/>
    <n v="-401"/>
    <x v="0"/>
  </r>
  <r>
    <s v="L164"/>
    <s v="P024"/>
    <s v="T164"/>
    <d v="2023-04-17T00:00:00"/>
    <d v="2026-04-16T00:00:00"/>
    <n v="2942"/>
    <n v="11343"/>
    <n v="5.42"/>
    <s v="Active"/>
    <n v="0"/>
    <n v="62"/>
    <x v="1"/>
  </r>
  <r>
    <s v="L167"/>
    <s v="P090"/>
    <s v="T167"/>
    <d v="2023-11-28T00:00:00"/>
    <d v="2024-11-27T00:00:00"/>
    <n v="3894"/>
    <n v="6930"/>
    <n v="6.65"/>
    <s v="Renewed"/>
    <n v="0"/>
    <n v="-443"/>
    <x v="0"/>
  </r>
  <r>
    <s v="L171"/>
    <s v="P080"/>
    <s v="T171"/>
    <d v="2022-05-27T00:00:00"/>
    <d v="2024-05-26T00:00:00"/>
    <n v="3082"/>
    <n v="19321"/>
    <n v="5.55"/>
    <s v="Active"/>
    <n v="0"/>
    <n v="-628"/>
    <x v="0"/>
  </r>
  <r>
    <s v="L172"/>
    <s v="P074"/>
    <s v="T172"/>
    <d v="2023-07-22T00:00:00"/>
    <d v="2024-07-21T00:00:00"/>
    <n v="4117"/>
    <n v="15672"/>
    <n v="5.05"/>
    <s v="Renewed"/>
    <n v="0"/>
    <n v="-572"/>
    <x v="0"/>
  </r>
  <r>
    <s v="L173"/>
    <s v="P038"/>
    <s v="T173"/>
    <d v="2023-11-22T00:00:00"/>
    <d v="2024-11-21T00:00:00"/>
    <n v="2931"/>
    <n v="19693"/>
    <n v="7.16"/>
    <s v="Renewed"/>
    <n v="0"/>
    <n v="-449"/>
    <x v="0"/>
  </r>
  <r>
    <s v="L174"/>
    <s v="P142"/>
    <s v="T174"/>
    <d v="2022-02-12T00:00:00"/>
    <d v="2023-02-12T00:00:00"/>
    <n v="3418"/>
    <n v="7344"/>
    <n v="4.8499999999999996"/>
    <s v="Renewed"/>
    <n v="0"/>
    <n v="-1097"/>
    <x v="0"/>
  </r>
  <r>
    <s v="L175"/>
    <s v="P095"/>
    <s v="T175"/>
    <d v="2023-07-31T00:00:00"/>
    <d v="2024-07-30T00:00:00"/>
    <n v="5856"/>
    <n v="14418"/>
    <n v="3.57"/>
    <s v="Active"/>
    <n v="0"/>
    <n v="-563"/>
    <x v="0"/>
  </r>
  <r>
    <s v="L176"/>
    <s v="P142"/>
    <s v="T176"/>
    <d v="2022-11-01T00:00:00"/>
    <d v="2023-11-01T00:00:00"/>
    <n v="3307"/>
    <n v="13976"/>
    <n v="6.74"/>
    <s v="Renewed"/>
    <n v="0"/>
    <n v="-835"/>
    <x v="0"/>
  </r>
  <r>
    <s v="L177"/>
    <s v="P140"/>
    <s v="T177"/>
    <d v="2022-01-16T00:00:00"/>
    <d v="2023-01-16T00:00:00"/>
    <n v="3209"/>
    <n v="10802"/>
    <n v="6.52"/>
    <s v="Renewed"/>
    <n v="0"/>
    <n v="-1124"/>
    <x v="0"/>
  </r>
  <r>
    <s v="L178"/>
    <s v="P003"/>
    <s v="T178"/>
    <d v="2022-06-23T00:00:00"/>
    <d v="2025-06-22T00:00:00"/>
    <n v="6048"/>
    <n v="19594"/>
    <n v="4.9800000000000004"/>
    <s v="Renewed"/>
    <n v="0"/>
    <n v="-236"/>
    <x v="0"/>
  </r>
  <r>
    <s v="L179"/>
    <s v="P004"/>
    <s v="T179"/>
    <d v="2023-08-15T00:00:00"/>
    <d v="2024-08-14T00:00:00"/>
    <n v="3379"/>
    <n v="12160"/>
    <n v="3.74"/>
    <s v="Renewed"/>
    <n v="0"/>
    <n v="-548"/>
    <x v="0"/>
  </r>
  <r>
    <s v="L180"/>
    <s v="P046"/>
    <s v="T180"/>
    <d v="2022-06-07T00:00:00"/>
    <d v="2024-06-06T00:00:00"/>
    <n v="6463"/>
    <n v="16728"/>
    <n v="4.43"/>
    <s v="Renewed"/>
    <n v="0"/>
    <n v="-617"/>
    <x v="0"/>
  </r>
  <r>
    <s v="L181"/>
    <s v="P092"/>
    <s v="T181"/>
    <d v="2023-01-27T00:00:00"/>
    <d v="2026-01-26T00:00:00"/>
    <n v="5261"/>
    <n v="12309"/>
    <n v="4.66"/>
    <s v="Renewed"/>
    <n v="0"/>
    <n v="-18"/>
    <x v="0"/>
  </r>
  <r>
    <s v="L182"/>
    <s v="P039"/>
    <s v="T182"/>
    <d v="2023-11-29T00:00:00"/>
    <d v="2025-11-28T00:00:00"/>
    <n v="5774"/>
    <n v="7383"/>
    <n v="7.55"/>
    <s v="Active"/>
    <n v="0"/>
    <n v="-77"/>
    <x v="0"/>
  </r>
  <r>
    <s v="L184"/>
    <s v="P025"/>
    <s v="T184"/>
    <d v="2022-05-07T00:00:00"/>
    <d v="2023-05-07T00:00:00"/>
    <n v="2096"/>
    <n v="16034"/>
    <n v="7.79"/>
    <s v="Renewed"/>
    <n v="0"/>
    <n v="-1013"/>
    <x v="0"/>
  </r>
  <r>
    <s v="L185"/>
    <s v="P124"/>
    <s v="T185"/>
    <d v="2023-03-03T00:00:00"/>
    <d v="2024-03-02T00:00:00"/>
    <n v="5298"/>
    <n v="8320"/>
    <n v="6.12"/>
    <s v="Renewed"/>
    <n v="0"/>
    <n v="-713"/>
    <x v="0"/>
  </r>
  <r>
    <s v="L186"/>
    <s v="P088"/>
    <s v="T186"/>
    <d v="2023-11-11T00:00:00"/>
    <d v="2025-11-10T00:00:00"/>
    <n v="4070"/>
    <n v="12805"/>
    <n v="4.42"/>
    <s v="Renewed"/>
    <n v="0"/>
    <n v="-95"/>
    <x v="0"/>
  </r>
  <r>
    <s v="L187"/>
    <s v="P062"/>
    <s v="T187"/>
    <d v="2023-01-18T00:00:00"/>
    <d v="2026-01-17T00:00:00"/>
    <n v="5512"/>
    <n v="6660"/>
    <n v="7.24"/>
    <s v="Active"/>
    <n v="0"/>
    <n v="-27"/>
    <x v="0"/>
  </r>
  <r>
    <s v="L190"/>
    <s v="P055"/>
    <s v="T190"/>
    <d v="2023-08-18T00:00:00"/>
    <d v="2026-08-17T00:00:00"/>
    <n v="3261"/>
    <n v="15047"/>
    <n v="5.81"/>
    <s v="Renewed"/>
    <n v="0"/>
    <n v="185"/>
    <x v="1"/>
  </r>
  <r>
    <s v="L191"/>
    <s v="P053"/>
    <s v="T191"/>
    <d v="2022-03-14T00:00:00"/>
    <d v="2023-03-14T00:00:00"/>
    <n v="2508"/>
    <n v="10902"/>
    <n v="5.74"/>
    <s v="Renewed"/>
    <n v="0"/>
    <n v="-1067"/>
    <x v="0"/>
  </r>
  <r>
    <s v="L192"/>
    <s v="P124"/>
    <s v="T192"/>
    <d v="2022-02-10T00:00:00"/>
    <d v="2023-02-10T00:00:00"/>
    <n v="2162"/>
    <n v="19521"/>
    <n v="7.61"/>
    <s v="Active"/>
    <n v="0"/>
    <n v="-1099"/>
    <x v="0"/>
  </r>
  <r>
    <s v="L193"/>
    <s v="P089"/>
    <s v="T193"/>
    <d v="2022-03-27T00:00:00"/>
    <d v="2025-03-26T00:00:00"/>
    <n v="2906"/>
    <n v="12567"/>
    <n v="5.79"/>
    <s v="Renewed"/>
    <n v="0"/>
    <n v="-324"/>
    <x v="0"/>
  </r>
  <r>
    <s v="L195"/>
    <s v="P056"/>
    <s v="T195"/>
    <d v="2022-08-24T00:00:00"/>
    <d v="2024-08-23T00:00:00"/>
    <n v="6800"/>
    <n v="11071"/>
    <n v="6.75"/>
    <s v="Renewed"/>
    <n v="0"/>
    <n v="-539"/>
    <x v="0"/>
  </r>
  <r>
    <s v="L196"/>
    <s v="P078"/>
    <s v="T196"/>
    <d v="2023-11-15T00:00:00"/>
    <d v="2026-11-14T00:00:00"/>
    <n v="5145"/>
    <n v="15382"/>
    <n v="3.72"/>
    <s v="Active"/>
    <n v="0"/>
    <n v="274"/>
    <x v="1"/>
  </r>
  <r>
    <s v="L197"/>
    <s v="P097"/>
    <s v="T197"/>
    <d v="2022-08-18T00:00:00"/>
    <d v="2025-08-17T00:00:00"/>
    <n v="5519"/>
    <n v="13062"/>
    <n v="7.3"/>
    <s v="Renewed"/>
    <n v="0"/>
    <n v="-180"/>
    <x v="0"/>
  </r>
  <r>
    <s v="L198"/>
    <s v="P003"/>
    <s v="T198"/>
    <d v="2022-10-05T00:00:00"/>
    <d v="2023-10-05T00:00:00"/>
    <n v="3587"/>
    <n v="16207"/>
    <n v="3.11"/>
    <s v="Renewed"/>
    <n v="0"/>
    <n v="-862"/>
    <x v="0"/>
  </r>
  <r>
    <s v="L199"/>
    <s v="P132"/>
    <s v="T199"/>
    <d v="2022-02-01T00:00:00"/>
    <d v="2023-02-01T00:00:00"/>
    <n v="2398"/>
    <n v="5082"/>
    <n v="6.48"/>
    <s v="Active"/>
    <n v="0"/>
    <n v="-1108"/>
    <x v="0"/>
  </r>
  <r>
    <s v="L201"/>
    <s v="P024"/>
    <s v="T201"/>
    <d v="2022-10-12T00:00:00"/>
    <d v="2024-10-11T00:00:00"/>
    <n v="2924"/>
    <n v="9083"/>
    <n v="3.48"/>
    <s v="Active"/>
    <n v="0"/>
    <n v="-490"/>
    <x v="0"/>
  </r>
  <r>
    <s v="L202"/>
    <s v="P039"/>
    <s v="T202"/>
    <d v="2022-05-07T00:00:00"/>
    <d v="2024-05-06T00:00:00"/>
    <n v="3391"/>
    <n v="6837"/>
    <n v="5.48"/>
    <s v="Renewed"/>
    <n v="0"/>
    <n v="-648"/>
    <x v="0"/>
  </r>
  <r>
    <s v="L203"/>
    <s v="P077"/>
    <s v="T203"/>
    <d v="2022-01-28T00:00:00"/>
    <d v="2024-01-28T00:00:00"/>
    <n v="2865"/>
    <n v="10251"/>
    <n v="5.05"/>
    <s v="Active"/>
    <n v="0"/>
    <n v="-747"/>
    <x v="0"/>
  </r>
  <r>
    <s v="L205"/>
    <s v="P087"/>
    <s v="T205"/>
    <d v="2023-10-27T00:00:00"/>
    <d v="2025-10-26T00:00:00"/>
    <n v="2582"/>
    <n v="6177"/>
    <n v="6.84"/>
    <s v="Active"/>
    <n v="0"/>
    <n v="-110"/>
    <x v="0"/>
  </r>
  <r>
    <s v="L206"/>
    <s v="P091"/>
    <s v="T206"/>
    <d v="2022-06-11T00:00:00"/>
    <d v="2025-06-10T00:00:00"/>
    <n v="5025"/>
    <n v="5702"/>
    <n v="6.82"/>
    <s v="Active"/>
    <n v="0"/>
    <n v="-248"/>
    <x v="0"/>
  </r>
  <r>
    <s v="L208"/>
    <s v="P003"/>
    <s v="T208"/>
    <d v="2022-07-23T00:00:00"/>
    <d v="2023-07-23T00:00:00"/>
    <n v="2215"/>
    <n v="15222"/>
    <n v="3.2"/>
    <s v="Active"/>
    <n v="0"/>
    <n v="-936"/>
    <x v="0"/>
  </r>
  <r>
    <s v="L211"/>
    <s v="P099"/>
    <s v="T211"/>
    <d v="2022-03-26T00:00:00"/>
    <d v="2024-03-25T00:00:00"/>
    <n v="3301"/>
    <n v="6246"/>
    <n v="6.77"/>
    <s v="Renewed"/>
    <n v="0"/>
    <n v="-690"/>
    <x v="0"/>
  </r>
  <r>
    <s v="L214"/>
    <s v="P076"/>
    <s v="T214"/>
    <d v="2023-05-24T00:00:00"/>
    <d v="2025-05-23T00:00:00"/>
    <n v="5330"/>
    <n v="18372"/>
    <n v="4.01"/>
    <s v="Renewed"/>
    <n v="0"/>
    <n v="-266"/>
    <x v="0"/>
  </r>
  <r>
    <s v="L220"/>
    <s v="P010"/>
    <s v="T220"/>
    <d v="2023-05-28T00:00:00"/>
    <d v="2025-05-27T00:00:00"/>
    <n v="2655"/>
    <n v="7574"/>
    <n v="6.85"/>
    <s v="Renewed"/>
    <n v="0"/>
    <n v="-262"/>
    <x v="0"/>
  </r>
  <r>
    <s v="L221"/>
    <s v="P002"/>
    <s v="T221"/>
    <d v="2022-03-11T00:00:00"/>
    <d v="2024-03-10T00:00:00"/>
    <n v="3762"/>
    <n v="11569"/>
    <n v="5.8"/>
    <s v="Renewed"/>
    <n v="0"/>
    <n v="-705"/>
    <x v="0"/>
  </r>
  <r>
    <s v="L224"/>
    <s v="P019"/>
    <s v="T224"/>
    <d v="2023-06-11T00:00:00"/>
    <d v="2024-06-10T00:00:00"/>
    <n v="4446"/>
    <n v="9329"/>
    <n v="3.54"/>
    <s v="Active"/>
    <n v="0"/>
    <n v="-613"/>
    <x v="0"/>
  </r>
  <r>
    <s v="L225"/>
    <s v="P046"/>
    <s v="T225"/>
    <d v="2023-09-15T00:00:00"/>
    <d v="2024-09-14T00:00:00"/>
    <n v="3164"/>
    <n v="12600"/>
    <n v="5.31"/>
    <s v="Renewed"/>
    <n v="0"/>
    <n v="-517"/>
    <x v="0"/>
  </r>
  <r>
    <s v="L226"/>
    <s v="P104"/>
    <s v="T226"/>
    <d v="2023-07-21T00:00:00"/>
    <d v="2024-07-20T00:00:00"/>
    <n v="3942"/>
    <n v="18918"/>
    <n v="6.98"/>
    <s v="Renewed"/>
    <n v="0"/>
    <n v="-573"/>
    <x v="0"/>
  </r>
  <r>
    <s v="L227"/>
    <s v="P055"/>
    <s v="T227"/>
    <d v="2023-09-20T00:00:00"/>
    <d v="2026-09-19T00:00:00"/>
    <n v="2218"/>
    <n v="18399"/>
    <n v="5.53"/>
    <s v="Active"/>
    <n v="0"/>
    <n v="218"/>
    <x v="1"/>
  </r>
  <r>
    <s v="L228"/>
    <s v="P056"/>
    <s v="T228"/>
    <d v="2022-03-21T00:00:00"/>
    <d v="2025-03-20T00:00:00"/>
    <n v="2453"/>
    <n v="16178"/>
    <n v="5.64"/>
    <s v="Renewed"/>
    <n v="0"/>
    <n v="-330"/>
    <x v="0"/>
  </r>
  <r>
    <s v="L229"/>
    <s v="P017"/>
    <s v="T229"/>
    <d v="2022-08-20T00:00:00"/>
    <d v="2025-08-19T00:00:00"/>
    <n v="4708"/>
    <n v="19062"/>
    <n v="3.78"/>
    <s v="Renewed"/>
    <n v="0"/>
    <n v="-178"/>
    <x v="0"/>
  </r>
  <r>
    <s v="L230"/>
    <s v="P150"/>
    <s v="T230"/>
    <d v="2022-02-27T00:00:00"/>
    <d v="2023-02-27T00:00:00"/>
    <n v="6540"/>
    <n v="14319"/>
    <n v="6.12"/>
    <s v="Renewed"/>
    <n v="0"/>
    <n v="-1082"/>
    <x v="0"/>
  </r>
  <r>
    <s v="L231"/>
    <s v="P025"/>
    <s v="T231"/>
    <d v="2022-02-14T00:00:00"/>
    <d v="2025-02-13T00:00:00"/>
    <n v="5221"/>
    <n v="12063"/>
    <n v="4.51"/>
    <s v="Active"/>
    <n v="0"/>
    <n v="-365"/>
    <x v="0"/>
  </r>
  <r>
    <s v="L232"/>
    <s v="P080"/>
    <s v="T232"/>
    <d v="2023-07-09T00:00:00"/>
    <d v="2025-07-08T00:00:00"/>
    <n v="3635"/>
    <n v="9509"/>
    <n v="4.4000000000000004"/>
    <s v="Renewed"/>
    <n v="0"/>
    <n v="-220"/>
    <x v="0"/>
  </r>
  <r>
    <s v="L233"/>
    <s v="P093"/>
    <s v="T233"/>
    <d v="2022-03-22T00:00:00"/>
    <d v="2024-03-21T00:00:00"/>
    <n v="6386"/>
    <n v="6931"/>
    <n v="5.03"/>
    <s v="Renewed"/>
    <n v="0"/>
    <n v="-694"/>
    <x v="0"/>
  </r>
  <r>
    <s v="L234"/>
    <s v="P045"/>
    <s v="T234"/>
    <d v="2023-05-14T00:00:00"/>
    <d v="2024-05-13T00:00:00"/>
    <n v="3295"/>
    <n v="11163"/>
    <n v="4.55"/>
    <s v="Active"/>
    <n v="0"/>
    <n v="-641"/>
    <x v="0"/>
  </r>
  <r>
    <s v="L235"/>
    <s v="P043"/>
    <s v="T235"/>
    <d v="2022-11-28T00:00:00"/>
    <d v="2023-11-28T00:00:00"/>
    <n v="3509"/>
    <n v="13957"/>
    <n v="5.48"/>
    <s v="Renewed"/>
    <n v="0"/>
    <n v="-808"/>
    <x v="0"/>
  </r>
  <r>
    <s v="L236"/>
    <s v="P133"/>
    <s v="T236"/>
    <d v="2023-08-04T00:00:00"/>
    <d v="2024-08-03T00:00:00"/>
    <n v="3754"/>
    <n v="7075"/>
    <n v="6.49"/>
    <s v="Active"/>
    <n v="0"/>
    <n v="-559"/>
    <x v="0"/>
  </r>
  <r>
    <s v="L237"/>
    <s v="P128"/>
    <s v="T237"/>
    <d v="2023-04-01T00:00:00"/>
    <d v="2026-03-31T00:00:00"/>
    <n v="6248"/>
    <n v="17938"/>
    <n v="6.78"/>
    <s v="Renewed"/>
    <n v="0"/>
    <n v="46"/>
    <x v="3"/>
  </r>
  <r>
    <s v="L238"/>
    <s v="P145"/>
    <s v="T238"/>
    <d v="2022-10-06T00:00:00"/>
    <d v="2025-10-05T00:00:00"/>
    <n v="6840"/>
    <n v="9942"/>
    <n v="6.15"/>
    <s v="Active"/>
    <n v="0"/>
    <n v="-131"/>
    <x v="0"/>
  </r>
  <r>
    <s v="L239"/>
    <s v="P108"/>
    <s v="T239"/>
    <d v="2023-06-12T00:00:00"/>
    <d v="2026-06-11T00:00:00"/>
    <n v="6412"/>
    <n v="18573"/>
    <n v="5.87"/>
    <s v="Active"/>
    <n v="0"/>
    <n v="118"/>
    <x v="1"/>
  </r>
  <r>
    <s v="L240"/>
    <s v="P007"/>
    <s v="T240"/>
    <d v="2022-07-17T00:00:00"/>
    <d v="2023-07-17T00:00:00"/>
    <n v="4544"/>
    <n v="14109"/>
    <n v="4.53"/>
    <s v="Active"/>
    <n v="0"/>
    <n v="-942"/>
    <x v="0"/>
  </r>
  <r>
    <s v="L242"/>
    <s v="P146"/>
    <s v="T242"/>
    <d v="2023-04-01T00:00:00"/>
    <d v="2026-03-31T00:00:00"/>
    <n v="2600"/>
    <n v="7675"/>
    <n v="4.26"/>
    <s v="Renewed"/>
    <n v="0"/>
    <n v="46"/>
    <x v="3"/>
  </r>
  <r>
    <s v="L243"/>
    <s v="P061"/>
    <s v="T243"/>
    <d v="2022-04-19T00:00:00"/>
    <d v="2024-04-18T00:00:00"/>
    <n v="3003"/>
    <n v="5605"/>
    <n v="3.99"/>
    <s v="Active"/>
    <n v="0"/>
    <n v="-666"/>
    <x v="0"/>
  </r>
  <r>
    <s v="L246"/>
    <s v="P132"/>
    <s v="T246"/>
    <d v="2022-11-26T00:00:00"/>
    <d v="2024-11-25T00:00:00"/>
    <n v="6478"/>
    <n v="10572"/>
    <n v="5.04"/>
    <s v="Active"/>
    <n v="0"/>
    <n v="-445"/>
    <x v="0"/>
  </r>
  <r>
    <s v="L248"/>
    <s v="P077"/>
    <s v="T248"/>
    <d v="2023-02-24T00:00:00"/>
    <d v="2026-02-23T00:00:00"/>
    <n v="3867"/>
    <n v="15349"/>
    <n v="5.67"/>
    <s v="Renewed"/>
    <n v="0"/>
    <n v="10"/>
    <x v="2"/>
  </r>
  <r>
    <s v="L250"/>
    <s v="P087"/>
    <s v="T250"/>
    <d v="2022-03-04T00:00:00"/>
    <d v="2024-03-03T00:00:00"/>
    <n v="3911"/>
    <n v="15419"/>
    <n v="7.37"/>
    <s v="Active"/>
    <n v="0"/>
    <n v="-712"/>
    <x v="0"/>
  </r>
  <r>
    <s v="L251"/>
    <s v="P142"/>
    <s v="T251"/>
    <d v="2023-01-25T00:00:00"/>
    <d v="2024-01-25T00:00:00"/>
    <n v="3085"/>
    <n v="10295"/>
    <n v="5.97"/>
    <s v="Renewed"/>
    <n v="0"/>
    <n v="-750"/>
    <x v="0"/>
  </r>
  <r>
    <s v="L252"/>
    <s v="P007"/>
    <s v="T252"/>
    <d v="2022-06-29T00:00:00"/>
    <d v="2024-06-28T00:00:00"/>
    <n v="6636"/>
    <n v="5365"/>
    <n v="7.96"/>
    <s v="Active"/>
    <n v="0"/>
    <n v="-595"/>
    <x v="0"/>
  </r>
  <r>
    <s v="L255"/>
    <s v="P019"/>
    <s v="T255"/>
    <d v="2022-07-10T00:00:00"/>
    <d v="2024-07-09T00:00:00"/>
    <n v="6452"/>
    <n v="16345"/>
    <n v="3.47"/>
    <s v="Active"/>
    <n v="0"/>
    <n v="-584"/>
    <x v="0"/>
  </r>
  <r>
    <s v="L256"/>
    <s v="P019"/>
    <s v="T256"/>
    <d v="2022-04-08T00:00:00"/>
    <d v="2023-04-08T00:00:00"/>
    <n v="5994"/>
    <n v="6394"/>
    <n v="6.21"/>
    <s v="Renewed"/>
    <n v="0"/>
    <n v="-1042"/>
    <x v="0"/>
  </r>
  <r>
    <s v="L259"/>
    <s v="P147"/>
    <s v="T259"/>
    <d v="2023-01-11T00:00:00"/>
    <d v="2024-01-11T00:00:00"/>
    <n v="3485"/>
    <n v="14030"/>
    <n v="4.12"/>
    <s v="Renewed"/>
    <n v="0"/>
    <n v="-764"/>
    <x v="0"/>
  </r>
  <r>
    <s v="L263"/>
    <s v="P081"/>
    <s v="T263"/>
    <d v="2022-12-26T00:00:00"/>
    <d v="2025-12-25T00:00:00"/>
    <n v="5955"/>
    <n v="8893"/>
    <n v="5.55"/>
    <s v="Renewed"/>
    <n v="0"/>
    <n v="-50"/>
    <x v="0"/>
  </r>
  <r>
    <s v="L264"/>
    <s v="P063"/>
    <s v="T264"/>
    <d v="2022-01-12T00:00:00"/>
    <d v="2025-01-11T00:00:00"/>
    <n v="2803"/>
    <n v="5895"/>
    <n v="5.09"/>
    <s v="Renewed"/>
    <n v="0"/>
    <n v="-398"/>
    <x v="0"/>
  </r>
  <r>
    <s v="L265"/>
    <s v="P100"/>
    <s v="T265"/>
    <d v="2022-12-16T00:00:00"/>
    <d v="2024-12-15T00:00:00"/>
    <n v="3478"/>
    <n v="15839"/>
    <n v="6.9"/>
    <s v="Active"/>
    <n v="0"/>
    <n v="-425"/>
    <x v="0"/>
  </r>
  <r>
    <s v="L266"/>
    <s v="P069"/>
    <s v="T266"/>
    <d v="2022-01-25T00:00:00"/>
    <d v="2024-01-25T00:00:00"/>
    <n v="5891"/>
    <n v="19740"/>
    <n v="6.08"/>
    <s v="Renewed"/>
    <n v="0"/>
    <n v="-750"/>
    <x v="0"/>
  </r>
  <r>
    <s v="L267"/>
    <s v="P118"/>
    <s v="T267"/>
    <d v="2022-07-05T00:00:00"/>
    <d v="2023-07-05T00:00:00"/>
    <n v="4153"/>
    <n v="13106"/>
    <n v="5.71"/>
    <s v="Active"/>
    <n v="0"/>
    <n v="-954"/>
    <x v="0"/>
  </r>
  <r>
    <s v="L269"/>
    <s v="P003"/>
    <s v="T269"/>
    <d v="2023-04-03T00:00:00"/>
    <d v="2024-04-02T00:00:00"/>
    <n v="4290"/>
    <n v="15770"/>
    <n v="3.04"/>
    <s v="Renewed"/>
    <n v="0"/>
    <n v="-682"/>
    <x v="0"/>
  </r>
  <r>
    <s v="L270"/>
    <s v="P022"/>
    <s v="T270"/>
    <d v="2023-05-03T00:00:00"/>
    <d v="2024-05-02T00:00:00"/>
    <n v="6024"/>
    <n v="7908"/>
    <n v="5.42"/>
    <s v="Active"/>
    <n v="0"/>
    <n v="-652"/>
    <x v="0"/>
  </r>
  <r>
    <s v="L271"/>
    <s v="P045"/>
    <s v="T271"/>
    <d v="2022-03-29T00:00:00"/>
    <d v="2024-03-28T00:00:00"/>
    <n v="5341"/>
    <n v="9380"/>
    <n v="7.35"/>
    <s v="Renewed"/>
    <n v="0"/>
    <n v="-687"/>
    <x v="0"/>
  </r>
  <r>
    <s v="L272"/>
    <s v="P011"/>
    <s v="T272"/>
    <d v="2023-04-07T00:00:00"/>
    <d v="2025-04-06T00:00:00"/>
    <n v="2708"/>
    <n v="5158"/>
    <n v="4.82"/>
    <s v="Active"/>
    <n v="0"/>
    <n v="-313"/>
    <x v="0"/>
  </r>
  <r>
    <s v="L273"/>
    <s v="P039"/>
    <s v="T273"/>
    <d v="2022-07-27T00:00:00"/>
    <d v="2023-07-27T00:00:00"/>
    <n v="3656"/>
    <n v="13134"/>
    <n v="4.8600000000000003"/>
    <s v="Renewed"/>
    <n v="0"/>
    <n v="-932"/>
    <x v="0"/>
  </r>
  <r>
    <s v="L274"/>
    <s v="P095"/>
    <s v="T274"/>
    <d v="2022-08-25T00:00:00"/>
    <d v="2023-08-25T00:00:00"/>
    <n v="4060"/>
    <n v="6383"/>
    <n v="3.8"/>
    <s v="Renewed"/>
    <n v="0"/>
    <n v="-903"/>
    <x v="0"/>
  </r>
  <r>
    <s v="L275"/>
    <s v="P100"/>
    <s v="T275"/>
    <d v="2023-08-05T00:00:00"/>
    <d v="2025-08-04T00:00:00"/>
    <n v="6156"/>
    <n v="14272"/>
    <n v="4.6399999999999997"/>
    <s v="Active"/>
    <n v="0"/>
    <n v="-193"/>
    <x v="0"/>
  </r>
  <r>
    <s v="L276"/>
    <s v="P024"/>
    <s v="T276"/>
    <d v="2022-12-13T00:00:00"/>
    <d v="2024-12-12T00:00:00"/>
    <n v="2509"/>
    <n v="13562"/>
    <n v="7.66"/>
    <s v="Renewed"/>
    <n v="0"/>
    <n v="-428"/>
    <x v="0"/>
  </r>
  <r>
    <s v="L277"/>
    <s v="P106"/>
    <s v="T277"/>
    <d v="2022-10-07T00:00:00"/>
    <d v="2023-10-07T00:00:00"/>
    <n v="4214"/>
    <n v="9555"/>
    <n v="5.7"/>
    <s v="Renewed"/>
    <n v="0"/>
    <n v="-860"/>
    <x v="0"/>
  </r>
  <r>
    <s v="L278"/>
    <s v="P100"/>
    <s v="T278"/>
    <d v="2022-06-10T00:00:00"/>
    <d v="2025-06-09T00:00:00"/>
    <n v="3545"/>
    <n v="6932"/>
    <n v="5.47"/>
    <s v="Renewed"/>
    <n v="0"/>
    <n v="-249"/>
    <x v="0"/>
  </r>
  <r>
    <s v="L279"/>
    <s v="P132"/>
    <s v="T279"/>
    <d v="2022-07-31T00:00:00"/>
    <d v="2025-07-30T00:00:00"/>
    <n v="6745"/>
    <n v="12133"/>
    <n v="5.26"/>
    <s v="Active"/>
    <n v="0"/>
    <n v="-198"/>
    <x v="0"/>
  </r>
  <r>
    <s v="L280"/>
    <s v="P035"/>
    <s v="T280"/>
    <d v="2022-12-06T00:00:00"/>
    <d v="2024-12-05T00:00:00"/>
    <n v="4549"/>
    <n v="12083"/>
    <n v="4.42"/>
    <s v="Renewed"/>
    <n v="0"/>
    <n v="-435"/>
    <x v="0"/>
  </r>
  <r>
    <s v="L281"/>
    <s v="P020"/>
    <s v="T281"/>
    <d v="2022-08-03T00:00:00"/>
    <d v="2023-08-03T00:00:00"/>
    <n v="6950"/>
    <n v="6721"/>
    <n v="5.57"/>
    <s v="Renewed"/>
    <n v="0"/>
    <n v="-925"/>
    <x v="0"/>
  </r>
  <r>
    <s v="L283"/>
    <s v="P060"/>
    <s v="T283"/>
    <d v="2023-01-30T00:00:00"/>
    <d v="2026-01-29T00:00:00"/>
    <n v="2819"/>
    <n v="6889"/>
    <n v="4.8099999999999996"/>
    <s v="Active"/>
    <n v="0"/>
    <n v="-15"/>
    <x v="0"/>
  </r>
  <r>
    <s v="L284"/>
    <s v="P006"/>
    <s v="T284"/>
    <d v="2023-11-07T00:00:00"/>
    <d v="2024-11-06T00:00:00"/>
    <n v="4959"/>
    <n v="16904"/>
    <n v="7.5"/>
    <s v="Active"/>
    <n v="0"/>
    <n v="-464"/>
    <x v="0"/>
  </r>
  <r>
    <s v="L285"/>
    <s v="P067"/>
    <s v="T285"/>
    <d v="2022-04-01T00:00:00"/>
    <d v="2024-03-31T00:00:00"/>
    <n v="3043"/>
    <n v="7843"/>
    <n v="4.55"/>
    <s v="Renewed"/>
    <n v="0"/>
    <n v="-684"/>
    <x v="0"/>
  </r>
  <r>
    <s v="L287"/>
    <s v="P054"/>
    <s v="T287"/>
    <d v="2022-06-05T00:00:00"/>
    <d v="2023-06-05T00:00:00"/>
    <n v="6687"/>
    <n v="7994"/>
    <n v="3.43"/>
    <s v="Active"/>
    <n v="0"/>
    <n v="-984"/>
    <x v="0"/>
  </r>
  <r>
    <s v="L289"/>
    <s v="P145"/>
    <s v="T289"/>
    <d v="2023-10-11T00:00:00"/>
    <d v="2025-10-10T00:00:00"/>
    <n v="5639"/>
    <n v="15262"/>
    <n v="4.41"/>
    <s v="Active"/>
    <n v="0"/>
    <n v="-126"/>
    <x v="0"/>
  </r>
  <r>
    <s v="L291"/>
    <s v="P092"/>
    <s v="T291"/>
    <d v="2022-08-14T00:00:00"/>
    <d v="2024-08-13T00:00:00"/>
    <n v="5318"/>
    <n v="7820"/>
    <n v="4.24"/>
    <s v="Active"/>
    <n v="0"/>
    <n v="-549"/>
    <x v="0"/>
  </r>
  <r>
    <s v="L292"/>
    <s v="P067"/>
    <s v="T292"/>
    <d v="2022-11-28T00:00:00"/>
    <d v="2025-11-27T00:00:00"/>
    <n v="3786"/>
    <n v="10771"/>
    <n v="6.98"/>
    <s v="Active"/>
    <n v="0"/>
    <n v="-78"/>
    <x v="0"/>
  </r>
  <r>
    <s v="L293"/>
    <s v="P075"/>
    <s v="T293"/>
    <d v="2022-06-06T00:00:00"/>
    <d v="2024-06-05T00:00:00"/>
    <n v="4650"/>
    <n v="6618"/>
    <n v="6.41"/>
    <s v="Renewed"/>
    <n v="0"/>
    <n v="-618"/>
    <x v="0"/>
  </r>
  <r>
    <s v="L294"/>
    <s v="P118"/>
    <s v="T294"/>
    <d v="2022-11-17T00:00:00"/>
    <d v="2023-11-17T00:00:00"/>
    <n v="2225"/>
    <n v="5108"/>
    <n v="4.9800000000000004"/>
    <s v="Renewed"/>
    <n v="0"/>
    <n v="-819"/>
    <x v="0"/>
  </r>
  <r>
    <s v="L296"/>
    <s v="P125"/>
    <s v="T296"/>
    <d v="2022-07-05T00:00:00"/>
    <d v="2023-07-05T00:00:00"/>
    <n v="4895"/>
    <n v="5647"/>
    <n v="5.3"/>
    <s v="Renewed"/>
    <n v="0"/>
    <n v="-954"/>
    <x v="0"/>
  </r>
  <r>
    <s v="L298"/>
    <s v="P009"/>
    <s v="T298"/>
    <d v="2023-08-09T00:00:00"/>
    <d v="2025-08-08T00:00:00"/>
    <n v="4757"/>
    <n v="13927"/>
    <n v="7.69"/>
    <s v="Active"/>
    <n v="0"/>
    <n v="-189"/>
    <x v="0"/>
  </r>
  <r>
    <s v="L299"/>
    <s v="P119"/>
    <s v="T299"/>
    <d v="2022-03-08T00:00:00"/>
    <d v="2024-03-07T00:00:00"/>
    <n v="5535"/>
    <n v="6607"/>
    <n v="7.88"/>
    <s v="Renewed"/>
    <n v="0"/>
    <n v="-708"/>
    <x v="0"/>
  </r>
  <r>
    <s v="L053"/>
    <s v="P102"/>
    <s v="T053"/>
    <d v="2023-02-16T00:00:00"/>
    <d v="2026-02-15T00:00:00"/>
    <n v="3154"/>
    <n v="14702"/>
    <n v="5.62"/>
    <s v="Expired"/>
    <n v="-2"/>
    <n v="2"/>
    <x v="2"/>
  </r>
  <r>
    <s v="L297"/>
    <s v="P126"/>
    <s v="T297"/>
    <d v="2023-03-05T00:00:00"/>
    <d v="2026-03-04T00:00:00"/>
    <n v="5340"/>
    <n v="11134"/>
    <n v="3.79"/>
    <s v="Expired"/>
    <n v="-19"/>
    <n v="19"/>
    <x v="2"/>
  </r>
  <r>
    <s v="L145"/>
    <s v="P033"/>
    <s v="T145"/>
    <d v="2023-03-08T00:00:00"/>
    <d v="2026-03-07T00:00:00"/>
    <n v="4011"/>
    <n v="10131"/>
    <n v="4.16"/>
    <s v="Expired"/>
    <n v="-22"/>
    <n v="22"/>
    <x v="2"/>
  </r>
  <r>
    <s v="L223"/>
    <s v="P149"/>
    <s v="T223"/>
    <d v="2023-03-16T00:00:00"/>
    <d v="2026-03-15T00:00:00"/>
    <n v="2676"/>
    <n v="6872"/>
    <n v="3.33"/>
    <s v="Expired"/>
    <n v="-30"/>
    <n v="30"/>
    <x v="3"/>
  </r>
  <r>
    <s v="L017"/>
    <s v="P054"/>
    <s v="T017"/>
    <d v="2023-03-25T00:00:00"/>
    <d v="2026-03-24T00:00:00"/>
    <n v="6676"/>
    <n v="11146"/>
    <n v="4.1399999999999997"/>
    <s v="Expired"/>
    <n v="-39"/>
    <n v="39"/>
    <x v="3"/>
  </r>
  <r>
    <s v="L105"/>
    <s v="P059"/>
    <s v="T105"/>
    <d v="2023-04-19T00:00:00"/>
    <d v="2026-04-18T00:00:00"/>
    <n v="2779"/>
    <n v="9200"/>
    <n v="4.93"/>
    <s v="Expired"/>
    <n v="-64"/>
    <n v="64"/>
    <x v="1"/>
  </r>
  <r>
    <s v="L027"/>
    <s v="P004"/>
    <s v="T027"/>
    <d v="2023-04-21T00:00:00"/>
    <d v="2026-04-20T00:00:00"/>
    <n v="4208"/>
    <n v="5643"/>
    <n v="4.84"/>
    <s v="Expired"/>
    <n v="-66"/>
    <n v="66"/>
    <x v="1"/>
  </r>
  <r>
    <s v="L140"/>
    <s v="P127"/>
    <s v="T140"/>
    <d v="2023-04-23T00:00:00"/>
    <d v="2026-04-22T00:00:00"/>
    <n v="6641"/>
    <n v="5163"/>
    <n v="3"/>
    <s v="Expired"/>
    <n v="-68"/>
    <n v="68"/>
    <x v="1"/>
  </r>
  <r>
    <s v="L183"/>
    <s v="P127"/>
    <s v="T183"/>
    <d v="2023-04-23T00:00:00"/>
    <d v="2026-04-22T00:00:00"/>
    <n v="4984"/>
    <n v="17523"/>
    <n v="6.96"/>
    <s v="Expired"/>
    <n v="-68"/>
    <n v="68"/>
    <x v="1"/>
  </r>
  <r>
    <s v="L169"/>
    <s v="P040"/>
    <s v="T169"/>
    <d v="2023-04-25T00:00:00"/>
    <d v="2026-04-24T00:00:00"/>
    <n v="5878"/>
    <n v="16626"/>
    <n v="5.13"/>
    <s v="Expired"/>
    <n v="-70"/>
    <n v="70"/>
    <x v="1"/>
  </r>
  <r>
    <s v="L222"/>
    <s v="P093"/>
    <s v="T222"/>
    <d v="2023-05-26T00:00:00"/>
    <d v="2026-05-25T00:00:00"/>
    <n v="2810"/>
    <n v="13718"/>
    <n v="5.08"/>
    <s v="Expired"/>
    <n v="-101"/>
    <n v="101"/>
    <x v="1"/>
  </r>
  <r>
    <s v="L031"/>
    <s v="P141"/>
    <s v="T031"/>
    <d v="2023-06-10T00:00:00"/>
    <d v="2026-06-09T00:00:00"/>
    <n v="4428"/>
    <n v="5720"/>
    <n v="4.17"/>
    <s v="Expired"/>
    <n v="-116"/>
    <n v="116"/>
    <x v="1"/>
  </r>
  <r>
    <s v="L249"/>
    <s v="P129"/>
    <s v="T249"/>
    <d v="2023-07-13T00:00:00"/>
    <d v="2026-07-12T00:00:00"/>
    <n v="6804"/>
    <n v="6134"/>
    <n v="4.79"/>
    <s v="Expired"/>
    <n v="-149"/>
    <n v="149"/>
    <x v="1"/>
  </r>
  <r>
    <s v="L082"/>
    <s v="P044"/>
    <s v="T082"/>
    <d v="2023-07-26T00:00:00"/>
    <d v="2026-07-25T00:00:00"/>
    <n v="2531"/>
    <n v="11405"/>
    <n v="6.82"/>
    <s v="Expired"/>
    <n v="-162"/>
    <n v="162"/>
    <x v="1"/>
  </r>
  <r>
    <s v="L054"/>
    <s v="P011"/>
    <s v="T054"/>
    <d v="2023-08-28T00:00:00"/>
    <d v="2026-08-27T00:00:00"/>
    <n v="6918"/>
    <n v="13212"/>
    <n v="4.8600000000000003"/>
    <s v="Expired"/>
    <n v="-195"/>
    <n v="195"/>
    <x v="1"/>
  </r>
  <r>
    <s v="L141"/>
    <s v="P010"/>
    <s v="T141"/>
    <d v="2023-09-01T00:00:00"/>
    <d v="2026-08-31T00:00:00"/>
    <n v="3733"/>
    <n v="17022"/>
    <n v="3.7"/>
    <s v="Expired"/>
    <n v="-199"/>
    <n v="199"/>
    <x v="1"/>
  </r>
  <r>
    <s v="L207"/>
    <s v="P116"/>
    <s v="T207"/>
    <d v="2023-09-23T00:00:00"/>
    <d v="2026-09-22T00:00:00"/>
    <n v="2773"/>
    <n v="15482"/>
    <n v="7.05"/>
    <s v="Expired"/>
    <n v="-221"/>
    <n v="221"/>
    <x v="1"/>
  </r>
  <r>
    <s v="L257"/>
    <s v="P130"/>
    <s v="T257"/>
    <d v="2023-11-02T00:00:00"/>
    <d v="2026-11-01T00:00:00"/>
    <n v="2196"/>
    <n v="10210"/>
    <n v="5.57"/>
    <s v="Expired"/>
    <n v="-261"/>
    <n v="261"/>
    <x v="1"/>
  </r>
  <r>
    <s v="L132"/>
    <s v="P052"/>
    <s v="T132"/>
    <d v="2023-11-14T00:00:00"/>
    <d v="2026-11-13T00:00:00"/>
    <n v="3495"/>
    <n v="14535"/>
    <n v="5.52"/>
    <s v="Expired"/>
    <n v="-273"/>
    <n v="273"/>
    <x v="1"/>
  </r>
  <r>
    <s v="L204"/>
    <s v="P007"/>
    <s v="T204"/>
    <d v="2023-11-28T00:00:00"/>
    <d v="2026-11-27T00:00:00"/>
    <n v="2299"/>
    <n v="10143"/>
    <n v="7.4"/>
    <s v="Expired"/>
    <n v="-287"/>
    <n v="287"/>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d v="2025-12-08T00:00:00"/>
    <x v="0"/>
    <x v="0"/>
    <x v="0"/>
    <n v="16"/>
  </r>
  <r>
    <x v="1"/>
    <d v="2025-07-01T00:00:00"/>
    <x v="1"/>
    <x v="0"/>
    <x v="1"/>
    <n v="17"/>
  </r>
  <r>
    <x v="2"/>
    <d v="2025-01-09T00:00:00"/>
    <x v="1"/>
    <x v="1"/>
    <x v="2"/>
    <n v="17"/>
  </r>
  <r>
    <x v="3"/>
    <d v="2025-07-24T00:00:00"/>
    <x v="2"/>
    <x v="2"/>
    <x v="3"/>
    <n v="9"/>
  </r>
  <r>
    <x v="4"/>
    <d v="2025-06-21T00:00:00"/>
    <x v="1"/>
    <x v="0"/>
    <x v="4"/>
    <n v="4"/>
  </r>
  <r>
    <x v="5"/>
    <d v="2025-07-22T00:00:00"/>
    <x v="0"/>
    <x v="0"/>
    <x v="5"/>
    <n v="3"/>
  </r>
  <r>
    <x v="6"/>
    <d v="2025-09-22T00:00:00"/>
    <x v="0"/>
    <x v="0"/>
    <x v="6"/>
    <n v="9"/>
  </r>
  <r>
    <x v="7"/>
    <d v="2025-02-16T00:00:00"/>
    <x v="1"/>
    <x v="0"/>
    <x v="7"/>
    <n v="9"/>
  </r>
  <r>
    <x v="8"/>
    <d v="2025-02-10T00:00:00"/>
    <x v="0"/>
    <x v="1"/>
    <x v="8"/>
    <n v="7"/>
  </r>
  <r>
    <x v="9"/>
    <d v="2025-09-12T00:00:00"/>
    <x v="3"/>
    <x v="1"/>
    <x v="9"/>
    <n v="20"/>
  </r>
  <r>
    <x v="10"/>
    <d v="2025-05-03T00:00:00"/>
    <x v="1"/>
    <x v="2"/>
    <x v="10"/>
    <n v="2"/>
  </r>
  <r>
    <x v="11"/>
    <d v="2025-03-25T00:00:00"/>
    <x v="2"/>
    <x v="2"/>
    <x v="11"/>
    <n v="3"/>
  </r>
  <r>
    <x v="12"/>
    <d v="2025-08-27T00:00:00"/>
    <x v="1"/>
    <x v="1"/>
    <x v="12"/>
    <n v="10"/>
  </r>
  <r>
    <x v="13"/>
    <d v="2025-11-09T00:00:00"/>
    <x v="2"/>
    <x v="1"/>
    <x v="13"/>
    <n v="8"/>
  </r>
  <r>
    <x v="14"/>
    <d v="2025-08-21T00:00:00"/>
    <x v="0"/>
    <x v="2"/>
    <x v="14"/>
    <n v="1"/>
  </r>
  <r>
    <x v="15"/>
    <d v="2025-09-14T00:00:00"/>
    <x v="3"/>
    <x v="1"/>
    <x v="15"/>
    <n v="12"/>
  </r>
  <r>
    <x v="16"/>
    <d v="2025-07-24T00:00:00"/>
    <x v="3"/>
    <x v="2"/>
    <x v="16"/>
    <n v="13"/>
  </r>
  <r>
    <x v="17"/>
    <d v="2025-12-24T00:00:00"/>
    <x v="0"/>
    <x v="1"/>
    <x v="17"/>
    <n v="16"/>
  </r>
  <r>
    <x v="18"/>
    <d v="2025-01-22T00:00:00"/>
    <x v="3"/>
    <x v="2"/>
    <x v="18"/>
    <n v="6"/>
  </r>
  <r>
    <x v="19"/>
    <d v="2025-08-11T00:00:00"/>
    <x v="2"/>
    <x v="0"/>
    <x v="19"/>
    <n v="18"/>
  </r>
  <r>
    <x v="20"/>
    <d v="2025-12-23T00:00:00"/>
    <x v="0"/>
    <x v="1"/>
    <x v="20"/>
    <n v="11"/>
  </r>
  <r>
    <x v="21"/>
    <d v="2025-03-15T00:00:00"/>
    <x v="2"/>
    <x v="1"/>
    <x v="21"/>
    <n v="15"/>
  </r>
  <r>
    <x v="22"/>
    <d v="2025-08-18T00:00:00"/>
    <x v="2"/>
    <x v="1"/>
    <x v="22"/>
    <n v="19"/>
  </r>
  <r>
    <x v="23"/>
    <d v="2025-11-04T00:00:00"/>
    <x v="1"/>
    <x v="2"/>
    <x v="23"/>
    <n v="20"/>
  </r>
  <r>
    <x v="24"/>
    <d v="2025-07-26T00:00:00"/>
    <x v="2"/>
    <x v="0"/>
    <x v="24"/>
    <n v="5"/>
  </r>
  <r>
    <x v="19"/>
    <d v="2025-09-02T00:00:00"/>
    <x v="3"/>
    <x v="0"/>
    <x v="25"/>
    <n v="10"/>
  </r>
  <r>
    <x v="25"/>
    <d v="2025-06-28T00:00:00"/>
    <x v="3"/>
    <x v="1"/>
    <x v="26"/>
    <n v="15"/>
  </r>
  <r>
    <x v="26"/>
    <d v="2025-04-10T00:00:00"/>
    <x v="1"/>
    <x v="2"/>
    <x v="27"/>
    <n v="13"/>
  </r>
  <r>
    <x v="23"/>
    <d v="2025-03-13T00:00:00"/>
    <x v="1"/>
    <x v="0"/>
    <x v="28"/>
    <n v="6"/>
  </r>
  <r>
    <x v="27"/>
    <d v="2025-08-16T00:00:00"/>
    <x v="3"/>
    <x v="0"/>
    <x v="29"/>
    <n v="15"/>
  </r>
  <r>
    <x v="28"/>
    <d v="2025-07-12T00:00:00"/>
    <x v="3"/>
    <x v="0"/>
    <x v="30"/>
    <n v="4"/>
  </r>
  <r>
    <x v="21"/>
    <d v="2025-07-18T00:00:00"/>
    <x v="2"/>
    <x v="0"/>
    <x v="31"/>
    <n v="1"/>
  </r>
  <r>
    <x v="29"/>
    <d v="2025-03-05T00:00:00"/>
    <x v="0"/>
    <x v="1"/>
    <x v="32"/>
    <n v="18"/>
  </r>
  <r>
    <x v="30"/>
    <d v="2025-10-16T00:00:00"/>
    <x v="1"/>
    <x v="1"/>
    <x v="33"/>
    <n v="18"/>
  </r>
  <r>
    <x v="31"/>
    <d v="2025-04-09T00:00:00"/>
    <x v="1"/>
    <x v="2"/>
    <x v="34"/>
    <n v="20"/>
  </r>
  <r>
    <x v="32"/>
    <d v="2025-03-13T00:00:00"/>
    <x v="3"/>
    <x v="2"/>
    <x v="35"/>
    <n v="17"/>
  </r>
  <r>
    <x v="31"/>
    <d v="2025-07-23T00:00:00"/>
    <x v="3"/>
    <x v="0"/>
    <x v="36"/>
    <n v="5"/>
  </r>
  <r>
    <x v="33"/>
    <d v="2025-10-18T00:00:00"/>
    <x v="0"/>
    <x v="0"/>
    <x v="37"/>
    <n v="4"/>
  </r>
  <r>
    <x v="34"/>
    <d v="2025-04-28T00:00:00"/>
    <x v="0"/>
    <x v="0"/>
    <x v="38"/>
    <n v="3"/>
  </r>
  <r>
    <x v="35"/>
    <d v="2025-11-02T00:00:00"/>
    <x v="0"/>
    <x v="2"/>
    <x v="39"/>
    <n v="8"/>
  </r>
  <r>
    <x v="36"/>
    <d v="2025-03-16T00:00:00"/>
    <x v="0"/>
    <x v="0"/>
    <x v="40"/>
    <n v="6"/>
  </r>
  <r>
    <x v="25"/>
    <d v="2025-01-09T00:00:00"/>
    <x v="0"/>
    <x v="2"/>
    <x v="41"/>
    <n v="16"/>
  </r>
  <r>
    <x v="33"/>
    <d v="2025-03-23T00:00:00"/>
    <x v="1"/>
    <x v="1"/>
    <x v="42"/>
    <n v="10"/>
  </r>
  <r>
    <x v="29"/>
    <d v="2025-12-13T00:00:00"/>
    <x v="3"/>
    <x v="1"/>
    <x v="43"/>
    <n v="2"/>
  </r>
  <r>
    <x v="37"/>
    <d v="2025-09-03T00:00:00"/>
    <x v="1"/>
    <x v="0"/>
    <x v="44"/>
    <n v="18"/>
  </r>
  <r>
    <x v="15"/>
    <d v="2025-07-15T00:00:00"/>
    <x v="1"/>
    <x v="1"/>
    <x v="45"/>
    <n v="7"/>
  </r>
  <r>
    <x v="37"/>
    <d v="2025-11-21T00:00:00"/>
    <x v="3"/>
    <x v="1"/>
    <x v="46"/>
    <n v="14"/>
  </r>
  <r>
    <x v="38"/>
    <d v="2025-06-07T00:00:00"/>
    <x v="2"/>
    <x v="2"/>
    <x v="47"/>
    <n v="14"/>
  </r>
  <r>
    <x v="39"/>
    <d v="2025-03-17T00:00:00"/>
    <x v="2"/>
    <x v="1"/>
    <x v="48"/>
    <n v="4"/>
  </r>
  <r>
    <x v="33"/>
    <d v="2025-05-14T00:00:00"/>
    <x v="1"/>
    <x v="2"/>
    <x v="49"/>
    <n v="12"/>
  </r>
  <r>
    <x v="40"/>
    <d v="2025-10-18T00:00:00"/>
    <x v="0"/>
    <x v="1"/>
    <x v="50"/>
    <n v="16"/>
  </r>
  <r>
    <x v="41"/>
    <d v="2025-09-22T00:00:00"/>
    <x v="3"/>
    <x v="0"/>
    <x v="51"/>
    <n v="10"/>
  </r>
  <r>
    <x v="42"/>
    <d v="2025-05-20T00:00:00"/>
    <x v="2"/>
    <x v="1"/>
    <x v="52"/>
    <n v="19"/>
  </r>
  <r>
    <x v="43"/>
    <d v="2025-03-15T00:00:00"/>
    <x v="3"/>
    <x v="0"/>
    <x v="53"/>
    <n v="7"/>
  </r>
  <r>
    <x v="44"/>
    <d v="2025-03-15T00:00:00"/>
    <x v="3"/>
    <x v="2"/>
    <x v="54"/>
    <n v="12"/>
  </r>
  <r>
    <x v="6"/>
    <d v="2025-05-12T00:00:00"/>
    <x v="1"/>
    <x v="0"/>
    <x v="55"/>
    <n v="4"/>
  </r>
  <r>
    <x v="45"/>
    <d v="2025-01-23T00:00:00"/>
    <x v="1"/>
    <x v="0"/>
    <x v="56"/>
    <n v="9"/>
  </r>
  <r>
    <x v="46"/>
    <d v="2025-01-25T00:00:00"/>
    <x v="1"/>
    <x v="2"/>
    <x v="57"/>
    <n v="6"/>
  </r>
  <r>
    <x v="22"/>
    <d v="2025-04-06T00:00:00"/>
    <x v="2"/>
    <x v="2"/>
    <x v="58"/>
    <n v="10"/>
  </r>
  <r>
    <x v="14"/>
    <d v="2025-10-05T00:00:00"/>
    <x v="0"/>
    <x v="1"/>
    <x v="59"/>
    <n v="7"/>
  </r>
  <r>
    <x v="41"/>
    <d v="2025-12-13T00:00:00"/>
    <x v="3"/>
    <x v="2"/>
    <x v="60"/>
    <n v="2"/>
  </r>
  <r>
    <x v="47"/>
    <d v="2025-12-04T00:00:00"/>
    <x v="1"/>
    <x v="2"/>
    <x v="61"/>
    <n v="16"/>
  </r>
  <r>
    <x v="48"/>
    <d v="2025-01-28T00:00:00"/>
    <x v="0"/>
    <x v="0"/>
    <x v="62"/>
    <n v="19"/>
  </r>
  <r>
    <x v="49"/>
    <d v="2025-02-19T00:00:00"/>
    <x v="1"/>
    <x v="1"/>
    <x v="63"/>
    <n v="12"/>
  </r>
  <r>
    <x v="50"/>
    <d v="2025-05-21T00:00:00"/>
    <x v="1"/>
    <x v="2"/>
    <x v="64"/>
    <n v="13"/>
  </r>
  <r>
    <x v="51"/>
    <d v="2025-06-18T00:00:00"/>
    <x v="1"/>
    <x v="0"/>
    <x v="65"/>
    <n v="10"/>
  </r>
  <r>
    <x v="10"/>
    <d v="2025-08-13T00:00:00"/>
    <x v="0"/>
    <x v="0"/>
    <x v="66"/>
    <n v="1"/>
  </r>
  <r>
    <x v="52"/>
    <d v="2025-01-15T00:00:00"/>
    <x v="0"/>
    <x v="2"/>
    <x v="67"/>
    <n v="11"/>
  </r>
  <r>
    <x v="23"/>
    <d v="2025-02-26T00:00:00"/>
    <x v="3"/>
    <x v="0"/>
    <x v="68"/>
    <n v="18"/>
  </r>
  <r>
    <x v="53"/>
    <d v="2025-07-25T00:00:00"/>
    <x v="1"/>
    <x v="0"/>
    <x v="69"/>
    <n v="8"/>
  </r>
  <r>
    <x v="54"/>
    <d v="2025-02-18T00:00:00"/>
    <x v="1"/>
    <x v="1"/>
    <x v="70"/>
    <n v="19"/>
  </r>
  <r>
    <x v="55"/>
    <d v="2025-09-06T00:00:00"/>
    <x v="1"/>
    <x v="1"/>
    <x v="71"/>
    <n v="4"/>
  </r>
  <r>
    <x v="27"/>
    <d v="2025-08-02T00:00:00"/>
    <x v="1"/>
    <x v="2"/>
    <x v="72"/>
    <n v="20"/>
  </r>
  <r>
    <x v="56"/>
    <d v="2025-05-11T00:00:00"/>
    <x v="0"/>
    <x v="0"/>
    <x v="73"/>
    <n v="14"/>
  </r>
  <r>
    <x v="11"/>
    <d v="2025-04-09T00:00:00"/>
    <x v="2"/>
    <x v="0"/>
    <x v="74"/>
    <n v="3"/>
  </r>
  <r>
    <x v="57"/>
    <d v="2025-12-14T00:00:00"/>
    <x v="0"/>
    <x v="0"/>
    <x v="75"/>
    <n v="20"/>
  </r>
  <r>
    <x v="58"/>
    <d v="2025-11-11T00:00:00"/>
    <x v="3"/>
    <x v="2"/>
    <x v="76"/>
    <n v="4"/>
  </r>
  <r>
    <x v="59"/>
    <d v="2025-05-04T00:00:00"/>
    <x v="0"/>
    <x v="2"/>
    <x v="77"/>
    <n v="8"/>
  </r>
  <r>
    <x v="60"/>
    <d v="2025-12-01T00:00:00"/>
    <x v="1"/>
    <x v="2"/>
    <x v="78"/>
    <n v="9"/>
  </r>
  <r>
    <x v="43"/>
    <d v="2025-07-06T00:00:00"/>
    <x v="0"/>
    <x v="0"/>
    <x v="79"/>
    <n v="17"/>
  </r>
  <r>
    <x v="61"/>
    <d v="2025-07-26T00:00:00"/>
    <x v="2"/>
    <x v="2"/>
    <x v="80"/>
    <n v="4"/>
  </r>
  <r>
    <x v="33"/>
    <d v="2025-08-13T00:00:00"/>
    <x v="2"/>
    <x v="0"/>
    <x v="81"/>
    <n v="18"/>
  </r>
  <r>
    <x v="24"/>
    <d v="2025-02-28T00:00:00"/>
    <x v="1"/>
    <x v="2"/>
    <x v="82"/>
    <n v="20"/>
  </r>
  <r>
    <x v="62"/>
    <d v="2025-02-21T00:00:00"/>
    <x v="2"/>
    <x v="2"/>
    <x v="83"/>
    <n v="18"/>
  </r>
  <r>
    <x v="63"/>
    <d v="2025-11-17T00:00:00"/>
    <x v="0"/>
    <x v="0"/>
    <x v="84"/>
    <n v="16"/>
  </r>
  <r>
    <x v="60"/>
    <d v="2025-02-22T00:00:00"/>
    <x v="1"/>
    <x v="2"/>
    <x v="85"/>
    <n v="9"/>
  </r>
  <r>
    <x v="37"/>
    <d v="2025-07-24T00:00:00"/>
    <x v="2"/>
    <x v="2"/>
    <x v="86"/>
    <n v="8"/>
  </r>
  <r>
    <x v="49"/>
    <d v="2025-09-18T00:00:00"/>
    <x v="2"/>
    <x v="2"/>
    <x v="87"/>
    <n v="18"/>
  </r>
  <r>
    <x v="64"/>
    <d v="2025-02-12T00:00:00"/>
    <x v="2"/>
    <x v="2"/>
    <x v="88"/>
    <n v="10"/>
  </r>
  <r>
    <x v="65"/>
    <d v="2025-10-10T00:00:00"/>
    <x v="1"/>
    <x v="0"/>
    <x v="89"/>
    <n v="4"/>
  </r>
  <r>
    <x v="7"/>
    <d v="2025-07-27T00:00:00"/>
    <x v="3"/>
    <x v="0"/>
    <x v="90"/>
    <n v="9"/>
  </r>
  <r>
    <x v="66"/>
    <d v="2025-02-22T00:00:00"/>
    <x v="3"/>
    <x v="0"/>
    <x v="91"/>
    <n v="12"/>
  </r>
  <r>
    <x v="67"/>
    <d v="2025-07-16T00:00:00"/>
    <x v="3"/>
    <x v="2"/>
    <x v="92"/>
    <n v="2"/>
  </r>
  <r>
    <x v="24"/>
    <d v="2025-07-16T00:00:00"/>
    <x v="2"/>
    <x v="0"/>
    <x v="93"/>
    <n v="11"/>
  </r>
  <r>
    <x v="68"/>
    <d v="2025-07-05T00:00:00"/>
    <x v="1"/>
    <x v="0"/>
    <x v="94"/>
    <n v="19"/>
  </r>
  <r>
    <x v="65"/>
    <d v="2025-06-02T00:00:00"/>
    <x v="0"/>
    <x v="2"/>
    <x v="95"/>
    <n v="16"/>
  </r>
  <r>
    <x v="38"/>
    <d v="2025-05-15T00:00:00"/>
    <x v="0"/>
    <x v="0"/>
    <x v="96"/>
    <n v="7"/>
  </r>
  <r>
    <x v="69"/>
    <d v="2025-06-27T00:00:00"/>
    <x v="1"/>
    <x v="0"/>
    <x v="97"/>
    <n v="18"/>
  </r>
  <r>
    <x v="70"/>
    <d v="2025-01-27T00:00:00"/>
    <x v="3"/>
    <x v="0"/>
    <x v="98"/>
    <n v="6"/>
  </r>
  <r>
    <x v="71"/>
    <d v="2025-08-22T00:00:00"/>
    <x v="1"/>
    <x v="2"/>
    <x v="99"/>
    <n v="19"/>
  </r>
  <r>
    <x v="62"/>
    <d v="2025-10-10T00:00:00"/>
    <x v="3"/>
    <x v="2"/>
    <x v="100"/>
    <n v="15"/>
  </r>
  <r>
    <x v="39"/>
    <d v="2025-04-19T00:00:00"/>
    <x v="0"/>
    <x v="2"/>
    <x v="101"/>
    <n v="14"/>
  </r>
  <r>
    <x v="52"/>
    <d v="2025-03-03T00:00:00"/>
    <x v="1"/>
    <x v="1"/>
    <x v="102"/>
    <n v="20"/>
  </r>
  <r>
    <x v="71"/>
    <d v="2025-10-04T00:00:00"/>
    <x v="2"/>
    <x v="0"/>
    <x v="103"/>
    <n v="15"/>
  </r>
  <r>
    <x v="72"/>
    <d v="2025-06-14T00:00:00"/>
    <x v="3"/>
    <x v="0"/>
    <x v="104"/>
    <n v="6"/>
  </r>
  <r>
    <x v="43"/>
    <d v="2025-01-23T00:00:00"/>
    <x v="3"/>
    <x v="0"/>
    <x v="105"/>
    <n v="2"/>
  </r>
  <r>
    <x v="49"/>
    <d v="2025-11-09T00:00:00"/>
    <x v="2"/>
    <x v="2"/>
    <x v="106"/>
    <n v="8"/>
  </r>
  <r>
    <x v="73"/>
    <d v="2025-06-08T00:00:00"/>
    <x v="2"/>
    <x v="0"/>
    <x v="107"/>
    <n v="18"/>
  </r>
  <r>
    <x v="40"/>
    <d v="2025-09-26T00:00:00"/>
    <x v="1"/>
    <x v="0"/>
    <x v="108"/>
    <n v="8"/>
  </r>
  <r>
    <x v="74"/>
    <d v="2025-04-21T00:00:00"/>
    <x v="1"/>
    <x v="2"/>
    <x v="109"/>
    <n v="20"/>
  </r>
  <r>
    <x v="24"/>
    <d v="2025-11-23T00:00:00"/>
    <x v="2"/>
    <x v="2"/>
    <x v="110"/>
    <n v="4"/>
  </r>
  <r>
    <x v="75"/>
    <d v="2025-09-05T00:00:00"/>
    <x v="2"/>
    <x v="2"/>
    <x v="111"/>
    <n v="20"/>
  </r>
  <r>
    <x v="72"/>
    <d v="2025-02-15T00:00:00"/>
    <x v="1"/>
    <x v="0"/>
    <x v="112"/>
    <n v="2"/>
  </r>
  <r>
    <x v="1"/>
    <d v="2025-11-28T00:00:00"/>
    <x v="3"/>
    <x v="0"/>
    <x v="113"/>
    <n v="8"/>
  </r>
  <r>
    <x v="76"/>
    <d v="2025-02-03T00:00:00"/>
    <x v="3"/>
    <x v="0"/>
    <x v="114"/>
    <n v="16"/>
  </r>
  <r>
    <x v="67"/>
    <d v="2025-04-11T00:00:00"/>
    <x v="0"/>
    <x v="2"/>
    <x v="115"/>
    <n v="3"/>
  </r>
  <r>
    <x v="35"/>
    <d v="2025-04-08T00:00:00"/>
    <x v="3"/>
    <x v="1"/>
    <x v="116"/>
    <n v="16"/>
  </r>
  <r>
    <x v="62"/>
    <d v="2025-04-05T00:00:00"/>
    <x v="1"/>
    <x v="2"/>
    <x v="117"/>
    <n v="13"/>
  </r>
  <r>
    <x v="39"/>
    <d v="2025-05-11T00:00:00"/>
    <x v="3"/>
    <x v="0"/>
    <x v="118"/>
    <n v="2"/>
  </r>
  <r>
    <x v="7"/>
    <d v="2025-12-01T00:00:00"/>
    <x v="3"/>
    <x v="2"/>
    <x v="119"/>
    <n v="8"/>
  </r>
  <r>
    <x v="12"/>
    <d v="2025-10-11T00:00:00"/>
    <x v="1"/>
    <x v="2"/>
    <x v="120"/>
    <n v="14"/>
  </r>
  <r>
    <x v="66"/>
    <d v="2025-06-07T00:00:00"/>
    <x v="2"/>
    <x v="2"/>
    <x v="121"/>
    <n v="6"/>
  </r>
  <r>
    <x v="77"/>
    <d v="2025-08-27T00:00:00"/>
    <x v="1"/>
    <x v="2"/>
    <x v="122"/>
    <n v="15"/>
  </r>
  <r>
    <x v="78"/>
    <d v="2025-11-26T00:00:00"/>
    <x v="1"/>
    <x v="1"/>
    <x v="123"/>
    <n v="5"/>
  </r>
  <r>
    <x v="35"/>
    <d v="2025-04-23T00:00:00"/>
    <x v="1"/>
    <x v="1"/>
    <x v="124"/>
    <n v="19"/>
  </r>
  <r>
    <x v="79"/>
    <d v="2025-05-12T00:00:00"/>
    <x v="2"/>
    <x v="2"/>
    <x v="125"/>
    <n v="2"/>
  </r>
  <r>
    <x v="54"/>
    <d v="2025-10-12T00:00:00"/>
    <x v="2"/>
    <x v="0"/>
    <x v="126"/>
    <n v="5"/>
  </r>
  <r>
    <x v="80"/>
    <d v="2025-02-07T00:00:00"/>
    <x v="2"/>
    <x v="2"/>
    <x v="127"/>
    <n v="15"/>
  </r>
  <r>
    <x v="2"/>
    <d v="2025-03-17T00:00:00"/>
    <x v="0"/>
    <x v="0"/>
    <x v="128"/>
    <n v="1"/>
  </r>
  <r>
    <x v="34"/>
    <d v="2025-02-04T00:00:00"/>
    <x v="1"/>
    <x v="1"/>
    <x v="129"/>
    <n v="2"/>
  </r>
  <r>
    <x v="81"/>
    <d v="2025-05-01T00:00:00"/>
    <x v="1"/>
    <x v="0"/>
    <x v="130"/>
    <n v="11"/>
  </r>
  <r>
    <x v="82"/>
    <d v="2025-09-16T00:00:00"/>
    <x v="2"/>
    <x v="2"/>
    <x v="131"/>
    <n v="10"/>
  </r>
  <r>
    <x v="63"/>
    <d v="2025-08-23T00:00:00"/>
    <x v="3"/>
    <x v="1"/>
    <x v="132"/>
    <n v="4"/>
  </r>
  <r>
    <x v="83"/>
    <d v="2025-04-20T00:00:00"/>
    <x v="2"/>
    <x v="0"/>
    <x v="133"/>
    <n v="17"/>
  </r>
  <r>
    <x v="66"/>
    <d v="2025-02-11T00:00:00"/>
    <x v="2"/>
    <x v="2"/>
    <x v="134"/>
    <n v="7"/>
  </r>
  <r>
    <x v="84"/>
    <d v="2025-08-09T00:00:00"/>
    <x v="3"/>
    <x v="0"/>
    <x v="135"/>
    <n v="20"/>
  </r>
  <r>
    <x v="4"/>
    <d v="2025-01-28T00:00:00"/>
    <x v="0"/>
    <x v="0"/>
    <x v="136"/>
    <n v="18"/>
  </r>
  <r>
    <x v="85"/>
    <d v="2025-02-15T00:00:00"/>
    <x v="2"/>
    <x v="2"/>
    <x v="137"/>
    <n v="6"/>
  </r>
  <r>
    <x v="46"/>
    <d v="2025-01-12T00:00:00"/>
    <x v="0"/>
    <x v="1"/>
    <x v="138"/>
    <n v="14"/>
  </r>
  <r>
    <x v="65"/>
    <d v="2025-01-27T00:00:00"/>
    <x v="2"/>
    <x v="0"/>
    <x v="139"/>
    <n v="4"/>
  </r>
  <r>
    <x v="86"/>
    <d v="2025-07-17T00:00:00"/>
    <x v="1"/>
    <x v="2"/>
    <x v="140"/>
    <n v="8"/>
  </r>
  <r>
    <x v="34"/>
    <d v="2025-02-27T00:00:00"/>
    <x v="2"/>
    <x v="2"/>
    <x v="141"/>
    <n v="19"/>
  </r>
  <r>
    <x v="87"/>
    <d v="2025-02-12T00:00:00"/>
    <x v="3"/>
    <x v="0"/>
    <x v="142"/>
    <n v="1"/>
  </r>
  <r>
    <x v="79"/>
    <d v="2025-07-11T00:00:00"/>
    <x v="2"/>
    <x v="2"/>
    <x v="143"/>
    <n v="8"/>
  </r>
  <r>
    <x v="65"/>
    <d v="2025-11-16T00:00:00"/>
    <x v="1"/>
    <x v="1"/>
    <x v="144"/>
    <n v="15"/>
  </r>
  <r>
    <x v="62"/>
    <d v="2025-03-16T00:00:00"/>
    <x v="2"/>
    <x v="0"/>
    <x v="145"/>
    <n v="4"/>
  </r>
  <r>
    <x v="88"/>
    <d v="2025-11-26T00:00:00"/>
    <x v="2"/>
    <x v="0"/>
    <x v="146"/>
    <n v="17"/>
  </r>
  <r>
    <x v="89"/>
    <d v="2025-02-22T00:00:00"/>
    <x v="1"/>
    <x v="2"/>
    <x v="147"/>
    <n v="15"/>
  </r>
  <r>
    <x v="90"/>
    <d v="2025-06-22T00:00:00"/>
    <x v="3"/>
    <x v="0"/>
    <x v="148"/>
    <n v="16"/>
  </r>
  <r>
    <x v="26"/>
    <d v="2025-01-03T00:00:00"/>
    <x v="3"/>
    <x v="0"/>
    <x v="149"/>
    <n v="8"/>
  </r>
  <r>
    <x v="91"/>
    <d v="2025-05-08T00:00:00"/>
    <x v="3"/>
    <x v="0"/>
    <x v="150"/>
    <n v="10"/>
  </r>
  <r>
    <x v="63"/>
    <d v="2025-05-09T00:00:00"/>
    <x v="1"/>
    <x v="0"/>
    <x v="151"/>
    <n v="8"/>
  </r>
  <r>
    <x v="16"/>
    <d v="2025-11-12T00:00:00"/>
    <x v="0"/>
    <x v="2"/>
    <x v="152"/>
    <n v="19"/>
  </r>
  <r>
    <x v="92"/>
    <d v="2025-05-21T00:00:00"/>
    <x v="1"/>
    <x v="0"/>
    <x v="153"/>
    <n v="8"/>
  </r>
  <r>
    <x v="17"/>
    <d v="2025-08-14T00:00:00"/>
    <x v="3"/>
    <x v="0"/>
    <x v="154"/>
    <n v="3"/>
  </r>
  <r>
    <x v="93"/>
    <d v="2025-08-02T00:00:00"/>
    <x v="1"/>
    <x v="0"/>
    <x v="155"/>
    <n v="2"/>
  </r>
  <r>
    <x v="94"/>
    <d v="2025-06-12T00:00:00"/>
    <x v="0"/>
    <x v="1"/>
    <x v="156"/>
    <n v="20"/>
  </r>
  <r>
    <x v="59"/>
    <d v="2025-06-28T00:00:00"/>
    <x v="1"/>
    <x v="0"/>
    <x v="157"/>
    <n v="11"/>
  </r>
  <r>
    <x v="52"/>
    <d v="2025-09-07T00:00:00"/>
    <x v="0"/>
    <x v="2"/>
    <x v="158"/>
    <n v="5"/>
  </r>
  <r>
    <x v="35"/>
    <d v="2025-05-09T00:00:00"/>
    <x v="3"/>
    <x v="1"/>
    <x v="159"/>
    <n v="18"/>
  </r>
  <r>
    <x v="95"/>
    <d v="2025-09-21T00:00:00"/>
    <x v="0"/>
    <x v="1"/>
    <x v="160"/>
    <n v="6"/>
  </r>
  <r>
    <x v="96"/>
    <d v="2025-04-11T00:00:00"/>
    <x v="1"/>
    <x v="2"/>
    <x v="161"/>
    <n v="20"/>
  </r>
  <r>
    <x v="21"/>
    <d v="2025-03-01T00:00:00"/>
    <x v="1"/>
    <x v="2"/>
    <x v="162"/>
    <n v="15"/>
  </r>
  <r>
    <x v="80"/>
    <d v="2025-04-02T00:00:00"/>
    <x v="0"/>
    <x v="1"/>
    <x v="163"/>
    <n v="5"/>
  </r>
  <r>
    <x v="60"/>
    <d v="2025-09-02T00:00:00"/>
    <x v="2"/>
    <x v="2"/>
    <x v="164"/>
    <n v="16"/>
  </r>
  <r>
    <x v="37"/>
    <d v="2025-02-21T00:00:00"/>
    <x v="3"/>
    <x v="2"/>
    <x v="165"/>
    <n v="11"/>
  </r>
  <r>
    <x v="97"/>
    <d v="2025-01-08T00:00:00"/>
    <x v="1"/>
    <x v="1"/>
    <x v="166"/>
    <n v="17"/>
  </r>
  <r>
    <x v="98"/>
    <d v="2025-01-06T00:00:00"/>
    <x v="3"/>
    <x v="2"/>
    <x v="167"/>
    <n v="18"/>
  </r>
  <r>
    <x v="99"/>
    <d v="2025-04-01T00:00:00"/>
    <x v="3"/>
    <x v="1"/>
    <x v="168"/>
    <n v="18"/>
  </r>
  <r>
    <x v="38"/>
    <d v="2025-12-02T00:00:00"/>
    <x v="3"/>
    <x v="1"/>
    <x v="169"/>
    <n v="7"/>
  </r>
  <r>
    <x v="50"/>
    <d v="2025-02-08T00:00:00"/>
    <x v="0"/>
    <x v="1"/>
    <x v="170"/>
    <n v="2"/>
  </r>
  <r>
    <x v="100"/>
    <d v="2025-12-09T00:00:00"/>
    <x v="1"/>
    <x v="0"/>
    <x v="171"/>
    <n v="7"/>
  </r>
  <r>
    <x v="101"/>
    <d v="2025-12-11T00:00:00"/>
    <x v="2"/>
    <x v="0"/>
    <x v="172"/>
    <n v="13"/>
  </r>
  <r>
    <x v="102"/>
    <d v="2025-11-14T00:00:00"/>
    <x v="3"/>
    <x v="1"/>
    <x v="173"/>
    <n v="6"/>
  </r>
  <r>
    <x v="57"/>
    <d v="2025-09-14T00:00:00"/>
    <x v="3"/>
    <x v="1"/>
    <x v="174"/>
    <n v="6"/>
  </r>
  <r>
    <x v="103"/>
    <d v="2025-04-09T00:00:00"/>
    <x v="2"/>
    <x v="2"/>
    <x v="175"/>
    <n v="3"/>
  </r>
  <r>
    <x v="99"/>
    <d v="2025-07-13T00:00:00"/>
    <x v="3"/>
    <x v="0"/>
    <x v="176"/>
    <n v="13"/>
  </r>
  <r>
    <x v="82"/>
    <d v="2025-07-02T00:00:00"/>
    <x v="0"/>
    <x v="2"/>
    <x v="177"/>
    <n v="7"/>
  </r>
  <r>
    <x v="74"/>
    <d v="2025-04-26T00:00:00"/>
    <x v="0"/>
    <x v="2"/>
    <x v="178"/>
    <n v="5"/>
  </r>
  <r>
    <x v="3"/>
    <d v="2025-03-03T00:00:00"/>
    <x v="1"/>
    <x v="1"/>
    <x v="179"/>
    <n v="20"/>
  </r>
  <r>
    <x v="11"/>
    <d v="2025-11-01T00:00:00"/>
    <x v="2"/>
    <x v="2"/>
    <x v="180"/>
    <n v="7"/>
  </r>
  <r>
    <x v="34"/>
    <d v="2025-05-22T00:00:00"/>
    <x v="1"/>
    <x v="1"/>
    <x v="181"/>
    <n v="4"/>
  </r>
  <r>
    <x v="103"/>
    <d v="2025-07-13T00:00:00"/>
    <x v="0"/>
    <x v="2"/>
    <x v="182"/>
    <n v="11"/>
  </r>
  <r>
    <x v="100"/>
    <d v="2025-02-14T00:00:00"/>
    <x v="3"/>
    <x v="2"/>
    <x v="183"/>
    <n v="16"/>
  </r>
  <r>
    <x v="51"/>
    <d v="2025-08-05T00:00:00"/>
    <x v="1"/>
    <x v="0"/>
    <x v="184"/>
    <n v="15"/>
  </r>
  <r>
    <x v="29"/>
    <d v="2025-12-08T00:00:00"/>
    <x v="0"/>
    <x v="0"/>
    <x v="185"/>
    <n v="20"/>
  </r>
  <r>
    <x v="67"/>
    <d v="2025-09-04T00:00:00"/>
    <x v="0"/>
    <x v="2"/>
    <x v="186"/>
    <n v="15"/>
  </r>
  <r>
    <x v="18"/>
    <d v="2025-05-19T00:00:00"/>
    <x v="0"/>
    <x v="2"/>
    <x v="187"/>
    <n v="1"/>
  </r>
  <r>
    <x v="88"/>
    <d v="2025-10-14T00:00:00"/>
    <x v="2"/>
    <x v="1"/>
    <x v="188"/>
    <n v="10"/>
  </r>
  <r>
    <x v="54"/>
    <d v="2025-11-09T00:00:00"/>
    <x v="3"/>
    <x v="2"/>
    <x v="189"/>
    <n v="19"/>
  </r>
  <r>
    <x v="7"/>
    <d v="2025-01-26T00:00:00"/>
    <x v="1"/>
    <x v="1"/>
    <x v="190"/>
    <n v="15"/>
  </r>
  <r>
    <x v="104"/>
    <d v="2025-05-23T00:00:00"/>
    <x v="1"/>
    <x v="1"/>
    <x v="191"/>
    <n v="17"/>
  </r>
  <r>
    <x v="105"/>
    <d v="2025-10-26T00:00:00"/>
    <x v="2"/>
    <x v="1"/>
    <x v="192"/>
    <n v="19"/>
  </r>
  <r>
    <x v="106"/>
    <d v="2025-01-13T00:00:00"/>
    <x v="1"/>
    <x v="2"/>
    <x v="193"/>
    <n v="4"/>
  </r>
  <r>
    <x v="107"/>
    <d v="2025-12-26T00:00:00"/>
    <x v="3"/>
    <x v="0"/>
    <x v="194"/>
    <n v="3"/>
  </r>
  <r>
    <x v="71"/>
    <d v="2025-02-03T00:00:00"/>
    <x v="0"/>
    <x v="0"/>
    <x v="195"/>
    <n v="19"/>
  </r>
  <r>
    <x v="97"/>
    <d v="2025-06-07T00:00:00"/>
    <x v="3"/>
    <x v="2"/>
    <x v="196"/>
    <n v="11"/>
  </r>
  <r>
    <x v="57"/>
    <d v="2025-09-03T00:00:00"/>
    <x v="2"/>
    <x v="2"/>
    <x v="197"/>
    <n v="9"/>
  </r>
  <r>
    <x v="15"/>
    <d v="2025-11-07T00:00:00"/>
    <x v="1"/>
    <x v="0"/>
    <x v="198"/>
    <n v="14"/>
  </r>
  <r>
    <x v="108"/>
    <d v="2025-11-21T00:00:00"/>
    <x v="1"/>
    <x v="1"/>
    <x v="199"/>
    <n v="9"/>
  </r>
  <r>
    <x v="96"/>
    <d v="2025-08-04T00:00:00"/>
    <x v="3"/>
    <x v="0"/>
    <x v="200"/>
    <n v="18"/>
  </r>
  <r>
    <x v="62"/>
    <d v="2025-09-03T00:00:00"/>
    <x v="3"/>
    <x v="0"/>
    <x v="201"/>
    <n v="13"/>
  </r>
  <r>
    <x v="109"/>
    <d v="2025-02-24T00:00:00"/>
    <x v="2"/>
    <x v="2"/>
    <x v="202"/>
    <n v="3"/>
  </r>
  <r>
    <x v="110"/>
    <d v="2025-02-01T00:00:00"/>
    <x v="0"/>
    <x v="2"/>
    <x v="203"/>
    <n v="13"/>
  </r>
  <r>
    <x v="13"/>
    <d v="2025-08-18T00:00:00"/>
    <x v="0"/>
    <x v="2"/>
    <x v="204"/>
    <n v="18"/>
  </r>
  <r>
    <x v="27"/>
    <d v="2025-07-06T00:00:00"/>
    <x v="3"/>
    <x v="2"/>
    <x v="205"/>
    <n v="17"/>
  </r>
  <r>
    <x v="111"/>
    <d v="2025-03-15T00:00:00"/>
    <x v="3"/>
    <x v="0"/>
    <x v="206"/>
    <n v="2"/>
  </r>
  <r>
    <x v="29"/>
    <d v="2025-11-06T00:00:00"/>
    <x v="2"/>
    <x v="0"/>
    <x v="207"/>
    <n v="20"/>
  </r>
  <r>
    <x v="112"/>
    <d v="2025-10-22T00:00:00"/>
    <x v="2"/>
    <x v="2"/>
    <x v="208"/>
    <n v="18"/>
  </r>
  <r>
    <x v="11"/>
    <d v="2025-03-01T00:00:00"/>
    <x v="1"/>
    <x v="2"/>
    <x v="209"/>
    <n v="15"/>
  </r>
  <r>
    <x v="23"/>
    <d v="2025-02-04T00:00:00"/>
    <x v="3"/>
    <x v="1"/>
    <x v="210"/>
    <n v="11"/>
  </r>
  <r>
    <x v="46"/>
    <d v="2025-02-02T00:00:00"/>
    <x v="1"/>
    <x v="2"/>
    <x v="211"/>
    <n v="9"/>
  </r>
  <r>
    <x v="113"/>
    <d v="2025-08-25T00:00:00"/>
    <x v="2"/>
    <x v="0"/>
    <x v="212"/>
    <n v="17"/>
  </r>
  <r>
    <x v="16"/>
    <d v="2025-11-14T00:00:00"/>
    <x v="2"/>
    <x v="2"/>
    <x v="213"/>
    <n v="9"/>
  </r>
  <r>
    <x v="93"/>
    <d v="2025-06-20T00:00:00"/>
    <x v="3"/>
    <x v="1"/>
    <x v="214"/>
    <n v="2"/>
  </r>
  <r>
    <x v="75"/>
    <d v="2025-09-06T00:00:00"/>
    <x v="1"/>
    <x v="0"/>
    <x v="215"/>
    <n v="13"/>
  </r>
  <r>
    <x v="114"/>
    <d v="2025-05-17T00:00:00"/>
    <x v="1"/>
    <x v="2"/>
    <x v="216"/>
    <n v="13"/>
  </r>
  <r>
    <x v="115"/>
    <d v="2025-12-21T00:00:00"/>
    <x v="1"/>
    <x v="0"/>
    <x v="217"/>
    <n v="7"/>
  </r>
  <r>
    <x v="28"/>
    <d v="2025-01-19T00:00:00"/>
    <x v="0"/>
    <x v="2"/>
    <x v="218"/>
    <n v="18"/>
  </r>
  <r>
    <x v="88"/>
    <d v="2025-11-28T00:00:00"/>
    <x v="3"/>
    <x v="1"/>
    <x v="219"/>
    <n v="13"/>
  </r>
  <r>
    <x v="10"/>
    <d v="2025-05-21T00:00:00"/>
    <x v="2"/>
    <x v="2"/>
    <x v="220"/>
    <n v="20"/>
  </r>
  <r>
    <x v="96"/>
    <d v="2025-04-11T00:00:00"/>
    <x v="0"/>
    <x v="1"/>
    <x v="221"/>
    <n v="4"/>
  </r>
  <r>
    <x v="36"/>
    <d v="2025-01-13T00:00:00"/>
    <x v="3"/>
    <x v="0"/>
    <x v="222"/>
    <n v="20"/>
  </r>
  <r>
    <x v="56"/>
    <d v="2025-10-22T00:00:00"/>
    <x v="2"/>
    <x v="0"/>
    <x v="223"/>
    <n v="20"/>
  </r>
  <r>
    <x v="20"/>
    <d v="2025-06-06T00:00:00"/>
    <x v="1"/>
    <x v="0"/>
    <x v="224"/>
    <n v="8"/>
  </r>
  <r>
    <x v="116"/>
    <d v="2025-04-26T00:00:00"/>
    <x v="2"/>
    <x v="2"/>
    <x v="225"/>
    <n v="2"/>
  </r>
  <r>
    <x v="78"/>
    <d v="2025-06-19T00:00:00"/>
    <x v="0"/>
    <x v="1"/>
    <x v="226"/>
    <n v="2"/>
  </r>
  <r>
    <x v="99"/>
    <d v="2025-01-09T00:00:00"/>
    <x v="3"/>
    <x v="2"/>
    <x v="227"/>
    <n v="11"/>
  </r>
  <r>
    <x v="68"/>
    <d v="2025-10-15T00:00:00"/>
    <x v="0"/>
    <x v="2"/>
    <x v="228"/>
    <n v="4"/>
  </r>
  <r>
    <x v="115"/>
    <d v="2025-08-09T00:00:00"/>
    <x v="0"/>
    <x v="0"/>
    <x v="229"/>
    <n v="4"/>
  </r>
  <r>
    <x v="117"/>
    <d v="2025-05-04T00:00:00"/>
    <x v="1"/>
    <x v="2"/>
    <x v="230"/>
    <n v="5"/>
  </r>
  <r>
    <x v="14"/>
    <d v="2025-05-05T00:00:00"/>
    <x v="2"/>
    <x v="1"/>
    <x v="231"/>
    <n v="1"/>
  </r>
  <r>
    <x v="118"/>
    <d v="2025-12-12T00:00:00"/>
    <x v="2"/>
    <x v="0"/>
    <x v="232"/>
    <n v="18"/>
  </r>
  <r>
    <x v="44"/>
    <d v="2025-07-08T00:00:00"/>
    <x v="0"/>
    <x v="1"/>
    <x v="233"/>
    <n v="1"/>
  </r>
  <r>
    <x v="56"/>
    <d v="2025-02-13T00:00:00"/>
    <x v="1"/>
    <x v="0"/>
    <x v="234"/>
    <n v="9"/>
  </r>
  <r>
    <x v="97"/>
    <d v="2025-07-18T00:00:00"/>
    <x v="0"/>
    <x v="1"/>
    <x v="235"/>
    <n v="3"/>
  </r>
  <r>
    <x v="18"/>
    <d v="2025-03-04T00:00:00"/>
    <x v="3"/>
    <x v="2"/>
    <x v="236"/>
    <n v="2"/>
  </r>
  <r>
    <x v="96"/>
    <d v="2025-01-19T00:00:00"/>
    <x v="0"/>
    <x v="1"/>
    <x v="237"/>
    <n v="14"/>
  </r>
  <r>
    <x v="119"/>
    <d v="2025-04-27T00:00:00"/>
    <x v="0"/>
    <x v="1"/>
    <x v="238"/>
    <n v="10"/>
  </r>
  <r>
    <x v="85"/>
    <d v="2025-07-09T00:00:00"/>
    <x v="1"/>
    <x v="2"/>
    <x v="239"/>
    <n v="5"/>
  </r>
  <r>
    <x v="18"/>
    <d v="2025-10-06T00:00:00"/>
    <x v="1"/>
    <x v="0"/>
    <x v="240"/>
    <n v="2"/>
  </r>
  <r>
    <x v="120"/>
    <d v="2025-05-26T00:00:00"/>
    <x v="2"/>
    <x v="0"/>
    <x v="241"/>
    <n v="15"/>
  </r>
  <r>
    <x v="26"/>
    <d v="2025-05-11T00:00:00"/>
    <x v="1"/>
    <x v="1"/>
    <x v="242"/>
    <n v="11"/>
  </r>
  <r>
    <x v="109"/>
    <d v="2025-07-05T00:00:00"/>
    <x v="3"/>
    <x v="0"/>
    <x v="243"/>
    <n v="20"/>
  </r>
  <r>
    <x v="16"/>
    <d v="2025-07-26T00:00:00"/>
    <x v="3"/>
    <x v="2"/>
    <x v="244"/>
    <n v="5"/>
  </r>
  <r>
    <x v="121"/>
    <d v="2025-03-14T00:00:00"/>
    <x v="1"/>
    <x v="0"/>
    <x v="245"/>
    <n v="11"/>
  </r>
  <r>
    <x v="6"/>
    <d v="2025-12-08T00:00:00"/>
    <x v="1"/>
    <x v="1"/>
    <x v="246"/>
    <n v="10"/>
  </r>
  <r>
    <x v="115"/>
    <d v="2025-01-05T00:00:00"/>
    <x v="3"/>
    <x v="0"/>
    <x v="247"/>
    <n v="8"/>
  </r>
  <r>
    <x v="7"/>
    <d v="2025-06-04T00:00:00"/>
    <x v="3"/>
    <x v="2"/>
    <x v="248"/>
    <n v="13"/>
  </r>
  <r>
    <x v="122"/>
    <d v="2025-01-17T00:00:00"/>
    <x v="2"/>
    <x v="2"/>
    <x v="249"/>
    <n v="12"/>
  </r>
  <r>
    <x v="2"/>
    <d v="2025-09-06T00:00:00"/>
    <x v="0"/>
    <x v="0"/>
    <x v="250"/>
    <n v="11"/>
  </r>
  <r>
    <x v="123"/>
    <d v="2025-01-04T00:00:00"/>
    <x v="1"/>
    <x v="2"/>
    <x v="251"/>
    <n v="19"/>
  </r>
  <r>
    <x v="20"/>
    <d v="2025-03-12T00:00:00"/>
    <x v="3"/>
    <x v="2"/>
    <x v="252"/>
    <n v="1"/>
  </r>
  <r>
    <x v="65"/>
    <d v="2025-06-22T00:00:00"/>
    <x v="3"/>
    <x v="2"/>
    <x v="253"/>
    <n v="14"/>
  </r>
  <r>
    <x v="105"/>
    <d v="2025-09-01T00:00:00"/>
    <x v="3"/>
    <x v="2"/>
    <x v="254"/>
    <n v="11"/>
  </r>
  <r>
    <x v="43"/>
    <d v="2025-10-28T00:00:00"/>
    <x v="1"/>
    <x v="2"/>
    <x v="255"/>
    <n v="1"/>
  </r>
  <r>
    <x v="124"/>
    <d v="2025-09-05T00:00:00"/>
    <x v="2"/>
    <x v="0"/>
    <x v="256"/>
    <n v="16"/>
  </r>
  <r>
    <x v="54"/>
    <d v="2025-11-11T00:00:00"/>
    <x v="1"/>
    <x v="2"/>
    <x v="257"/>
    <n v="13"/>
  </r>
  <r>
    <x v="6"/>
    <d v="2025-01-05T00:00:00"/>
    <x v="3"/>
    <x v="2"/>
    <x v="258"/>
    <n v="10"/>
  </r>
  <r>
    <x v="115"/>
    <d v="2025-08-24T00:00:00"/>
    <x v="3"/>
    <x v="0"/>
    <x v="259"/>
    <n v="15"/>
  </r>
  <r>
    <x v="89"/>
    <d v="2025-02-07T00:00:00"/>
    <x v="2"/>
    <x v="0"/>
    <x v="260"/>
    <n v="11"/>
  </r>
  <r>
    <x v="117"/>
    <d v="2025-01-11T00:00:00"/>
    <x v="2"/>
    <x v="2"/>
    <x v="261"/>
    <n v="13"/>
  </r>
  <r>
    <x v="81"/>
    <d v="2025-10-10T00:00:00"/>
    <x v="2"/>
    <x v="0"/>
    <x v="262"/>
    <n v="3"/>
  </r>
  <r>
    <x v="6"/>
    <d v="2025-03-26T00:00:00"/>
    <x v="3"/>
    <x v="1"/>
    <x v="263"/>
    <n v="7"/>
  </r>
  <r>
    <x v="29"/>
    <d v="2025-11-19T00:00:00"/>
    <x v="0"/>
    <x v="1"/>
    <x v="264"/>
    <n v="5"/>
  </r>
  <r>
    <x v="54"/>
    <d v="2025-10-23T00:00:00"/>
    <x v="2"/>
    <x v="2"/>
    <x v="265"/>
    <n v="14"/>
  </r>
  <r>
    <x v="53"/>
    <d v="2025-08-24T00:00:00"/>
    <x v="3"/>
    <x v="2"/>
    <x v="266"/>
    <n v="17"/>
  </r>
  <r>
    <x v="125"/>
    <d v="2025-03-01T00:00:00"/>
    <x v="3"/>
    <x v="1"/>
    <x v="267"/>
    <n v="15"/>
  </r>
  <r>
    <x v="72"/>
    <d v="2025-08-05T00:00:00"/>
    <x v="3"/>
    <x v="1"/>
    <x v="268"/>
    <n v="7"/>
  </r>
  <r>
    <x v="47"/>
    <d v="2025-10-20T00:00:00"/>
    <x v="0"/>
    <x v="1"/>
    <x v="269"/>
    <n v="14"/>
  </r>
  <r>
    <x v="123"/>
    <d v="2025-10-14T00:00:00"/>
    <x v="2"/>
    <x v="1"/>
    <x v="270"/>
    <n v="9"/>
  </r>
  <r>
    <x v="35"/>
    <d v="2025-05-14T00:00:00"/>
    <x v="2"/>
    <x v="1"/>
    <x v="271"/>
    <n v="10"/>
  </r>
  <r>
    <x v="115"/>
    <d v="2025-04-16T00:00:00"/>
    <x v="1"/>
    <x v="0"/>
    <x v="272"/>
    <n v="15"/>
  </r>
  <r>
    <x v="38"/>
    <d v="2025-11-26T00:00:00"/>
    <x v="2"/>
    <x v="0"/>
    <x v="273"/>
    <n v="13"/>
  </r>
  <r>
    <x v="122"/>
    <d v="2025-10-22T00:00:00"/>
    <x v="2"/>
    <x v="0"/>
    <x v="274"/>
    <n v="20"/>
  </r>
  <r>
    <x v="112"/>
    <d v="2025-10-09T00:00:00"/>
    <x v="3"/>
    <x v="2"/>
    <x v="275"/>
    <n v="4"/>
  </r>
  <r>
    <x v="126"/>
    <d v="2025-05-22T00:00:00"/>
    <x v="3"/>
    <x v="1"/>
    <x v="276"/>
    <n v="14"/>
  </r>
  <r>
    <x v="103"/>
    <d v="2025-06-12T00:00:00"/>
    <x v="1"/>
    <x v="1"/>
    <x v="277"/>
    <n v="5"/>
  </r>
  <r>
    <x v="52"/>
    <d v="2025-07-05T00:00:00"/>
    <x v="2"/>
    <x v="1"/>
    <x v="278"/>
    <n v="5"/>
  </r>
  <r>
    <x v="55"/>
    <d v="2025-02-08T00:00:00"/>
    <x v="0"/>
    <x v="2"/>
    <x v="279"/>
    <n v="5"/>
  </r>
  <r>
    <x v="80"/>
    <d v="2025-01-26T00:00:00"/>
    <x v="0"/>
    <x v="2"/>
    <x v="280"/>
    <n v="11"/>
  </r>
  <r>
    <x v="126"/>
    <d v="2025-08-14T00:00:00"/>
    <x v="0"/>
    <x v="1"/>
    <x v="281"/>
    <n v="16"/>
  </r>
  <r>
    <x v="67"/>
    <d v="2025-02-05T00:00:00"/>
    <x v="3"/>
    <x v="1"/>
    <x v="282"/>
    <n v="16"/>
  </r>
  <r>
    <x v="1"/>
    <d v="2025-07-15T00:00:00"/>
    <x v="3"/>
    <x v="0"/>
    <x v="283"/>
    <n v="5"/>
  </r>
  <r>
    <x v="109"/>
    <d v="2025-05-24T00:00:00"/>
    <x v="3"/>
    <x v="0"/>
    <x v="284"/>
    <n v="3"/>
  </r>
  <r>
    <x v="127"/>
    <d v="2025-02-07T00:00:00"/>
    <x v="0"/>
    <x v="0"/>
    <x v="285"/>
    <n v="14"/>
  </r>
  <r>
    <x v="7"/>
    <d v="2025-01-24T00:00:00"/>
    <x v="0"/>
    <x v="2"/>
    <x v="286"/>
    <n v="1"/>
  </r>
  <r>
    <x v="76"/>
    <d v="2025-07-04T00:00:00"/>
    <x v="3"/>
    <x v="0"/>
    <x v="287"/>
    <n v="15"/>
  </r>
  <r>
    <x v="26"/>
    <d v="2025-11-24T00:00:00"/>
    <x v="3"/>
    <x v="2"/>
    <x v="288"/>
    <n v="14"/>
  </r>
  <r>
    <x v="99"/>
    <d v="2025-01-10T00:00:00"/>
    <x v="0"/>
    <x v="1"/>
    <x v="289"/>
    <n v="7"/>
  </r>
  <r>
    <x v="69"/>
    <d v="2025-03-07T00:00:00"/>
    <x v="1"/>
    <x v="2"/>
    <x v="290"/>
    <n v="16"/>
  </r>
  <r>
    <x v="112"/>
    <d v="2025-05-06T00:00:00"/>
    <x v="1"/>
    <x v="1"/>
    <x v="291"/>
    <n v="20"/>
  </r>
  <r>
    <x v="62"/>
    <d v="2025-12-18T00:00:00"/>
    <x v="2"/>
    <x v="2"/>
    <x v="292"/>
    <n v="8"/>
  </r>
  <r>
    <x v="9"/>
    <d v="2025-09-13T00:00:00"/>
    <x v="0"/>
    <x v="0"/>
    <x v="293"/>
    <n v="1"/>
  </r>
  <r>
    <x v="88"/>
    <d v="2025-08-16T00:00:00"/>
    <x v="0"/>
    <x v="2"/>
    <x v="294"/>
    <n v="5"/>
  </r>
  <r>
    <x v="101"/>
    <d v="2025-04-06T00:00:00"/>
    <x v="2"/>
    <x v="0"/>
    <x v="295"/>
    <n v="19"/>
  </r>
  <r>
    <x v="63"/>
    <d v="2025-08-05T00:00:00"/>
    <x v="1"/>
    <x v="0"/>
    <x v="296"/>
    <n v="6"/>
  </r>
  <r>
    <x v="58"/>
    <d v="2025-06-10T00:00:00"/>
    <x v="0"/>
    <x v="0"/>
    <x v="297"/>
    <n v="12"/>
  </r>
  <r>
    <x v="128"/>
    <d v="2025-02-19T00:00:00"/>
    <x v="1"/>
    <x v="0"/>
    <x v="298"/>
    <n v="14"/>
  </r>
  <r>
    <x v="30"/>
    <d v="2025-04-11T00:00:00"/>
    <x v="1"/>
    <x v="1"/>
    <x v="299"/>
    <n v="8"/>
  </r>
  <r>
    <x v="122"/>
    <d v="2025-07-09T00:00:00"/>
    <x v="0"/>
    <x v="1"/>
    <x v="300"/>
    <n v="19"/>
  </r>
  <r>
    <x v="25"/>
    <d v="2025-01-05T00:00:00"/>
    <x v="1"/>
    <x v="0"/>
    <x v="301"/>
    <n v="7"/>
  </r>
  <r>
    <x v="62"/>
    <d v="2025-01-15T00:00:00"/>
    <x v="2"/>
    <x v="0"/>
    <x v="302"/>
    <n v="17"/>
  </r>
  <r>
    <x v="90"/>
    <d v="2025-10-04T00:00:00"/>
    <x v="2"/>
    <x v="1"/>
    <x v="303"/>
    <n v="1"/>
  </r>
  <r>
    <x v="123"/>
    <d v="2025-10-24T00:00:00"/>
    <x v="1"/>
    <x v="2"/>
    <x v="304"/>
    <n v="5"/>
  </r>
  <r>
    <x v="23"/>
    <d v="2025-01-10T00:00:00"/>
    <x v="0"/>
    <x v="0"/>
    <x v="305"/>
    <n v="12"/>
  </r>
  <r>
    <x v="71"/>
    <d v="2025-09-15T00:00:00"/>
    <x v="2"/>
    <x v="2"/>
    <x v="306"/>
    <n v="10"/>
  </r>
  <r>
    <x v="38"/>
    <d v="2025-03-14T00:00:00"/>
    <x v="0"/>
    <x v="1"/>
    <x v="307"/>
    <n v="13"/>
  </r>
  <r>
    <x v="79"/>
    <d v="2025-09-27T00:00:00"/>
    <x v="3"/>
    <x v="0"/>
    <x v="308"/>
    <n v="11"/>
  </r>
  <r>
    <x v="51"/>
    <d v="2025-03-25T00:00:00"/>
    <x v="2"/>
    <x v="1"/>
    <x v="309"/>
    <n v="2"/>
  </r>
  <r>
    <x v="129"/>
    <d v="2025-06-12T00:00:00"/>
    <x v="0"/>
    <x v="1"/>
    <x v="310"/>
    <n v="19"/>
  </r>
  <r>
    <x v="37"/>
    <d v="2025-01-16T00:00:00"/>
    <x v="2"/>
    <x v="2"/>
    <x v="5"/>
    <n v="17"/>
  </r>
  <r>
    <x v="106"/>
    <d v="2025-03-09T00:00:00"/>
    <x v="2"/>
    <x v="0"/>
    <x v="47"/>
    <n v="13"/>
  </r>
  <r>
    <x v="74"/>
    <d v="2025-03-13T00:00:00"/>
    <x v="1"/>
    <x v="2"/>
    <x v="311"/>
    <n v="12"/>
  </r>
  <r>
    <x v="76"/>
    <d v="2025-03-11T00:00:00"/>
    <x v="1"/>
    <x v="0"/>
    <x v="312"/>
    <n v="10"/>
  </r>
  <r>
    <x v="57"/>
    <d v="2025-05-19T00:00:00"/>
    <x v="2"/>
    <x v="2"/>
    <x v="313"/>
    <n v="8"/>
  </r>
  <r>
    <x v="18"/>
    <d v="2025-09-22T00:00:00"/>
    <x v="2"/>
    <x v="1"/>
    <x v="314"/>
    <n v="19"/>
  </r>
  <r>
    <x v="3"/>
    <d v="2025-06-19T00:00:00"/>
    <x v="0"/>
    <x v="1"/>
    <x v="315"/>
    <n v="20"/>
  </r>
  <r>
    <x v="4"/>
    <d v="2025-02-24T00:00:00"/>
    <x v="2"/>
    <x v="2"/>
    <x v="316"/>
    <n v="14"/>
  </r>
  <r>
    <x v="53"/>
    <d v="2025-10-03T00:00:00"/>
    <x v="1"/>
    <x v="1"/>
    <x v="317"/>
    <n v="6"/>
  </r>
  <r>
    <x v="92"/>
    <d v="2025-08-23T00:00:00"/>
    <x v="0"/>
    <x v="0"/>
    <x v="318"/>
    <n v="8"/>
  </r>
  <r>
    <x v="130"/>
    <d v="2025-06-02T00:00:00"/>
    <x v="1"/>
    <x v="1"/>
    <x v="319"/>
    <n v="11"/>
  </r>
  <r>
    <x v="75"/>
    <d v="2025-04-10T00:00:00"/>
    <x v="3"/>
    <x v="2"/>
    <x v="320"/>
    <n v="20"/>
  </r>
  <r>
    <x v="83"/>
    <d v="2025-07-05T00:00:00"/>
    <x v="3"/>
    <x v="1"/>
    <x v="321"/>
    <n v="4"/>
  </r>
  <r>
    <x v="89"/>
    <d v="2025-04-16T00:00:00"/>
    <x v="2"/>
    <x v="0"/>
    <x v="322"/>
    <n v="10"/>
  </r>
  <r>
    <x v="4"/>
    <d v="2025-11-28T00:00:00"/>
    <x v="2"/>
    <x v="0"/>
    <x v="323"/>
    <n v="14"/>
  </r>
  <r>
    <x v="89"/>
    <d v="2025-03-19T00:00:00"/>
    <x v="0"/>
    <x v="0"/>
    <x v="300"/>
    <n v="13"/>
  </r>
  <r>
    <x v="42"/>
    <d v="2025-08-09T00:00:00"/>
    <x v="3"/>
    <x v="0"/>
    <x v="324"/>
    <n v="5"/>
  </r>
  <r>
    <x v="107"/>
    <d v="2025-04-15T00:00:00"/>
    <x v="3"/>
    <x v="0"/>
    <x v="325"/>
    <n v="2"/>
  </r>
  <r>
    <x v="85"/>
    <d v="2025-03-08T00:00:00"/>
    <x v="3"/>
    <x v="2"/>
    <x v="326"/>
    <n v="16"/>
  </r>
  <r>
    <x v="29"/>
    <d v="2025-10-24T00:00:00"/>
    <x v="0"/>
    <x v="1"/>
    <x v="327"/>
    <n v="13"/>
  </r>
  <r>
    <x v="17"/>
    <d v="2025-10-08T00:00:00"/>
    <x v="0"/>
    <x v="0"/>
    <x v="328"/>
    <n v="8"/>
  </r>
  <r>
    <x v="40"/>
    <d v="2025-07-03T00:00:00"/>
    <x v="1"/>
    <x v="2"/>
    <x v="329"/>
    <n v="1"/>
  </r>
  <r>
    <x v="131"/>
    <d v="2025-11-22T00:00:00"/>
    <x v="2"/>
    <x v="1"/>
    <x v="330"/>
    <n v="6"/>
  </r>
  <r>
    <x v="7"/>
    <d v="2025-11-12T00:00:00"/>
    <x v="1"/>
    <x v="2"/>
    <x v="331"/>
    <n v="16"/>
  </r>
  <r>
    <x v="37"/>
    <d v="2025-06-18T00:00:00"/>
    <x v="3"/>
    <x v="2"/>
    <x v="332"/>
    <n v="12"/>
  </r>
  <r>
    <x v="95"/>
    <d v="2025-11-28T00:00:00"/>
    <x v="2"/>
    <x v="0"/>
    <x v="333"/>
    <n v="10"/>
  </r>
  <r>
    <x v="95"/>
    <d v="2025-10-03T00:00:00"/>
    <x v="1"/>
    <x v="1"/>
    <x v="297"/>
    <n v="8"/>
  </r>
  <r>
    <x v="25"/>
    <d v="2025-12-04T00:00:00"/>
    <x v="1"/>
    <x v="1"/>
    <x v="334"/>
    <n v="2"/>
  </r>
  <r>
    <x v="132"/>
    <d v="2025-08-08T00:00:00"/>
    <x v="2"/>
    <x v="1"/>
    <x v="335"/>
    <n v="1"/>
  </r>
  <r>
    <x v="27"/>
    <d v="2025-04-23T00:00:00"/>
    <x v="3"/>
    <x v="2"/>
    <x v="336"/>
    <n v="10"/>
  </r>
  <r>
    <x v="6"/>
    <d v="2025-01-26T00:00:00"/>
    <x v="0"/>
    <x v="0"/>
    <x v="337"/>
    <n v="5"/>
  </r>
  <r>
    <x v="112"/>
    <d v="2025-12-21T00:00:00"/>
    <x v="1"/>
    <x v="2"/>
    <x v="338"/>
    <n v="10"/>
  </r>
  <r>
    <x v="34"/>
    <d v="2025-03-18T00:00:00"/>
    <x v="3"/>
    <x v="0"/>
    <x v="339"/>
    <n v="3"/>
  </r>
  <r>
    <x v="56"/>
    <d v="2025-05-14T00:00:00"/>
    <x v="2"/>
    <x v="0"/>
    <x v="340"/>
    <n v="14"/>
  </r>
  <r>
    <x v="23"/>
    <d v="2025-01-06T00:00:00"/>
    <x v="2"/>
    <x v="1"/>
    <x v="341"/>
    <n v="11"/>
  </r>
  <r>
    <x v="119"/>
    <d v="2025-04-17T00:00:00"/>
    <x v="3"/>
    <x v="1"/>
    <x v="342"/>
    <n v="17"/>
  </r>
  <r>
    <x v="125"/>
    <d v="2025-10-25T00:00:00"/>
    <x v="2"/>
    <x v="1"/>
    <x v="343"/>
    <n v="9"/>
  </r>
  <r>
    <x v="1"/>
    <d v="2025-06-23T00:00:00"/>
    <x v="1"/>
    <x v="2"/>
    <x v="344"/>
    <n v="14"/>
  </r>
  <r>
    <x v="73"/>
    <d v="2025-01-09T00:00:00"/>
    <x v="0"/>
    <x v="2"/>
    <x v="345"/>
    <n v="10"/>
  </r>
  <r>
    <x v="90"/>
    <d v="2025-04-25T00:00:00"/>
    <x v="0"/>
    <x v="0"/>
    <x v="346"/>
    <n v="20"/>
  </r>
  <r>
    <x v="15"/>
    <d v="2025-09-19T00:00:00"/>
    <x v="3"/>
    <x v="0"/>
    <x v="347"/>
    <n v="19"/>
  </r>
  <r>
    <x v="92"/>
    <d v="2025-05-14T00:00:00"/>
    <x v="3"/>
    <x v="1"/>
    <x v="348"/>
    <n v="4"/>
  </r>
  <r>
    <x v="133"/>
    <d v="2025-03-04T00:00:00"/>
    <x v="2"/>
    <x v="1"/>
    <x v="349"/>
    <n v="8"/>
  </r>
  <r>
    <x v="79"/>
    <d v="2025-01-23T00:00:00"/>
    <x v="1"/>
    <x v="1"/>
    <x v="350"/>
    <n v="20"/>
  </r>
  <r>
    <x v="50"/>
    <d v="2025-05-23T00:00:00"/>
    <x v="3"/>
    <x v="0"/>
    <x v="351"/>
    <n v="13"/>
  </r>
  <r>
    <x v="134"/>
    <d v="2025-11-17T00:00:00"/>
    <x v="0"/>
    <x v="1"/>
    <x v="352"/>
    <n v="2"/>
  </r>
  <r>
    <x v="4"/>
    <d v="2025-12-20T00:00:00"/>
    <x v="0"/>
    <x v="2"/>
    <x v="353"/>
    <n v="12"/>
  </r>
  <r>
    <x v="28"/>
    <d v="2025-01-09T00:00:00"/>
    <x v="1"/>
    <x v="0"/>
    <x v="354"/>
    <n v="20"/>
  </r>
  <r>
    <x v="36"/>
    <d v="2025-07-12T00:00:00"/>
    <x v="0"/>
    <x v="0"/>
    <x v="355"/>
    <n v="15"/>
  </r>
  <r>
    <x v="61"/>
    <d v="2025-12-02T00:00:00"/>
    <x v="2"/>
    <x v="2"/>
    <x v="356"/>
    <n v="3"/>
  </r>
  <r>
    <x v="99"/>
    <d v="2025-07-03T00:00:00"/>
    <x v="1"/>
    <x v="1"/>
    <x v="357"/>
    <n v="6"/>
  </r>
  <r>
    <x v="121"/>
    <d v="2025-05-22T00:00:00"/>
    <x v="2"/>
    <x v="2"/>
    <x v="358"/>
    <n v="19"/>
  </r>
  <r>
    <x v="31"/>
    <d v="2025-02-19T00:00:00"/>
    <x v="1"/>
    <x v="1"/>
    <x v="359"/>
    <n v="7"/>
  </r>
  <r>
    <x v="23"/>
    <d v="2025-12-26T00:00:00"/>
    <x v="1"/>
    <x v="2"/>
    <x v="360"/>
    <n v="15"/>
  </r>
  <r>
    <x v="88"/>
    <d v="2025-10-18T00:00:00"/>
    <x v="2"/>
    <x v="1"/>
    <x v="361"/>
    <n v="4"/>
  </r>
  <r>
    <x v="61"/>
    <d v="2025-05-22T00:00:00"/>
    <x v="1"/>
    <x v="0"/>
    <x v="362"/>
    <n v="9"/>
  </r>
  <r>
    <x v="69"/>
    <d v="2025-11-12T00:00:00"/>
    <x v="3"/>
    <x v="2"/>
    <x v="363"/>
    <n v="16"/>
  </r>
  <r>
    <x v="135"/>
    <d v="2025-01-15T00:00:00"/>
    <x v="0"/>
    <x v="1"/>
    <x v="364"/>
    <n v="2"/>
  </r>
  <r>
    <x v="54"/>
    <d v="2025-05-14T00:00:00"/>
    <x v="2"/>
    <x v="2"/>
    <x v="365"/>
    <n v="6"/>
  </r>
  <r>
    <x v="107"/>
    <d v="2025-11-20T00:00:00"/>
    <x v="3"/>
    <x v="1"/>
    <x v="366"/>
    <n v="16"/>
  </r>
  <r>
    <x v="93"/>
    <d v="2025-02-26T00:00:00"/>
    <x v="2"/>
    <x v="2"/>
    <x v="367"/>
    <n v="9"/>
  </r>
  <r>
    <x v="123"/>
    <d v="2025-02-12T00:00:00"/>
    <x v="2"/>
    <x v="2"/>
    <x v="368"/>
    <n v="2"/>
  </r>
  <r>
    <x v="31"/>
    <d v="2025-03-18T00:00:00"/>
    <x v="0"/>
    <x v="0"/>
    <x v="369"/>
    <n v="11"/>
  </r>
  <r>
    <x v="106"/>
    <d v="2025-06-04T00:00:00"/>
    <x v="3"/>
    <x v="0"/>
    <x v="370"/>
    <n v="12"/>
  </r>
  <r>
    <x v="109"/>
    <d v="2025-11-11T00:00:00"/>
    <x v="1"/>
    <x v="2"/>
    <x v="371"/>
    <n v="10"/>
  </r>
  <r>
    <x v="16"/>
    <d v="2025-11-05T00:00:00"/>
    <x v="1"/>
    <x v="2"/>
    <x v="372"/>
    <n v="18"/>
  </r>
  <r>
    <x v="67"/>
    <d v="2025-01-09T00:00:00"/>
    <x v="0"/>
    <x v="2"/>
    <x v="373"/>
    <n v="3"/>
  </r>
  <r>
    <x v="134"/>
    <d v="2025-07-15T00:00:00"/>
    <x v="2"/>
    <x v="2"/>
    <x v="374"/>
    <n v="17"/>
  </r>
  <r>
    <x v="70"/>
    <d v="2025-12-13T00:00:00"/>
    <x v="2"/>
    <x v="1"/>
    <x v="375"/>
    <n v="14"/>
  </r>
  <r>
    <x v="1"/>
    <d v="2025-11-20T00:00:00"/>
    <x v="1"/>
    <x v="2"/>
    <x v="376"/>
    <n v="14"/>
  </r>
  <r>
    <x v="73"/>
    <d v="2025-04-01T00:00:00"/>
    <x v="2"/>
    <x v="2"/>
    <x v="377"/>
    <n v="11"/>
  </r>
  <r>
    <x v="24"/>
    <d v="2025-06-04T00:00:00"/>
    <x v="1"/>
    <x v="0"/>
    <x v="378"/>
    <n v="6"/>
  </r>
  <r>
    <x v="129"/>
    <d v="2025-01-15T00:00:00"/>
    <x v="0"/>
    <x v="0"/>
    <x v="379"/>
    <n v="8"/>
  </r>
  <r>
    <x v="9"/>
    <d v="2025-09-24T00:00:00"/>
    <x v="3"/>
    <x v="2"/>
    <x v="380"/>
    <n v="19"/>
  </r>
  <r>
    <x v="129"/>
    <d v="2025-01-09T00:00:00"/>
    <x v="0"/>
    <x v="2"/>
    <x v="381"/>
    <n v="14"/>
  </r>
  <r>
    <x v="108"/>
    <d v="2025-06-08T00:00:00"/>
    <x v="1"/>
    <x v="0"/>
    <x v="382"/>
    <n v="14"/>
  </r>
  <r>
    <x v="3"/>
    <d v="2025-05-25T00:00:00"/>
    <x v="3"/>
    <x v="0"/>
    <x v="383"/>
    <n v="14"/>
  </r>
  <r>
    <x v="8"/>
    <d v="2025-08-06T00:00:00"/>
    <x v="3"/>
    <x v="0"/>
    <x v="384"/>
    <n v="7"/>
  </r>
  <r>
    <x v="136"/>
    <d v="2025-06-10T00:00:00"/>
    <x v="1"/>
    <x v="0"/>
    <x v="385"/>
    <n v="20"/>
  </r>
  <r>
    <x v="91"/>
    <d v="2025-02-13T00:00:00"/>
    <x v="3"/>
    <x v="2"/>
    <x v="386"/>
    <n v="19"/>
  </r>
  <r>
    <x v="117"/>
    <d v="2025-12-24T00:00:00"/>
    <x v="2"/>
    <x v="1"/>
    <x v="2"/>
    <n v="8"/>
  </r>
  <r>
    <x v="91"/>
    <d v="2025-05-16T00:00:00"/>
    <x v="0"/>
    <x v="1"/>
    <x v="387"/>
    <n v="1"/>
  </r>
  <r>
    <x v="4"/>
    <d v="2025-03-17T00:00:00"/>
    <x v="1"/>
    <x v="0"/>
    <x v="388"/>
    <n v="7"/>
  </r>
  <r>
    <x v="30"/>
    <d v="2025-04-27T00:00:00"/>
    <x v="0"/>
    <x v="1"/>
    <x v="389"/>
    <n v="16"/>
  </r>
  <r>
    <x v="44"/>
    <d v="2025-03-01T00:00:00"/>
    <x v="0"/>
    <x v="2"/>
    <x v="390"/>
    <n v="5"/>
  </r>
  <r>
    <x v="115"/>
    <d v="2025-08-12T00:00:00"/>
    <x v="1"/>
    <x v="2"/>
    <x v="391"/>
    <n v="2"/>
  </r>
  <r>
    <x v="2"/>
    <d v="2025-09-21T00:00:00"/>
    <x v="2"/>
    <x v="1"/>
    <x v="392"/>
    <n v="13"/>
  </r>
  <r>
    <x v="13"/>
    <d v="2025-02-12T00:00:00"/>
    <x v="0"/>
    <x v="0"/>
    <x v="393"/>
    <n v="9"/>
  </r>
  <r>
    <x v="84"/>
    <d v="2025-08-06T00:00:00"/>
    <x v="2"/>
    <x v="0"/>
    <x v="394"/>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2326AA-3C37-440A-AAA5-8291810CB39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F34" firstHeaderRow="0" firstDataRow="1" firstDataCol="1"/>
  <pivotFields count="6">
    <pivotField showAll="0"/>
    <pivotField numFmtId="164"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s>
  <rowFields count="1">
    <field x="2"/>
  </rowFields>
  <rowItems count="5">
    <i>
      <x v="1"/>
    </i>
    <i>
      <x v="2"/>
    </i>
    <i>
      <x v="3"/>
    </i>
    <i>
      <x/>
    </i>
    <i t="grand">
      <x/>
    </i>
  </rowItems>
  <colFields count="1">
    <field x="-2"/>
  </colFields>
  <colItems count="2">
    <i>
      <x/>
    </i>
    <i i="1">
      <x v="1"/>
    </i>
  </colItems>
  <dataFields count="2">
    <dataField name="Sum of Cost" fld="4" baseField="0" baseItem="0"/>
    <dataField name="Average of Resolution_Days" fld="5" subtotal="average" baseField="0" baseItem="0" numFmtId="2"/>
  </dataFields>
  <formats count="7">
    <format dxfId="21">
      <pivotArea outline="0" collapsedLevelsAreSubtotals="1" fieldPosition="0">
        <references count="1">
          <reference field="4294967294" count="1" selected="0">
            <x v="1"/>
          </reference>
        </references>
      </pivotArea>
    </format>
    <format dxfId="20">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A07A81-A4A3-41ED-A531-5555847AC6E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perty_ID">
  <location ref="A29:B167" firstHeaderRow="1" firstDataRow="1" firstDataCol="1"/>
  <pivotFields count="6">
    <pivotField axis="axisRow" showAll="0" sortType="descending">
      <items count="138">
        <item x="122"/>
        <item x="24"/>
        <item x="94"/>
        <item x="39"/>
        <item x="15"/>
        <item x="68"/>
        <item x="130"/>
        <item x="74"/>
        <item x="37"/>
        <item x="13"/>
        <item x="118"/>
        <item x="91"/>
        <item x="44"/>
        <item x="11"/>
        <item x="1"/>
        <item x="92"/>
        <item x="105"/>
        <item x="89"/>
        <item x="51"/>
        <item x="79"/>
        <item x="67"/>
        <item x="90"/>
        <item x="26"/>
        <item x="96"/>
        <item x="102"/>
        <item x="77"/>
        <item x="112"/>
        <item x="18"/>
        <item x="110"/>
        <item x="43"/>
        <item x="59"/>
        <item x="131"/>
        <item x="134"/>
        <item x="115"/>
        <item x="4"/>
        <item x="116"/>
        <item x="54"/>
        <item x="101"/>
        <item x="111"/>
        <item x="87"/>
        <item x="3"/>
        <item x="31"/>
        <item x="9"/>
        <item x="64"/>
        <item x="35"/>
        <item x="123"/>
        <item x="16"/>
        <item x="38"/>
        <item x="66"/>
        <item x="5"/>
        <item x="56"/>
        <item x="53"/>
        <item x="2"/>
        <item x="85"/>
        <item x="73"/>
        <item x="34"/>
        <item x="69"/>
        <item x="71"/>
        <item x="36"/>
        <item x="22"/>
        <item x="27"/>
        <item x="45"/>
        <item x="107"/>
        <item x="72"/>
        <item x="46"/>
        <item x="52"/>
        <item x="135"/>
        <item x="119"/>
        <item x="33"/>
        <item x="23"/>
        <item x="120"/>
        <item x="136"/>
        <item x="49"/>
        <item x="7"/>
        <item x="81"/>
        <item x="88"/>
        <item x="40"/>
        <item x="93"/>
        <item x="70"/>
        <item x="104"/>
        <item x="30"/>
        <item x="6"/>
        <item x="58"/>
        <item x="127"/>
        <item x="19"/>
        <item x="61"/>
        <item x="21"/>
        <item x="14"/>
        <item x="57"/>
        <item x="20"/>
        <item x="17"/>
        <item x="78"/>
        <item x="83"/>
        <item x="82"/>
        <item x="65"/>
        <item x="25"/>
        <item x="132"/>
        <item x="75"/>
        <item x="99"/>
        <item x="50"/>
        <item x="62"/>
        <item x="29"/>
        <item x="98"/>
        <item x="128"/>
        <item x="10"/>
        <item x="47"/>
        <item x="125"/>
        <item x="109"/>
        <item x="113"/>
        <item x="41"/>
        <item x="80"/>
        <item x="114"/>
        <item x="103"/>
        <item x="84"/>
        <item x="60"/>
        <item x="12"/>
        <item x="32"/>
        <item x="42"/>
        <item x="95"/>
        <item x="8"/>
        <item x="48"/>
        <item x="0"/>
        <item x="129"/>
        <item x="124"/>
        <item x="100"/>
        <item x="117"/>
        <item x="126"/>
        <item x="97"/>
        <item x="121"/>
        <item x="76"/>
        <item x="63"/>
        <item x="108"/>
        <item x="86"/>
        <item x="55"/>
        <item x="133"/>
        <item x="28"/>
        <item x="106"/>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dataField="1" showAll="0"/>
    <pivotField showAll="0"/>
  </pivotFields>
  <rowFields count="1">
    <field x="0"/>
  </rowFields>
  <rowItems count="138">
    <i>
      <x v="100"/>
    </i>
    <i>
      <x v="8"/>
    </i>
    <i>
      <x v="44"/>
    </i>
    <i>
      <x v="33"/>
    </i>
    <i>
      <x v="69"/>
    </i>
    <i>
      <x v="20"/>
    </i>
    <i>
      <x v="14"/>
    </i>
    <i>
      <x v="73"/>
    </i>
    <i>
      <x v="36"/>
    </i>
    <i>
      <x v="81"/>
    </i>
    <i>
      <x v="27"/>
    </i>
    <i>
      <x v="101"/>
    </i>
    <i>
      <x v="4"/>
    </i>
    <i>
      <x v="57"/>
    </i>
    <i>
      <x v="34"/>
    </i>
    <i>
      <x v="22"/>
    </i>
    <i>
      <x v="47"/>
    </i>
    <i>
      <x v="29"/>
    </i>
    <i>
      <x v="26"/>
    </i>
    <i>
      <x v="95"/>
    </i>
    <i>
      <x v="45"/>
    </i>
    <i>
      <x v="51"/>
    </i>
    <i>
      <x v="75"/>
    </i>
    <i>
      <x v="76"/>
    </i>
    <i>
      <x v="88"/>
    </i>
    <i>
      <x v="98"/>
    </i>
    <i>
      <x v="90"/>
    </i>
    <i>
      <x v="94"/>
    </i>
    <i>
      <x v="68"/>
    </i>
    <i>
      <x v="3"/>
    </i>
    <i>
      <x v="53"/>
    </i>
    <i>
      <x v="23"/>
    </i>
    <i>
      <x v="52"/>
    </i>
    <i>
      <x v="130"/>
    </i>
    <i>
      <x v="13"/>
    </i>
    <i>
      <x v="17"/>
    </i>
    <i>
      <x v="85"/>
    </i>
    <i>
      <x v="46"/>
    </i>
    <i>
      <x v="48"/>
    </i>
    <i>
      <x v="127"/>
    </i>
    <i>
      <x v="21"/>
    </i>
    <i>
      <x v="1"/>
    </i>
    <i>
      <x v="19"/>
    </i>
    <i>
      <x v="60"/>
    </i>
    <i>
      <x v="99"/>
    </i>
    <i>
      <x v="40"/>
    </i>
    <i>
      <x v="125"/>
    </i>
    <i>
      <x v="86"/>
    </i>
    <i>
      <x v="131"/>
    </i>
    <i>
      <x v="114"/>
    </i>
    <i>
      <x v="55"/>
    </i>
    <i>
      <x v="7"/>
    </i>
    <i>
      <x v="77"/>
    </i>
    <i>
      <x v="136"/>
    </i>
    <i>
      <x/>
    </i>
    <i>
      <x v="42"/>
    </i>
    <i>
      <x v="58"/>
    </i>
    <i>
      <x v="15"/>
    </i>
    <i>
      <x v="32"/>
    </i>
    <i>
      <x v="56"/>
    </i>
    <i>
      <x v="37"/>
    </i>
    <i>
      <x v="92"/>
    </i>
    <i>
      <x v="62"/>
    </i>
    <i>
      <x v="80"/>
    </i>
    <i>
      <x v="112"/>
    </i>
    <i>
      <x v="72"/>
    </i>
    <i>
      <x v="84"/>
    </i>
    <i>
      <x v="104"/>
    </i>
    <i>
      <x v="87"/>
    </i>
    <i>
      <x v="18"/>
    </i>
    <i>
      <x v="59"/>
    </i>
    <i>
      <x v="63"/>
    </i>
    <i>
      <x v="118"/>
    </i>
    <i>
      <x v="129"/>
    </i>
    <i>
      <x v="9"/>
    </i>
    <i>
      <x v="11"/>
    </i>
    <i>
      <x v="113"/>
    </i>
    <i>
      <x v="106"/>
    </i>
    <i>
      <x v="119"/>
    </i>
    <i>
      <x v="110"/>
    </i>
    <i>
      <x v="41"/>
    </i>
    <i>
      <x v="65"/>
    </i>
    <i>
      <x v="12"/>
    </i>
    <i>
      <x v="128"/>
    </i>
    <i>
      <x v="74"/>
    </i>
    <i>
      <x v="16"/>
    </i>
    <i>
      <x v="97"/>
    </i>
    <i>
      <x v="107"/>
    </i>
    <i>
      <x v="105"/>
    </i>
    <i>
      <x v="82"/>
    </i>
    <i>
      <x v="5"/>
    </i>
    <i>
      <x v="50"/>
    </i>
    <i>
      <x v="30"/>
    </i>
    <i>
      <x v="124"/>
    </i>
    <i>
      <x v="135"/>
    </i>
    <i>
      <x v="79"/>
    </i>
    <i>
      <x v="54"/>
    </i>
    <i>
      <x v="83"/>
    </i>
    <i>
      <x v="89"/>
    </i>
    <i>
      <x v="6"/>
    </i>
    <i>
      <x v="35"/>
    </i>
    <i>
      <x v="122"/>
    </i>
    <i>
      <x v="10"/>
    </i>
    <i>
      <x v="93"/>
    </i>
    <i>
      <x v="43"/>
    </i>
    <i>
      <x v="49"/>
    </i>
    <i>
      <x v="28"/>
    </i>
    <i>
      <x v="64"/>
    </i>
    <i>
      <x v="2"/>
    </i>
    <i>
      <x v="133"/>
    </i>
    <i>
      <x v="24"/>
    </i>
    <i>
      <x v="78"/>
    </i>
    <i>
      <x v="115"/>
    </i>
    <i>
      <x v="66"/>
    </i>
    <i>
      <x v="108"/>
    </i>
    <i>
      <x v="96"/>
    </i>
    <i>
      <x v="116"/>
    </i>
    <i>
      <x v="38"/>
    </i>
    <i>
      <x v="71"/>
    </i>
    <i>
      <x v="91"/>
    </i>
    <i>
      <x v="39"/>
    </i>
    <i>
      <x v="121"/>
    </i>
    <i>
      <x v="117"/>
    </i>
    <i>
      <x v="111"/>
    </i>
    <i>
      <x v="126"/>
    </i>
    <i>
      <x v="103"/>
    </i>
    <i>
      <x v="109"/>
    </i>
    <i>
      <x v="67"/>
    </i>
    <i>
      <x v="132"/>
    </i>
    <i>
      <x v="61"/>
    </i>
    <i>
      <x v="102"/>
    </i>
    <i>
      <x v="123"/>
    </i>
    <i>
      <x v="31"/>
    </i>
    <i>
      <x v="70"/>
    </i>
    <i>
      <x v="134"/>
    </i>
    <i>
      <x v="25"/>
    </i>
    <i>
      <x v="120"/>
    </i>
    <i t="grand">
      <x/>
    </i>
  </rowItems>
  <colItems count="1">
    <i/>
  </colItems>
  <dataFields count="1">
    <dataField name="Total_Maintenance_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56EED1-B536-4D07-A7D8-2F10F70EFF6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6" firstHeaderRow="1" firstDataRow="1" firstDataCol="1"/>
  <pivotFields count="12">
    <pivotField dataField="1" showAll="0"/>
    <pivotField showAll="0"/>
    <pivotField showAll="0"/>
    <pivotField numFmtId="164" showAll="0"/>
    <pivotField numFmtId="164" showAll="0"/>
    <pivotField showAll="0"/>
    <pivotField showAll="0"/>
    <pivotField showAll="0"/>
    <pivotField showAll="0"/>
    <pivotField showAll="0"/>
    <pivotField numFmtId="1" showAll="0"/>
    <pivotField axis="axisRow" showAll="0">
      <items count="5">
        <item x="0"/>
        <item x="2"/>
        <item x="3"/>
        <item x="1"/>
        <item t="default"/>
      </items>
    </pivotField>
  </pivotFields>
  <rowFields count="1">
    <field x="11"/>
  </rowFields>
  <rowItems count="5">
    <i>
      <x/>
    </i>
    <i>
      <x v="1"/>
    </i>
    <i>
      <x v="2"/>
    </i>
    <i>
      <x v="3"/>
    </i>
    <i t="grand">
      <x/>
    </i>
  </rowItems>
  <colItems count="1">
    <i/>
  </colItems>
  <dataFields count="1">
    <dataField name="Count of Lease_ID" fld="0" subtotal="count" baseField="0" baseItem="0"/>
  </dataFields>
  <formats count="6">
    <format dxfId="27">
      <pivotArea type="all" dataOnly="0" outline="0" fieldPosition="0"/>
    </format>
    <format dxfId="26">
      <pivotArea outline="0" collapsedLevelsAreSubtotals="1" fieldPosition="0"/>
    </format>
    <format dxfId="25">
      <pivotArea field="11" type="button" dataOnly="0" labelOnly="1" outline="0" axis="axisRow" fieldPosition="0"/>
    </format>
    <format dxfId="24">
      <pivotArea dataOnly="0" labelOnly="1" fieldPosition="0">
        <references count="1">
          <reference field="11" count="0"/>
        </references>
      </pivotArea>
    </format>
    <format dxfId="23">
      <pivotArea dataOnly="0" labelOnly="1" grandRow="1" outline="0"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C8229B-CC1B-4B90-AD5F-7856133CFA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_Bucket">
  <location ref="A13:B18" firstHeaderRow="1" firstDataRow="1" firstDataCol="1"/>
  <pivotFields count="9">
    <pivotField showAll="0"/>
    <pivotField showAll="0"/>
    <pivotField showAll="0"/>
    <pivotField showAll="0"/>
    <pivotField dataField="1" showAll="0"/>
    <pivotField numFmtId="164" showAll="0"/>
    <pivotField showAll="0"/>
    <pivotField showAll="0"/>
    <pivotField axis="axisRow" showAll="0">
      <items count="5">
        <item x="2"/>
        <item x="0"/>
        <item x="1"/>
        <item x="3"/>
        <item t="default"/>
      </items>
    </pivotField>
  </pivotFields>
  <rowFields count="1">
    <field x="8"/>
  </rowFields>
  <rowItems count="5">
    <i>
      <x/>
    </i>
    <i>
      <x v="1"/>
    </i>
    <i>
      <x v="2"/>
    </i>
    <i>
      <x v="3"/>
    </i>
    <i t="grand">
      <x/>
    </i>
  </rowItems>
  <colItems count="1">
    <i/>
  </colItems>
  <dataFields count="1">
    <dataField name="Sum of Outstanding_Amount" fld="4" baseField="0" baseItem="0" numFmtId="165"/>
  </dataFields>
  <formats count="19">
    <format dxfId="46">
      <pivotArea collapsedLevelsAreSubtotals="1" fieldPosition="0">
        <references count="1">
          <reference field="8" count="1">
            <x v="0"/>
          </reference>
        </references>
      </pivotArea>
    </format>
    <format dxfId="45">
      <pivotArea collapsedLevelsAreSubtotals="1" fieldPosition="0">
        <references count="1">
          <reference field="8" count="1">
            <x v="3"/>
          </reference>
        </references>
      </pivotArea>
    </format>
    <format dxfId="44">
      <pivotArea collapsedLevelsAreSubtotals="1" fieldPosition="0">
        <references count="1">
          <reference field="8" count="1">
            <x v="0"/>
          </reference>
        </references>
      </pivotArea>
    </format>
    <format dxfId="43">
      <pivotArea collapsedLevelsAreSubtotals="1" fieldPosition="0">
        <references count="1">
          <reference field="8" count="1">
            <x v="2"/>
          </reference>
        </references>
      </pivotArea>
    </format>
    <format dxfId="42">
      <pivotArea collapsedLevelsAreSubtotals="1" fieldPosition="0">
        <references count="1">
          <reference field="8" count="1">
            <x v="1"/>
          </reference>
        </references>
      </pivotArea>
    </format>
    <format dxfId="41">
      <pivotArea collapsedLevelsAreSubtotals="1" fieldPosition="0">
        <references count="1">
          <reference field="8" count="1">
            <x v="1"/>
          </reference>
        </references>
      </pivotArea>
    </format>
    <format dxfId="40">
      <pivotArea collapsedLevelsAreSubtotals="1" fieldPosition="0">
        <references count="1">
          <reference field="8" count="1">
            <x v="3"/>
          </reference>
        </references>
      </pivotArea>
    </format>
    <format dxfId="39">
      <pivotArea collapsedLevelsAreSubtotals="1" fieldPosition="0">
        <references count="1">
          <reference field="8" count="1">
            <x v="2"/>
          </reference>
        </references>
      </pivotArea>
    </format>
    <format dxfId="38">
      <pivotArea collapsedLevelsAreSubtotals="1" fieldPosition="0">
        <references count="1">
          <reference field="8" count="1">
            <x v="1"/>
          </reference>
        </references>
      </pivotArea>
    </format>
    <format dxfId="37">
      <pivotArea collapsedLevelsAreSubtotals="1" fieldPosition="0">
        <references count="1">
          <reference field="8" count="1">
            <x v="0"/>
          </reference>
        </references>
      </pivotArea>
    </format>
    <format dxfId="36">
      <pivotArea collapsedLevelsAreSubtotals="1" fieldPosition="0">
        <references count="1">
          <reference field="8" count="1">
            <x v="2"/>
          </reference>
        </references>
      </pivotArea>
    </format>
    <format dxfId="35">
      <pivotArea collapsedLevelsAreSubtotals="1" fieldPosition="0">
        <references count="1">
          <reference field="8" count="1">
            <x v="3"/>
          </reference>
        </references>
      </pivotArea>
    </format>
    <format dxfId="34">
      <pivotArea outline="0" collapsedLevelsAreSubtotals="1" fieldPosition="0"/>
    </format>
    <format dxfId="33">
      <pivotArea type="all" dataOnly="0" outline="0" fieldPosition="0"/>
    </format>
    <format dxfId="32">
      <pivotArea outline="0" collapsedLevelsAreSubtotals="1" fieldPosition="0"/>
    </format>
    <format dxfId="31">
      <pivotArea field="8" type="button" dataOnly="0" labelOnly="1" outline="0" axis="axisRow" fieldPosition="0"/>
    </format>
    <format dxfId="30">
      <pivotArea dataOnly="0" labelOnly="1" fieldPosition="0">
        <references count="1">
          <reference field="8"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4CC3F8-BDB6-403D-BF7F-B496EF7D31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_Bucket">
  <location ref="A3:C8" firstHeaderRow="0" firstDataRow="1" firstDataCol="1"/>
  <pivotFields count="9">
    <pivotField dataField="1" showAll="0"/>
    <pivotField showAll="0"/>
    <pivotField dataField="1" showAll="0"/>
    <pivotField showAll="0"/>
    <pivotField showAll="0"/>
    <pivotField numFmtId="164" showAll="0"/>
    <pivotField showAll="0"/>
    <pivotField showAll="0"/>
    <pivotField axis="axisRow" showAll="0">
      <items count="5">
        <item x="2"/>
        <item x="0"/>
        <item x="1"/>
        <item x="3"/>
        <item t="default"/>
      </items>
    </pivotField>
  </pivotFields>
  <rowFields count="1">
    <field x="8"/>
  </rowFields>
  <rowItems count="5">
    <i>
      <x/>
    </i>
    <i>
      <x v="1"/>
    </i>
    <i>
      <x v="2"/>
    </i>
    <i>
      <x v="3"/>
    </i>
    <i t="grand">
      <x/>
    </i>
  </rowItems>
  <colFields count="1">
    <field x="-2"/>
  </colFields>
  <colItems count="2">
    <i>
      <x/>
    </i>
    <i i="1">
      <x v="1"/>
    </i>
  </colItems>
  <dataFields count="2">
    <dataField name="Number of Payments" fld="0" subtotal="count" baseField="0" baseItem="0"/>
    <dataField name="Sum of Due_Amount" fld="2" baseField="0" baseItem="0" numFmtId="165"/>
  </dataFields>
  <formats count="2">
    <format dxfId="48">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A0981D-16F2-4C26-8514-FF478C6123B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_Name">
  <location ref="D38:G42" firstHeaderRow="0" firstDataRow="1" firstDataCol="1"/>
  <pivotFields count="6">
    <pivotField showAll="0"/>
    <pivotField numFmtId="164" showAll="0"/>
    <pivotField showAll="0"/>
    <pivotField axis="axisRow" dataField="1" showAll="0">
      <items count="4">
        <item x="2"/>
        <item x="0"/>
        <item x="1"/>
        <item t="default"/>
      </items>
    </pivotField>
    <pivotField dataField="1" showAll="0"/>
    <pivotField dataField="1" showAll="0"/>
  </pivotFields>
  <rowFields count="1">
    <field x="3"/>
  </rowFields>
  <rowItems count="4">
    <i>
      <x/>
    </i>
    <i>
      <x v="1"/>
    </i>
    <i>
      <x v="2"/>
    </i>
    <i t="grand">
      <x/>
    </i>
  </rowItems>
  <colFields count="1">
    <field x="-2"/>
  </colFields>
  <colItems count="3">
    <i>
      <x/>
    </i>
    <i i="1">
      <x v="1"/>
    </i>
    <i i="2">
      <x v="2"/>
    </i>
  </colItems>
  <dataFields count="3">
    <dataField name="Count of Jobs" fld="3" subtotal="count" baseField="0" baseItem="0"/>
    <dataField name="Sum of Cost" fld="4" baseField="0" baseItem="0"/>
    <dataField name="Average of Resolution_Days" fld="5" subtotal="average" baseField="0" baseItem="0"/>
  </dataFields>
  <formats count="6">
    <format dxfId="54">
      <pivotArea type="all" dataOnly="0" outline="0" fieldPosition="0"/>
    </format>
    <format dxfId="53">
      <pivotArea outline="0" collapsedLevelsAreSubtotals="1" fieldPosition="0"/>
    </format>
    <format dxfId="52">
      <pivotArea field="3" type="button" dataOnly="0" labelOnly="1" outline="0" axis="axisRow" fieldPosition="0"/>
    </format>
    <format dxfId="51">
      <pivotArea dataOnly="0" labelOnly="1" fieldPosition="0">
        <references count="1">
          <reference field="3" count="0"/>
        </references>
      </pivotArea>
    </format>
    <format dxfId="50">
      <pivotArea dataOnly="0" labelOnly="1" grandRow="1" outline="0" fieldPosition="0"/>
    </format>
    <format dxfId="4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9082D0C-544B-4BE8-AD2F-25F5884B251B}" name="Table8" displayName="Table8" ref="P8:Q13" totalsRowShown="0" dataDxfId="12">
  <autoFilter ref="P8:Q13" xr:uid="{39082D0C-544B-4BE8-AD2F-25F5884B251B}"/>
  <tableColumns count="2">
    <tableColumn id="1" xr3:uid="{E97B9339-F947-417B-ACFD-1CC350BC8E16}" name="KPI" dataDxfId="6"/>
    <tableColumn id="2" xr3:uid="{69A30084-1D7A-4473-991E-0D9CCF92B3E5}" name="Value" dataDxf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B6345C2-FBB7-4DB6-B8FB-E7F6D633A2BD}" name="Table510" displayName="Table510" ref="P21:Q26" totalsRowShown="0">
  <autoFilter ref="P21:Q26" xr:uid="{0B6345C2-FBB7-4DB6-B8FB-E7F6D633A2BD}"/>
  <tableColumns count="2">
    <tableColumn id="1" xr3:uid="{FABB2F98-BBE6-4E8C-A5E4-C758A51A96CC}" name="Metrics"/>
    <tableColumn id="2" xr3:uid="{DC600A59-96CD-45A3-862E-A057BFEB9D35}" name="Valu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8DFBC25-C659-4FE1-B537-8AEECFA23975}" name="Table10" displayName="Table10" ref="S21:T25" totalsRowShown="0" headerRowDxfId="11">
  <autoFilter ref="S21:T25" xr:uid="{28DFBC25-C659-4FE1-B537-8AEECFA23975}"/>
  <tableColumns count="2">
    <tableColumn id="1" xr3:uid="{4514D503-B7C9-4CE1-9B77-A4640B380D45}" name="Metric" dataDxfId="0"/>
    <tableColumn id="2" xr3:uid="{370FE438-CE27-41CA-8821-DB6D8E2112DB}" name="Valu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0D34870-23E3-414C-9755-28BC562F693F}" name="Table11" displayName="Table11" ref="T36:U40" totalsRowShown="0" headerRowDxfId="10" dataDxfId="9">
  <autoFilter ref="T36:U40" xr:uid="{20D34870-23E3-414C-9755-28BC562F693F}"/>
  <tableColumns count="2">
    <tableColumn id="1" xr3:uid="{AEEC0A66-21E1-4863-9A95-529685FFE33A}" name="Risk Area" dataDxfId="4"/>
    <tableColumn id="2" xr3:uid="{02741F52-2798-459E-8B7F-6ABF2190387E}" name="Status" dataDxfId="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7766CEB-92F2-48F6-9510-9E416CCA8BBD}" name="Table13" displayName="Table13" ref="O48:P51" totalsRowShown="0" headerRowDxfId="7" dataDxfId="8">
  <autoFilter ref="O48:P51" xr:uid="{27766CEB-92F2-48F6-9510-9E416CCA8BBD}"/>
  <tableColumns count="2">
    <tableColumn id="1" xr3:uid="{DE9F7237-F834-47F3-B76C-834D6592DE4C}" name="Scenario" dataDxfId="2"/>
    <tableColumn id="2" xr3:uid="{AC7E76C3-FBDF-4EAD-8AEA-7AF4CED0D1C6}" name="Result" dataDxfId="1"/>
  </tableColumns>
  <tableStyleInfo name="TableStyleMedium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8376DD-E4AC-40CF-8549-5E7FA14863D7}" name="Table4" displayName="Table4" ref="A2:B27" totalsRowShown="0">
  <autoFilter ref="A2:B27" xr:uid="{CA8376DD-E4AC-40CF-8549-5E7FA14863D7}"/>
  <tableColumns count="2">
    <tableColumn id="1" xr3:uid="{A6B21CEC-9DA1-4A3C-AEFE-BEC154EC53B5}" name="Key Metrics"/>
    <tableColumn id="2" xr3:uid="{92B96660-C047-40DB-8F8C-A3384D2791DC}" name="Result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87CD3C-ACF5-45A9-9DB8-32E46154CE31}" name="Table5" displayName="Table5" ref="E3:F8" totalsRowShown="0">
  <autoFilter ref="E3:F8" xr:uid="{EA87CD3C-ACF5-45A9-9DB8-32E46154CE31}"/>
  <tableColumns count="2">
    <tableColumn id="1" xr3:uid="{96D243F3-E359-4668-B70B-EE305331F4BF}" name="Metrics"/>
    <tableColumn id="2" xr3:uid="{D3EACFB7-6930-4848-AB06-24871586D348}" name="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FB9A31-3B0D-4DCD-BB1F-ACD80088419A}" name="Table6" displayName="Table6" ref="I38:J41" totalsRowShown="0">
  <autoFilter ref="I38:J41" xr:uid="{B5FB9A31-3B0D-4DCD-BB1F-ACD80088419A}"/>
  <tableColumns count="2">
    <tableColumn id="1" xr3:uid="{13AC462F-0B98-4604-A8AF-5C20FBF23962}" name="Vendor_Name"/>
    <tableColumn id="2" xr3:uid="{D4E39613-459D-4971-868F-3BB9D13A5C2A}" name="Cost/Job" dataDxfId="14"/>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917F9B-8843-4258-B531-C80FEB346071}" name="Table7" displayName="Table7" ref="I44:J47" totalsRowShown="0">
  <autoFilter ref="I44:J47" xr:uid="{CE917F9B-8843-4258-B531-C80FEB346071}"/>
  <tableColumns count="2">
    <tableColumn id="1" xr3:uid="{29142D98-D79C-4163-BC36-8AF2A77EDD75}" name="Vendor_Name"/>
    <tableColumn id="2" xr3:uid="{DAD4279A-A521-47AB-9BE8-AF64D6274F01}" name="Cost Share" dataDxfId="13"/>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128D4-274D-4610-99E0-0950843C17F1}" name="Table1" displayName="Table1" ref="A1:O301" totalsRowShown="0">
  <autoFilter ref="A1:O301" xr:uid="{E15128D4-274D-4610-99E0-0950843C17F1}"/>
  <sortState xmlns:xlrd2="http://schemas.microsoft.com/office/spreadsheetml/2017/richdata2" ref="A2:O301">
    <sortCondition ref="B1:B301"/>
  </sortState>
  <tableColumns count="15">
    <tableColumn id="1" xr3:uid="{023FB7BA-F77D-482C-B6C9-8BC1FDD1ACA9}" name="Lease_ID"/>
    <tableColumn id="2" xr3:uid="{8899EB06-74D3-4746-8904-12FF7F415AF9}" name="Property_ID"/>
    <tableColumn id="3" xr3:uid="{793B9E9B-45DE-49C7-AD5B-F8DC062AD551}" name="Tenant_ID"/>
    <tableColumn id="4" xr3:uid="{9E0F5B28-2571-4A37-B3A7-F26A6C81644E}" name="Lease_Start" dataDxfId="71"/>
    <tableColumn id="5" xr3:uid="{06C2AEE0-AB94-4004-9F46-918AE270FD3C}" name="Lease_End" dataDxfId="70"/>
    <tableColumn id="6" xr3:uid="{043555FC-333C-49DC-ACF6-1634E5C874B9}" name="Monthly_Rent"/>
    <tableColumn id="7" xr3:uid="{70DA62ED-1FF4-4941-94B5-8B8FFB447027}" name="Security_Deposit"/>
    <tableColumn id="8" xr3:uid="{3137D8D0-B256-46A5-9003-9221F822DC51}" name="Escalation_%"/>
    <tableColumn id="13" xr3:uid="{B079DAFC-C9F3-4214-A9F8-59C5014748E9}" name="Previous_Rent">
      <calculatedColumnFormula>IF(B2=B1, F1, "")</calculatedColumnFormula>
    </tableColumn>
    <tableColumn id="14" xr3:uid="{84EE9175-BB34-4276-BE64-54D65C5110DA}" name="Expected_Rent" dataDxfId="69">
      <calculatedColumnFormula>IF(I2&lt;&gt;"", I2*(1+H2/100), "")</calculatedColumnFormula>
    </tableColumn>
    <tableColumn id="15" xr3:uid="{66BDD11B-09E6-4445-A64C-615B71F8803A}" name="Escalation_Accuracy_%" dataDxfId="68">
      <calculatedColumnFormula>IF(Table1[[#This Row],[Expected_Rent]]&lt;&gt;"", F2/Table1[[#This Row],[Expected_Rent]], "")</calculatedColumnFormula>
    </tableColumn>
    <tableColumn id="9" xr3:uid="{EFEF2A37-6199-45C3-BE72-0A929F8C2E09}" name="Renewal_Status"/>
    <tableColumn id="10" xr3:uid="{E86C1443-65AA-43D5-979C-1E8009A6415D}" name="Days_After_Expiry" dataDxfId="67">
      <calculatedColumnFormula>IF(Table1[[#This Row],[Renewal_Status]]="Expired",TODAY()-Table1[[#This Row],[Lease_End]],0)</calculatedColumnFormula>
    </tableColumn>
    <tableColumn id="11" xr3:uid="{21AFC9E7-7DF4-4D96-A1C7-864E32956C1C}" name="Days_to_Expiry" dataDxfId="66">
      <calculatedColumnFormula>Table1[[#This Row],[Lease_End]]-TODAY()</calculatedColumnFormula>
    </tableColumn>
    <tableColumn id="12" xr3:uid="{41A51F10-97CD-43C8-82A9-7B7BD3F29031}" name="Expiry_Risk_Category" dataDxfId="65">
      <calculatedColumnFormula>IF(Table1[[#This Row],[Days_to_Expiry]]&lt;0,"Expired",
IF(Table1[[#This Row],[Days_to_Expiry]]&lt;30,"High Risk",
IF(Table1[[#This Row],[Days_to_Expiry]]&lt;=60,"Medium Risk",
"Safe")))</calculatedColumnFormula>
    </tableColum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0C5B0C-D4DF-4D9C-902E-3C757D109403}" name="Table2" displayName="Table2" ref="A1:N601" totalsRowShown="0" headerRowDxfId="64">
  <autoFilter ref="A1:N601" xr:uid="{EB0C5B0C-D4DF-4D9C-902E-3C757D109403}"/>
  <tableColumns count="14">
    <tableColumn id="1" xr3:uid="{9CCE4955-4CF6-4505-B0C7-A1885C6812D3}" name="Tenant_ID"/>
    <tableColumn id="2" xr3:uid="{0740FF72-4E3D-4DC8-A882-527618D5549B}" name="Month"/>
    <tableColumn id="3" xr3:uid="{F0F8208D-10A6-4FBA-9660-E98FF39E0CF7}" name="Due_Amount"/>
    <tableColumn id="4" xr3:uid="{901F4C9B-6E33-4233-96D3-378FEFD73AD5}" name="Paid_Amount"/>
    <tableColumn id="10" xr3:uid="{35C938AD-FB2A-493E-ACCE-BEA362B4B698}" name="Outstanding_Amount" dataDxfId="63">
      <calculatedColumnFormula>Table2[[#This Row],[Due_Amount]]-Table2[[#This Row],[Paid_Amount]]</calculatedColumnFormula>
    </tableColumn>
    <tableColumn id="5" xr3:uid="{C348B957-356A-438A-92E7-8B7D3F7E8924}" name="Payment_Date" dataDxfId="62"/>
    <tableColumn id="6" xr3:uid="{CFB8D095-0D52-4E03-A10C-53B1EC4A394B}" name="Delay_Days"/>
    <tableColumn id="7" xr3:uid="{4C8EB9DA-6C15-4BCB-94B4-E975DE263E21}" name="WC_Blocked" dataDxfId="61">
      <calculatedColumnFormula>Table2[[#This Row],[Due_Amount]]*Table2[[#This Row],[Delay_Days]]</calculatedColumnFormula>
    </tableColumn>
    <tableColumn id="8" xr3:uid="{39AF271F-CED2-4939-9D9D-BE266FC1D694}" name="Delay_Risk_Bucket" dataDxfId="60">
      <calculatedColumnFormula>IF(Table2[[#This Row],[Delay_Days]]=0,"On Time",IF(Table2[[#This Row],[Delay_Days]]&lt;=7,"Low Risk(1-7)",IF(Table2[[#This Row],[Delay_Days]]&lt;=15,"Medium Risk(8-15)",IF(Table2[[#This Row],[Delay_Days]]&lt;=30,"High Risk(16-30)","Severe Risk(30+)"))))</calculatedColumnFormula>
    </tableColumn>
    <tableColumn id="11" xr3:uid="{A95A7A35-182F-4502-B184-064F274357AF}" name="Estimated_Market_Rent" dataDxfId="59">
      <calculatedColumnFormula>AVERAGE(Table2[Due_Amount])</calculatedColumnFormula>
    </tableColumn>
    <tableColumn id="12" xr3:uid="{1BD5EAE7-D8A6-4E85-BC9E-157C05A4A914}" name="Current Rent Gap" dataDxfId="58">
      <calculatedColumnFormula>Table2[[#This Row],[Estimated_Market_Rent]]-Table2[[#This Row],[Due_Amount]]</calculatedColumnFormula>
    </tableColumn>
    <tableColumn id="13" xr3:uid="{94CA6CE6-0073-47D4-A119-8A2660A00532}" name="Under_Market %" dataDxfId="57">
      <calculatedColumnFormula>IF(Table2[[#This Row],[Current Rent Gap]]&gt;0,Table2[[#This Row],[Current Rent Gap]]/Table2[[#This Row],[Estimated_Market_Rent]],0)</calculatedColumnFormula>
    </tableColumn>
    <tableColumn id="14" xr3:uid="{3B80DA28-8147-407A-84F0-079A3960CB21}" name="Under_Market_Flag" dataDxfId="56">
      <calculatedColumnFormula>IF(Table2[[#This Row],[Under_Market %]]&gt;0.1,"Underpriced","OK")</calculatedColumnFormula>
    </tableColumn>
    <tableColumn id="15" xr3:uid="{08365531-D760-4655-8438-CD5EFC3BE5EA}" name="Leakage Calculations" dataDxfId="55">
      <calculatedColumnFormula>SUMIFS(Table2[[#This Row],[Current Rent Gap]],Table2[[#This Row],[Current Rent Gap]],"&gt;0")</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D79B02-587F-4E52-AD8E-458549D8C389}" name="Table3" displayName="Table3" ref="A1:F401" totalsRowShown="0">
  <autoFilter ref="A1:F401" xr:uid="{74D79B02-587F-4E52-AD8E-458549D8C389}"/>
  <tableColumns count="6">
    <tableColumn id="1" xr3:uid="{D30E2968-EE5A-4798-AC8C-5140B4B2D108}" name="Property_ID"/>
    <tableColumn id="2" xr3:uid="{7B050CF1-C984-482C-857D-2F03353741C6}" name="Request_Date" dataDxfId="73"/>
    <tableColumn id="3" xr3:uid="{17197A08-3F16-4F88-AF3D-666CF3A290F3}" name="Issue_Type"/>
    <tableColumn id="4" xr3:uid="{205B9F67-4104-4552-93FE-C7F8D588D7EE}" name="Vendor"/>
    <tableColumn id="5" xr3:uid="{99D07680-7A5B-45CC-89D9-5204778A1EFF}" name="Cost"/>
    <tableColumn id="6" xr3:uid="{806C935E-F5E6-48AD-97E4-7A96AEC51086}" name="Resolution_Days" dataDxfId="7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9.xml"/><Relationship Id="rId4" Type="http://schemas.openxmlformats.org/officeDocument/2006/relationships/pivotTable" Target="../pivotTables/pivotTable4.xml"/><Relationship Id="rId9"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F73D4-9078-495C-A9DB-57A344A2E6E0}">
  <dimension ref="A1:Z74"/>
  <sheetViews>
    <sheetView tabSelected="1" workbookViewId="0">
      <selection activeCell="S8" sqref="S8:T10"/>
    </sheetView>
  </sheetViews>
  <sheetFormatPr defaultRowHeight="14.5" x14ac:dyDescent="0.35"/>
  <cols>
    <col min="15" max="15" width="23.6328125" customWidth="1"/>
    <col min="16" max="16" width="27.08984375" bestFit="1" customWidth="1"/>
    <col min="17" max="17" width="13.453125" customWidth="1"/>
    <col min="19" max="19" width="27.36328125" bestFit="1" customWidth="1"/>
    <col min="20" max="20" width="25.26953125" customWidth="1"/>
    <col min="21" max="21" width="14.7265625" customWidth="1"/>
  </cols>
  <sheetData>
    <row r="1" spans="2:26" ht="15" thickBot="1" x14ac:dyDescent="0.4">
      <c r="B1" s="44"/>
      <c r="C1" s="44"/>
      <c r="D1" s="44"/>
      <c r="E1" s="44"/>
      <c r="F1" s="44"/>
      <c r="G1" s="44"/>
      <c r="H1" s="44"/>
      <c r="I1" s="44"/>
      <c r="J1" s="44"/>
      <c r="K1" s="44"/>
      <c r="L1" s="44"/>
      <c r="M1" s="44"/>
      <c r="N1" s="44"/>
      <c r="O1" s="44"/>
      <c r="P1" s="44"/>
      <c r="Q1" s="44"/>
      <c r="R1" s="44"/>
      <c r="S1" s="44"/>
      <c r="T1" s="44"/>
      <c r="U1" s="44"/>
      <c r="V1" s="44"/>
      <c r="W1" s="44"/>
      <c r="X1" s="44"/>
      <c r="Y1" s="44"/>
      <c r="Z1" s="44"/>
    </row>
    <row r="2" spans="2:26" x14ac:dyDescent="0.35">
      <c r="B2" s="40"/>
      <c r="C2" s="41"/>
      <c r="D2" s="41"/>
      <c r="E2" s="41"/>
      <c r="F2" s="41"/>
      <c r="G2" s="41"/>
      <c r="H2" s="41"/>
      <c r="I2" s="41"/>
      <c r="J2" s="41"/>
      <c r="K2" s="41"/>
      <c r="L2" s="41"/>
      <c r="M2" s="41"/>
      <c r="N2" s="41"/>
      <c r="O2" s="41"/>
      <c r="P2" s="41"/>
      <c r="Q2" s="41"/>
      <c r="R2" s="41"/>
      <c r="S2" s="41"/>
      <c r="T2" s="41"/>
      <c r="U2" s="41"/>
      <c r="V2" s="41"/>
      <c r="W2" s="41"/>
      <c r="X2" s="41"/>
      <c r="Y2" s="42"/>
      <c r="Z2" s="44"/>
    </row>
    <row r="3" spans="2:26" x14ac:dyDescent="0.35">
      <c r="B3" s="43"/>
      <c r="C3" s="44"/>
      <c r="D3" s="44"/>
      <c r="E3" s="44"/>
      <c r="F3" s="44"/>
      <c r="G3" s="44"/>
      <c r="H3" s="44"/>
      <c r="I3" s="44"/>
      <c r="J3" s="44"/>
      <c r="K3" s="44"/>
      <c r="L3" s="44"/>
      <c r="M3" s="44"/>
      <c r="N3" s="44"/>
      <c r="O3" s="44"/>
      <c r="P3" s="44"/>
      <c r="Q3" s="44"/>
      <c r="R3" s="44"/>
      <c r="S3" s="44"/>
      <c r="T3" s="44"/>
      <c r="U3" s="44"/>
      <c r="V3" s="44"/>
      <c r="W3" s="44"/>
      <c r="X3" s="44"/>
      <c r="Y3" s="45"/>
      <c r="Z3" s="44"/>
    </row>
    <row r="4" spans="2:26" x14ac:dyDescent="0.35">
      <c r="B4" s="43"/>
      <c r="C4" s="44"/>
      <c r="D4" s="44"/>
      <c r="E4" s="44"/>
      <c r="F4" s="44"/>
      <c r="G4" s="44"/>
      <c r="H4" s="44"/>
      <c r="I4" s="44"/>
      <c r="J4" s="44"/>
      <c r="K4" s="44"/>
      <c r="L4" s="44"/>
      <c r="M4" s="44"/>
      <c r="N4" s="44"/>
      <c r="O4" s="44"/>
      <c r="P4" s="44"/>
      <c r="Q4" s="44"/>
      <c r="R4" s="44"/>
      <c r="S4" s="44"/>
      <c r="T4" s="44"/>
      <c r="U4" s="44"/>
      <c r="V4" s="44"/>
      <c r="W4" s="44"/>
      <c r="X4" s="44"/>
      <c r="Y4" s="45"/>
      <c r="Z4" s="44"/>
    </row>
    <row r="5" spans="2:26" x14ac:dyDescent="0.35">
      <c r="B5" s="43"/>
      <c r="C5" s="44"/>
      <c r="D5" s="44"/>
      <c r="E5" s="44"/>
      <c r="F5" s="44"/>
      <c r="G5" s="44"/>
      <c r="H5" s="44"/>
      <c r="I5" s="44"/>
      <c r="J5" s="44"/>
      <c r="K5" s="44"/>
      <c r="L5" s="44"/>
      <c r="M5" s="44"/>
      <c r="N5" s="44"/>
      <c r="O5" s="44"/>
      <c r="P5" s="44"/>
      <c r="Q5" s="44"/>
      <c r="R5" s="44"/>
      <c r="S5" s="44"/>
      <c r="T5" s="44"/>
      <c r="U5" s="44"/>
      <c r="V5" s="44"/>
      <c r="W5" s="44"/>
      <c r="X5" s="44"/>
      <c r="Y5" s="45"/>
      <c r="Z5" s="44"/>
    </row>
    <row r="6" spans="2:26" x14ac:dyDescent="0.35">
      <c r="B6" s="43"/>
      <c r="C6" s="44"/>
      <c r="D6" s="44"/>
      <c r="E6" s="44"/>
      <c r="F6" s="44"/>
      <c r="G6" s="44"/>
      <c r="H6" s="44"/>
      <c r="I6" s="44"/>
      <c r="J6" s="44"/>
      <c r="K6" s="44"/>
      <c r="L6" s="44"/>
      <c r="M6" s="44"/>
      <c r="N6" s="44"/>
      <c r="O6" s="44"/>
      <c r="P6" s="44"/>
      <c r="Q6" s="44"/>
      <c r="R6" s="44"/>
      <c r="S6" s="44"/>
      <c r="T6" s="44"/>
      <c r="U6" s="44"/>
      <c r="V6" s="44"/>
      <c r="W6" s="44"/>
      <c r="X6" s="44"/>
      <c r="Y6" s="45"/>
      <c r="Z6" s="44"/>
    </row>
    <row r="7" spans="2:26" x14ac:dyDescent="0.35">
      <c r="B7" s="43"/>
      <c r="C7" s="44"/>
      <c r="D7" s="44"/>
      <c r="E7" s="44"/>
      <c r="F7" s="44"/>
      <c r="G7" s="44"/>
      <c r="H7" s="44"/>
      <c r="I7" s="44"/>
      <c r="J7" s="44"/>
      <c r="K7" s="44"/>
      <c r="L7" s="44"/>
      <c r="M7" s="44"/>
      <c r="N7" s="44"/>
      <c r="O7" s="44"/>
      <c r="P7" s="56" t="s">
        <v>872</v>
      </c>
      <c r="Q7" s="56"/>
      <c r="R7" s="44"/>
      <c r="S7" s="56" t="s">
        <v>873</v>
      </c>
      <c r="T7" s="56"/>
      <c r="U7" s="56"/>
      <c r="V7" s="44"/>
      <c r="W7" s="44"/>
      <c r="X7" s="44"/>
      <c r="Y7" s="45"/>
      <c r="Z7" s="44"/>
    </row>
    <row r="8" spans="2:26" x14ac:dyDescent="0.35">
      <c r="B8" s="43"/>
      <c r="C8" s="44"/>
      <c r="D8" s="44"/>
      <c r="E8" s="44"/>
      <c r="F8" s="44"/>
      <c r="G8" s="44"/>
      <c r="H8" s="44"/>
      <c r="I8" s="44"/>
      <c r="J8" s="44"/>
      <c r="K8" s="44"/>
      <c r="L8" s="44"/>
      <c r="M8" s="44"/>
      <c r="N8" s="44"/>
      <c r="O8" s="44"/>
      <c r="P8" s="50" t="s">
        <v>866</v>
      </c>
      <c r="Q8" s="50" t="s">
        <v>809</v>
      </c>
      <c r="R8" s="44"/>
      <c r="S8" s="57" t="s">
        <v>838</v>
      </c>
      <c r="T8" s="57"/>
      <c r="U8" s="58">
        <f>_xlfn.XLOOKUP(S8,Table4[Key Metrics],Table4[Results],"Not Found")</f>
        <v>0.88</v>
      </c>
      <c r="V8" s="44"/>
      <c r="W8" s="44"/>
      <c r="X8" s="44"/>
      <c r="Y8" s="45"/>
      <c r="Z8" s="44"/>
    </row>
    <row r="9" spans="2:26" x14ac:dyDescent="0.35">
      <c r="B9" s="43"/>
      <c r="C9" s="44"/>
      <c r="D9" s="44"/>
      <c r="E9" s="44"/>
      <c r="F9" s="44"/>
      <c r="G9" s="44"/>
      <c r="H9" s="44"/>
      <c r="I9" s="44"/>
      <c r="J9" s="44"/>
      <c r="K9" s="44"/>
      <c r="L9" s="44"/>
      <c r="M9" s="44"/>
      <c r="N9" s="44"/>
      <c r="O9" s="44"/>
      <c r="P9" s="51" t="s">
        <v>867</v>
      </c>
      <c r="Q9" s="51">
        <f>COUNTA(Table1[Lease_ID])</f>
        <v>300</v>
      </c>
      <c r="R9" s="44"/>
      <c r="S9" s="57"/>
      <c r="T9" s="57"/>
      <c r="U9" s="58"/>
      <c r="V9" s="44"/>
      <c r="W9" s="44"/>
      <c r="X9" s="44"/>
      <c r="Y9" s="45"/>
      <c r="Z9" s="44"/>
    </row>
    <row r="10" spans="2:26" x14ac:dyDescent="0.35">
      <c r="B10" s="43"/>
      <c r="C10" s="44"/>
      <c r="D10" s="44"/>
      <c r="E10" s="44"/>
      <c r="F10" s="44"/>
      <c r="G10" s="44"/>
      <c r="H10" s="44"/>
      <c r="I10" s="44"/>
      <c r="J10" s="44"/>
      <c r="K10" s="44"/>
      <c r="L10" s="44"/>
      <c r="M10" s="44"/>
      <c r="N10" s="44"/>
      <c r="O10" s="44"/>
      <c r="P10" s="51" t="s">
        <v>868</v>
      </c>
      <c r="Q10" s="52">
        <f>'KPI Sheet'!B23</f>
        <v>0.33</v>
      </c>
      <c r="R10" s="44"/>
      <c r="S10" s="57"/>
      <c r="T10" s="57"/>
      <c r="U10" s="58"/>
      <c r="V10" s="44"/>
      <c r="W10" s="44"/>
      <c r="X10" s="44"/>
      <c r="Y10" s="45"/>
      <c r="Z10" s="44"/>
    </row>
    <row r="11" spans="2:26" x14ac:dyDescent="0.35">
      <c r="B11" s="43"/>
      <c r="C11" s="44"/>
      <c r="D11" s="44"/>
      <c r="E11" s="44"/>
      <c r="F11" s="44"/>
      <c r="G11" s="44"/>
      <c r="H11" s="44"/>
      <c r="I11" s="44"/>
      <c r="J11" s="44"/>
      <c r="K11" s="44"/>
      <c r="L11" s="44"/>
      <c r="M11" s="44"/>
      <c r="N11" s="44"/>
      <c r="O11" s="44"/>
      <c r="P11" s="53" t="s">
        <v>869</v>
      </c>
      <c r="Q11" s="54">
        <f>'KPI Sheet'!B3</f>
        <v>12.361666666666666</v>
      </c>
      <c r="R11" s="44"/>
      <c r="S11" s="44"/>
      <c r="T11" s="44"/>
      <c r="U11" s="44"/>
      <c r="V11" s="44"/>
      <c r="W11" s="44"/>
      <c r="X11" s="44"/>
      <c r="Y11" s="45"/>
      <c r="Z11" s="44"/>
    </row>
    <row r="12" spans="2:26" x14ac:dyDescent="0.35">
      <c r="B12" s="43"/>
      <c r="C12" s="44"/>
      <c r="D12" s="44"/>
      <c r="E12" s="44"/>
      <c r="F12" s="44"/>
      <c r="G12" s="44"/>
      <c r="H12" s="44"/>
      <c r="I12" s="44"/>
      <c r="J12" s="44"/>
      <c r="K12" s="44"/>
      <c r="L12" s="44"/>
      <c r="M12" s="44"/>
      <c r="N12" s="44"/>
      <c r="O12" s="44"/>
      <c r="P12" s="53" t="s">
        <v>871</v>
      </c>
      <c r="Q12" s="54">
        <f>'KPI Sheet'!B8</f>
        <v>12.484472398091123</v>
      </c>
      <c r="R12" s="44"/>
      <c r="S12" s="44"/>
      <c r="T12" s="44"/>
      <c r="U12" s="44"/>
      <c r="V12" s="44"/>
      <c r="W12" s="44"/>
      <c r="X12" s="44"/>
      <c r="Y12" s="45"/>
      <c r="Z12" s="44"/>
    </row>
    <row r="13" spans="2:26" x14ac:dyDescent="0.35">
      <c r="B13" s="43"/>
      <c r="C13" s="44"/>
      <c r="D13" s="44"/>
      <c r="E13" s="44"/>
      <c r="F13" s="44"/>
      <c r="G13" s="44"/>
      <c r="H13" s="44"/>
      <c r="I13" s="44"/>
      <c r="J13" s="44"/>
      <c r="K13" s="44"/>
      <c r="L13" s="44"/>
      <c r="M13" s="44"/>
      <c r="N13" s="44"/>
      <c r="O13" s="44"/>
      <c r="P13" s="53" t="s">
        <v>870</v>
      </c>
      <c r="Q13" s="55">
        <f>'Pivot Sheet'!F7</f>
        <v>589750.25022222218</v>
      </c>
      <c r="R13" s="44"/>
      <c r="S13" s="44"/>
      <c r="T13" s="44"/>
      <c r="U13" s="44"/>
      <c r="V13" s="44"/>
      <c r="W13" s="44"/>
      <c r="X13" s="44"/>
      <c r="Y13" s="45"/>
      <c r="Z13" s="44"/>
    </row>
    <row r="14" spans="2:26" x14ac:dyDescent="0.35">
      <c r="B14" s="43"/>
      <c r="C14" s="44"/>
      <c r="D14" s="44"/>
      <c r="E14" s="44"/>
      <c r="F14" s="44"/>
      <c r="G14" s="44"/>
      <c r="H14" s="44"/>
      <c r="I14" s="44"/>
      <c r="J14" s="44"/>
      <c r="K14" s="44"/>
      <c r="L14" s="44"/>
      <c r="M14" s="44"/>
      <c r="N14" s="44"/>
      <c r="O14" s="44"/>
      <c r="P14" s="44"/>
      <c r="Q14" s="44"/>
      <c r="R14" s="44"/>
      <c r="S14" s="44"/>
      <c r="T14" s="44"/>
      <c r="U14" s="44"/>
      <c r="V14" s="44"/>
      <c r="W14" s="44"/>
      <c r="X14" s="44"/>
      <c r="Y14" s="45"/>
      <c r="Z14" s="44"/>
    </row>
    <row r="15" spans="2:26" x14ac:dyDescent="0.35">
      <c r="B15" s="43"/>
      <c r="C15" s="44"/>
      <c r="D15" s="44"/>
      <c r="E15" s="44"/>
      <c r="F15" s="44"/>
      <c r="G15" s="44"/>
      <c r="H15" s="44"/>
      <c r="I15" s="44"/>
      <c r="J15" s="44"/>
      <c r="K15" s="44"/>
      <c r="L15" s="44"/>
      <c r="M15" s="44"/>
      <c r="N15" s="44"/>
      <c r="O15" s="44"/>
      <c r="P15" s="44"/>
      <c r="Q15" s="44"/>
      <c r="R15" s="44"/>
      <c r="S15" s="44"/>
      <c r="T15" s="44"/>
      <c r="U15" s="44"/>
      <c r="V15" s="44"/>
      <c r="W15" s="44"/>
      <c r="X15" s="44"/>
      <c r="Y15" s="45"/>
      <c r="Z15" s="44"/>
    </row>
    <row r="16" spans="2:26" x14ac:dyDescent="0.35">
      <c r="B16" s="43"/>
      <c r="C16" s="44"/>
      <c r="D16" s="44"/>
      <c r="E16" s="44"/>
      <c r="F16" s="44"/>
      <c r="G16" s="44"/>
      <c r="H16" s="44"/>
      <c r="I16" s="44"/>
      <c r="J16" s="44"/>
      <c r="K16" s="44"/>
      <c r="L16" s="44"/>
      <c r="M16" s="44"/>
      <c r="N16" s="44"/>
      <c r="O16" s="44"/>
      <c r="P16" s="44"/>
      <c r="Q16" s="44"/>
      <c r="R16" s="44"/>
      <c r="S16" s="44"/>
      <c r="T16" s="44"/>
      <c r="U16" s="44"/>
      <c r="V16" s="44"/>
      <c r="W16" s="44"/>
      <c r="X16" s="44"/>
      <c r="Y16" s="45"/>
      <c r="Z16" s="44"/>
    </row>
    <row r="17" spans="2:26" x14ac:dyDescent="0.35">
      <c r="B17" s="43"/>
      <c r="C17" s="44"/>
      <c r="D17" s="44"/>
      <c r="E17" s="44"/>
      <c r="F17" s="44"/>
      <c r="G17" s="44"/>
      <c r="H17" s="44"/>
      <c r="I17" s="44"/>
      <c r="J17" s="44"/>
      <c r="K17" s="44"/>
      <c r="L17" s="44"/>
      <c r="M17" s="44"/>
      <c r="N17" s="44"/>
      <c r="O17" s="44"/>
      <c r="P17" s="44"/>
      <c r="Q17" s="44"/>
      <c r="R17" s="44"/>
      <c r="S17" s="44"/>
      <c r="T17" s="44"/>
      <c r="U17" s="44"/>
      <c r="V17" s="44"/>
      <c r="W17" s="44"/>
      <c r="X17" s="44"/>
      <c r="Y17" s="45"/>
      <c r="Z17" s="44"/>
    </row>
    <row r="18" spans="2:26" x14ac:dyDescent="0.35">
      <c r="B18" s="67"/>
      <c r="C18" s="18"/>
      <c r="D18" s="18"/>
      <c r="E18" s="18"/>
      <c r="F18" s="18"/>
      <c r="G18" s="18"/>
      <c r="H18" s="18"/>
      <c r="I18" s="18"/>
      <c r="J18" s="18"/>
      <c r="K18" s="18"/>
      <c r="L18" s="18"/>
      <c r="M18" s="18"/>
      <c r="N18" s="18"/>
      <c r="O18" s="18"/>
      <c r="P18" s="18"/>
      <c r="Q18" s="18"/>
      <c r="R18" s="18"/>
      <c r="S18" s="18"/>
      <c r="T18" s="18"/>
      <c r="U18" s="18"/>
      <c r="V18" s="18"/>
      <c r="W18" s="18"/>
      <c r="X18" s="18"/>
      <c r="Y18" s="68"/>
      <c r="Z18" s="44"/>
    </row>
    <row r="19" spans="2:26" x14ac:dyDescent="0.35">
      <c r="B19" s="43"/>
      <c r="C19" s="44"/>
      <c r="D19" s="44"/>
      <c r="E19" s="44"/>
      <c r="F19" s="44"/>
      <c r="G19" s="44"/>
      <c r="H19" s="44"/>
      <c r="I19" s="44"/>
      <c r="J19" s="44"/>
      <c r="K19" s="44"/>
      <c r="L19" s="44"/>
      <c r="M19" s="44"/>
      <c r="N19" s="44"/>
      <c r="O19" s="44"/>
      <c r="P19" s="44"/>
      <c r="Q19" s="44"/>
      <c r="R19" s="44"/>
      <c r="S19" s="44"/>
      <c r="T19" s="44"/>
      <c r="U19" s="44"/>
      <c r="V19" s="44"/>
      <c r="W19" s="44"/>
      <c r="X19" s="44"/>
      <c r="Y19" s="45"/>
      <c r="Z19" s="44"/>
    </row>
    <row r="20" spans="2:26" x14ac:dyDescent="0.35">
      <c r="B20" s="43"/>
      <c r="C20" s="44"/>
      <c r="D20" s="44"/>
      <c r="E20" s="44"/>
      <c r="F20" s="44"/>
      <c r="G20" s="44"/>
      <c r="H20" s="44"/>
      <c r="I20" s="44"/>
      <c r="J20" s="44"/>
      <c r="K20" s="44"/>
      <c r="L20" s="44"/>
      <c r="M20" s="44"/>
      <c r="N20" s="44"/>
      <c r="O20" s="44"/>
      <c r="P20" s="36" t="s">
        <v>813</v>
      </c>
      <c r="Q20" s="37"/>
      <c r="R20" s="44"/>
      <c r="S20" s="56" t="s">
        <v>878</v>
      </c>
      <c r="T20" s="56"/>
      <c r="U20" s="44"/>
      <c r="V20" s="44"/>
      <c r="W20" s="44"/>
      <c r="X20" s="44"/>
      <c r="Y20" s="45"/>
      <c r="Z20" s="44"/>
    </row>
    <row r="21" spans="2:26" x14ac:dyDescent="0.35">
      <c r="B21" s="43"/>
      <c r="C21" s="44"/>
      <c r="D21" s="44"/>
      <c r="E21" s="44"/>
      <c r="F21" s="44"/>
      <c r="G21" s="44"/>
      <c r="H21" s="44"/>
      <c r="I21" s="44"/>
      <c r="J21" s="44"/>
      <c r="K21" s="44"/>
      <c r="L21" s="44"/>
      <c r="M21" s="44"/>
      <c r="N21" s="44"/>
      <c r="O21" s="44"/>
      <c r="P21" s="24" t="s">
        <v>808</v>
      </c>
      <c r="Q21" s="44" t="s">
        <v>809</v>
      </c>
      <c r="R21" s="44"/>
      <c r="S21" s="59" t="s">
        <v>874</v>
      </c>
      <c r="T21" s="59" t="s">
        <v>809</v>
      </c>
      <c r="U21" s="44"/>
      <c r="V21" s="44"/>
      <c r="W21" s="44"/>
      <c r="X21" s="44"/>
      <c r="Y21" s="45"/>
      <c r="Z21" s="44"/>
    </row>
    <row r="22" spans="2:26" x14ac:dyDescent="0.35">
      <c r="B22" s="43"/>
      <c r="C22" s="44"/>
      <c r="D22" s="44"/>
      <c r="E22" s="44"/>
      <c r="F22" s="44"/>
      <c r="G22" s="44"/>
      <c r="H22" s="44"/>
      <c r="I22" s="44"/>
      <c r="J22" s="44"/>
      <c r="K22" s="44"/>
      <c r="L22" s="44"/>
      <c r="M22" s="44"/>
      <c r="N22" s="44"/>
      <c r="O22" s="44"/>
      <c r="P22" s="24" t="s">
        <v>810</v>
      </c>
      <c r="Q22" s="63">
        <f>Q11</f>
        <v>12.361666666666666</v>
      </c>
      <c r="R22" s="44"/>
      <c r="S22" s="59" t="s">
        <v>875</v>
      </c>
      <c r="T22" s="60">
        <v>6.5600000000000006E-2</v>
      </c>
      <c r="U22" s="44"/>
      <c r="V22" s="44"/>
      <c r="W22" s="44"/>
      <c r="X22" s="44"/>
      <c r="Y22" s="45"/>
      <c r="Z22" s="44"/>
    </row>
    <row r="23" spans="2:26" ht="22" customHeight="1" x14ac:dyDescent="0.35">
      <c r="B23" s="43"/>
      <c r="C23" s="44"/>
      <c r="D23" s="44"/>
      <c r="E23" s="44"/>
      <c r="F23" s="44"/>
      <c r="G23" s="44"/>
      <c r="H23" s="44"/>
      <c r="I23" s="44"/>
      <c r="J23" s="44"/>
      <c r="K23" s="44"/>
      <c r="L23" s="44"/>
      <c r="M23" s="44"/>
      <c r="N23" s="44"/>
      <c r="O23" s="44"/>
      <c r="P23" s="24" t="s">
        <v>814</v>
      </c>
      <c r="Q23" s="44">
        <v>6</v>
      </c>
      <c r="R23" s="44"/>
      <c r="S23" s="59" t="s">
        <v>876</v>
      </c>
      <c r="T23" s="60">
        <v>0.13170000000000001</v>
      </c>
      <c r="U23" s="44"/>
      <c r="V23" s="44"/>
      <c r="W23" s="44"/>
      <c r="X23" s="44"/>
      <c r="Y23" s="45"/>
      <c r="Z23" s="44"/>
    </row>
    <row r="24" spans="2:26" x14ac:dyDescent="0.35">
      <c r="B24" s="43"/>
      <c r="C24" s="44"/>
      <c r="D24" s="44"/>
      <c r="E24" s="44"/>
      <c r="F24" s="44"/>
      <c r="G24" s="44"/>
      <c r="H24" s="44"/>
      <c r="I24" s="44"/>
      <c r="J24" s="44"/>
      <c r="K24" s="44"/>
      <c r="L24" s="44"/>
      <c r="M24" s="44"/>
      <c r="N24" s="44"/>
      <c r="O24" s="44"/>
      <c r="P24" s="24" t="s">
        <v>811</v>
      </c>
      <c r="Q24" s="49">
        <f>(Q22-Q23)/Q22</f>
        <v>0.51462855601995416</v>
      </c>
      <c r="R24" s="44"/>
      <c r="S24" s="59" t="s">
        <v>877</v>
      </c>
      <c r="T24" s="59">
        <v>225</v>
      </c>
      <c r="U24" s="44"/>
      <c r="V24" s="44"/>
      <c r="W24" s="44"/>
      <c r="X24" s="44"/>
      <c r="Y24" s="45"/>
      <c r="Z24" s="44"/>
    </row>
    <row r="25" spans="2:26" x14ac:dyDescent="0.35">
      <c r="B25" s="43"/>
      <c r="C25" s="44"/>
      <c r="D25" s="44"/>
      <c r="E25" s="44"/>
      <c r="F25" s="44"/>
      <c r="G25" s="44"/>
      <c r="H25" s="44"/>
      <c r="I25" s="44"/>
      <c r="J25" s="44"/>
      <c r="K25" s="44"/>
      <c r="L25" s="44"/>
      <c r="M25" s="44"/>
      <c r="N25" s="44"/>
      <c r="O25" s="44"/>
      <c r="P25" s="24" t="s">
        <v>812</v>
      </c>
      <c r="Q25" s="64">
        <f>GETPIVOTDATA("Sum of Due_Amount",'Pivot Sheet'!$A$3)*(Q22-Q23)/30</f>
        <v>589750.25022222218</v>
      </c>
      <c r="R25" s="44"/>
      <c r="S25" s="59" t="s">
        <v>816</v>
      </c>
      <c r="T25" s="60">
        <v>0.1011</v>
      </c>
      <c r="U25" s="44"/>
      <c r="V25" s="44"/>
      <c r="W25" s="44"/>
      <c r="X25" s="44"/>
      <c r="Y25" s="45"/>
      <c r="Z25" s="44"/>
    </row>
    <row r="26" spans="2:26" x14ac:dyDescent="0.35">
      <c r="B26" s="43"/>
      <c r="C26" s="44"/>
      <c r="D26" s="44"/>
      <c r="E26" s="44"/>
      <c r="F26" s="44"/>
      <c r="G26" s="44"/>
      <c r="H26" s="44"/>
      <c r="I26" s="44"/>
      <c r="J26" s="44"/>
      <c r="K26" s="44"/>
      <c r="L26" s="44"/>
      <c r="M26" s="44"/>
      <c r="N26" s="44"/>
      <c r="O26" s="44"/>
      <c r="P26" s="24" t="s">
        <v>815</v>
      </c>
      <c r="Q26" s="49">
        <f>SUM(GETPIVOTDATA("Sum of Due_Amount",'Pivot Sheet'!$A$3,"Delay_Risk_Bucket","Medium Risk(8-15)"),GETPIVOTDATA("Sum of Due_Amount",'Pivot Sheet'!$A$3,"Delay_Risk_Bucket","High Risk(16-30)"))/GETPIVOTDATA("Sum of Due_Amount",'Pivot Sheet'!$A$3)</f>
        <v>0.69733365646547141</v>
      </c>
      <c r="R26" s="44"/>
      <c r="S26" s="44"/>
      <c r="T26" s="44"/>
      <c r="U26" s="44"/>
      <c r="V26" s="44"/>
      <c r="W26" s="44"/>
      <c r="X26" s="44"/>
      <c r="Y26" s="45"/>
      <c r="Z26" s="44"/>
    </row>
    <row r="27" spans="2:26" x14ac:dyDescent="0.35">
      <c r="B27" s="43"/>
      <c r="C27" s="44"/>
      <c r="D27" s="44"/>
      <c r="E27" s="44"/>
      <c r="F27" s="44"/>
      <c r="G27" s="44"/>
      <c r="H27" s="44"/>
      <c r="I27" s="44"/>
      <c r="J27" s="44"/>
      <c r="K27" s="44"/>
      <c r="L27" s="44"/>
      <c r="M27" s="44"/>
      <c r="N27" s="44"/>
      <c r="O27" s="44"/>
      <c r="P27" s="44"/>
      <c r="Q27" s="44"/>
      <c r="R27" s="44"/>
      <c r="S27" s="44"/>
      <c r="T27" s="44"/>
      <c r="U27" s="44"/>
      <c r="V27" s="44"/>
      <c r="W27" s="44"/>
      <c r="X27" s="44"/>
      <c r="Y27" s="45"/>
      <c r="Z27" s="44"/>
    </row>
    <row r="28" spans="2:26" x14ac:dyDescent="0.35">
      <c r="B28" s="43"/>
      <c r="C28" s="44"/>
      <c r="D28" s="44"/>
      <c r="E28" s="44"/>
      <c r="F28" s="44"/>
      <c r="G28" s="44"/>
      <c r="H28" s="44"/>
      <c r="I28" s="44"/>
      <c r="J28" s="44"/>
      <c r="K28" s="44"/>
      <c r="L28" s="44"/>
      <c r="M28" s="44"/>
      <c r="N28" s="44"/>
      <c r="O28" s="44"/>
      <c r="P28" s="44"/>
      <c r="Q28" s="44"/>
      <c r="R28" s="44"/>
      <c r="S28" s="44"/>
      <c r="T28" s="44"/>
      <c r="U28" s="44"/>
      <c r="V28" s="44"/>
      <c r="W28" s="44"/>
      <c r="X28" s="44"/>
      <c r="Y28" s="45"/>
      <c r="Z28" s="44"/>
    </row>
    <row r="29" spans="2:26" x14ac:dyDescent="0.35">
      <c r="B29" s="43"/>
      <c r="C29" s="44"/>
      <c r="D29" s="44"/>
      <c r="E29" s="44"/>
      <c r="F29" s="44"/>
      <c r="G29" s="44"/>
      <c r="H29" s="44"/>
      <c r="I29" s="44"/>
      <c r="J29" s="44"/>
      <c r="K29" s="44"/>
      <c r="L29" s="44"/>
      <c r="M29" s="44"/>
      <c r="N29" s="44"/>
      <c r="O29" s="44"/>
      <c r="P29" s="44"/>
      <c r="Q29" s="44"/>
      <c r="R29" s="44"/>
      <c r="S29" s="44"/>
      <c r="T29" s="44"/>
      <c r="U29" s="44"/>
      <c r="V29" s="44"/>
      <c r="W29" s="44"/>
      <c r="X29" s="44"/>
      <c r="Y29" s="45"/>
      <c r="Z29" s="44"/>
    </row>
    <row r="30" spans="2:26" x14ac:dyDescent="0.35">
      <c r="B30" s="43"/>
      <c r="C30" s="44"/>
      <c r="D30" s="44"/>
      <c r="E30" s="44"/>
      <c r="F30" s="44"/>
      <c r="G30" s="44"/>
      <c r="H30" s="44"/>
      <c r="I30" s="44"/>
      <c r="J30" s="44"/>
      <c r="K30" s="44"/>
      <c r="L30" s="44"/>
      <c r="M30" s="44"/>
      <c r="N30" s="44"/>
      <c r="O30" s="44"/>
      <c r="P30" s="44"/>
      <c r="Q30" s="44"/>
      <c r="R30" s="44"/>
      <c r="S30" s="44"/>
      <c r="T30" s="44"/>
      <c r="U30" s="44"/>
      <c r="V30" s="44"/>
      <c r="W30" s="44"/>
      <c r="X30" s="44"/>
      <c r="Y30" s="45"/>
      <c r="Z30" s="44"/>
    </row>
    <row r="31" spans="2:26" x14ac:dyDescent="0.35">
      <c r="B31" s="43"/>
      <c r="C31" s="44"/>
      <c r="D31" s="44"/>
      <c r="E31" s="44"/>
      <c r="F31" s="44"/>
      <c r="G31" s="44"/>
      <c r="H31" s="44"/>
      <c r="I31" s="44"/>
      <c r="J31" s="44"/>
      <c r="K31" s="44"/>
      <c r="L31" s="44"/>
      <c r="M31" s="44"/>
      <c r="N31" s="44"/>
      <c r="O31" s="44"/>
      <c r="P31" s="44"/>
      <c r="Q31" s="44"/>
      <c r="R31" s="44"/>
      <c r="S31" s="44"/>
      <c r="T31" s="44"/>
      <c r="U31" s="44"/>
      <c r="V31" s="44"/>
      <c r="W31" s="44"/>
      <c r="X31" s="44"/>
      <c r="Y31" s="45"/>
      <c r="Z31" s="44"/>
    </row>
    <row r="32" spans="2:26" x14ac:dyDescent="0.35">
      <c r="B32" s="43"/>
      <c r="C32" s="44"/>
      <c r="D32" s="44"/>
      <c r="E32" s="44"/>
      <c r="F32" s="44"/>
      <c r="G32" s="44"/>
      <c r="H32" s="44"/>
      <c r="I32" s="44"/>
      <c r="J32" s="44"/>
      <c r="K32" s="44"/>
      <c r="L32" s="44"/>
      <c r="M32" s="44"/>
      <c r="N32" s="44"/>
      <c r="O32" s="44"/>
      <c r="P32" s="44"/>
      <c r="Q32" s="44"/>
      <c r="R32" s="44"/>
      <c r="S32" s="44"/>
      <c r="T32" s="44"/>
      <c r="U32" s="44"/>
      <c r="V32" s="44"/>
      <c r="W32" s="44"/>
      <c r="X32" s="44"/>
      <c r="Y32" s="45"/>
      <c r="Z32" s="44"/>
    </row>
    <row r="33" spans="1:26" x14ac:dyDescent="0.35">
      <c r="B33" s="69"/>
      <c r="C33" s="27"/>
      <c r="D33" s="27"/>
      <c r="E33" s="27"/>
      <c r="F33" s="27"/>
      <c r="G33" s="27"/>
      <c r="H33" s="27"/>
      <c r="I33" s="27"/>
      <c r="J33" s="27"/>
      <c r="K33" s="27"/>
      <c r="L33" s="27"/>
      <c r="M33" s="27"/>
      <c r="N33" s="27"/>
      <c r="O33" s="27"/>
      <c r="P33" s="27"/>
      <c r="Q33" s="27"/>
      <c r="R33" s="27"/>
      <c r="S33" s="27"/>
      <c r="T33" s="27"/>
      <c r="U33" s="27"/>
      <c r="V33" s="27"/>
      <c r="W33" s="27"/>
      <c r="X33" s="27"/>
      <c r="Y33" s="70"/>
      <c r="Z33" s="44"/>
    </row>
    <row r="34" spans="1:26" x14ac:dyDescent="0.35">
      <c r="B34" s="43"/>
      <c r="C34" s="44"/>
      <c r="D34" s="44"/>
      <c r="E34" s="44"/>
      <c r="F34" s="44"/>
      <c r="G34" s="44"/>
      <c r="H34" s="44"/>
      <c r="I34" s="44"/>
      <c r="J34" s="44"/>
      <c r="K34" s="44"/>
      <c r="L34" s="44"/>
      <c r="M34" s="44"/>
      <c r="N34" s="44"/>
      <c r="O34" s="44"/>
      <c r="P34" s="44"/>
      <c r="Q34" s="44"/>
      <c r="R34" s="44"/>
      <c r="S34" s="44"/>
      <c r="T34" s="44"/>
      <c r="U34" s="44"/>
      <c r="V34" s="44"/>
      <c r="W34" s="44"/>
      <c r="X34" s="44"/>
      <c r="Y34" s="45"/>
      <c r="Z34" s="44"/>
    </row>
    <row r="35" spans="1:26" x14ac:dyDescent="0.35">
      <c r="B35" s="43"/>
      <c r="C35" s="44"/>
      <c r="D35" s="44"/>
      <c r="E35" s="44"/>
      <c r="F35" s="44"/>
      <c r="G35" s="44"/>
      <c r="H35" s="44"/>
      <c r="I35" s="44"/>
      <c r="J35" s="44"/>
      <c r="K35" s="44"/>
      <c r="L35" s="44"/>
      <c r="M35" s="44"/>
      <c r="N35" s="44"/>
      <c r="O35" s="44"/>
      <c r="P35" s="44"/>
      <c r="Q35" s="44"/>
      <c r="R35" s="44"/>
      <c r="S35" s="44"/>
      <c r="T35" s="56" t="s">
        <v>888</v>
      </c>
      <c r="U35" s="56"/>
      <c r="V35" s="44"/>
      <c r="W35" s="44"/>
      <c r="X35" s="44"/>
      <c r="Y35" s="45"/>
      <c r="Z35" s="44"/>
    </row>
    <row r="36" spans="1:26" ht="15.5" x14ac:dyDescent="0.35">
      <c r="B36" s="43"/>
      <c r="C36" s="44"/>
      <c r="D36" s="44"/>
      <c r="E36" s="44"/>
      <c r="F36" s="44"/>
      <c r="G36" s="44"/>
      <c r="H36" s="44"/>
      <c r="I36" s="44"/>
      <c r="J36" s="44"/>
      <c r="K36" s="44"/>
      <c r="L36" s="44"/>
      <c r="M36" s="44"/>
      <c r="N36" s="44"/>
      <c r="O36" s="44"/>
      <c r="P36" s="44"/>
      <c r="Q36" s="44"/>
      <c r="R36" s="44"/>
      <c r="S36" s="44"/>
      <c r="T36" s="61" t="s">
        <v>879</v>
      </c>
      <c r="U36" s="61" t="s">
        <v>880</v>
      </c>
      <c r="V36" s="44"/>
      <c r="W36" s="44"/>
      <c r="X36" s="44"/>
      <c r="Y36" s="45"/>
      <c r="Z36" s="44"/>
    </row>
    <row r="37" spans="1:26" ht="15.5" x14ac:dyDescent="0.35">
      <c r="A37" s="44"/>
      <c r="B37" s="43"/>
      <c r="C37" s="44"/>
      <c r="D37" s="44"/>
      <c r="E37" s="44"/>
      <c r="F37" s="44"/>
      <c r="G37" s="44"/>
      <c r="H37" s="44"/>
      <c r="I37" s="44"/>
      <c r="J37" s="44"/>
      <c r="K37" s="44"/>
      <c r="L37" s="44"/>
      <c r="M37" s="44"/>
      <c r="N37" s="44"/>
      <c r="O37" s="44"/>
      <c r="P37" s="44"/>
      <c r="Q37" s="44"/>
      <c r="R37" s="44"/>
      <c r="S37" s="44"/>
      <c r="T37" s="61" t="s">
        <v>881</v>
      </c>
      <c r="U37" s="62">
        <v>0.88</v>
      </c>
      <c r="V37" s="44"/>
      <c r="W37" s="44"/>
      <c r="X37" s="44"/>
      <c r="Y37" s="45"/>
      <c r="Z37" s="44"/>
    </row>
    <row r="38" spans="1:26" ht="31" x14ac:dyDescent="0.35">
      <c r="A38" s="44"/>
      <c r="B38" s="43"/>
      <c r="C38" s="44"/>
      <c r="D38" s="44"/>
      <c r="E38" s="44"/>
      <c r="F38" s="44"/>
      <c r="G38" s="44"/>
      <c r="H38" s="44"/>
      <c r="I38" s="44"/>
      <c r="J38" s="44"/>
      <c r="K38" s="44"/>
      <c r="L38" s="44"/>
      <c r="M38" s="44"/>
      <c r="N38" s="44"/>
      <c r="O38" s="44"/>
      <c r="P38" s="44"/>
      <c r="Q38" s="44"/>
      <c r="R38" s="44"/>
      <c r="S38" s="44"/>
      <c r="T38" s="61" t="s">
        <v>882</v>
      </c>
      <c r="U38" s="61" t="s">
        <v>883</v>
      </c>
      <c r="V38" s="44"/>
      <c r="W38" s="44"/>
      <c r="X38" s="44"/>
      <c r="Y38" s="45"/>
      <c r="Z38" s="44"/>
    </row>
    <row r="39" spans="1:26" ht="31" x14ac:dyDescent="0.35">
      <c r="A39" s="44"/>
      <c r="B39" s="43"/>
      <c r="C39" s="44"/>
      <c r="D39" s="44"/>
      <c r="E39" s="44"/>
      <c r="F39" s="44"/>
      <c r="G39" s="44"/>
      <c r="H39" s="44"/>
      <c r="I39" s="44"/>
      <c r="J39" s="44"/>
      <c r="K39" s="44"/>
      <c r="L39" s="44"/>
      <c r="M39" s="44"/>
      <c r="N39" s="44"/>
      <c r="O39" s="44"/>
      <c r="P39" s="44"/>
      <c r="Q39" s="44"/>
      <c r="R39" s="44"/>
      <c r="S39" s="44"/>
      <c r="T39" s="61" t="s">
        <v>884</v>
      </c>
      <c r="U39" s="61" t="s">
        <v>885</v>
      </c>
      <c r="V39" s="44"/>
      <c r="W39" s="44"/>
      <c r="X39" s="44"/>
      <c r="Y39" s="45"/>
      <c r="Z39" s="44"/>
    </row>
    <row r="40" spans="1:26" ht="15.5" x14ac:dyDescent="0.35">
      <c r="A40" s="44"/>
      <c r="B40" s="43"/>
      <c r="C40" s="44"/>
      <c r="D40" s="44"/>
      <c r="E40" s="44"/>
      <c r="F40" s="44"/>
      <c r="G40" s="44"/>
      <c r="H40" s="44"/>
      <c r="I40" s="44"/>
      <c r="J40" s="44"/>
      <c r="K40" s="44"/>
      <c r="L40" s="44"/>
      <c r="M40" s="44"/>
      <c r="N40" s="44"/>
      <c r="O40" s="44"/>
      <c r="P40" s="44"/>
      <c r="Q40" s="44"/>
      <c r="R40" s="44"/>
      <c r="S40" s="44"/>
      <c r="T40" s="61" t="s">
        <v>886</v>
      </c>
      <c r="U40" s="61" t="s">
        <v>887</v>
      </c>
      <c r="V40" s="44"/>
      <c r="W40" s="44"/>
      <c r="X40" s="44"/>
      <c r="Y40" s="45"/>
      <c r="Z40" s="44"/>
    </row>
    <row r="41" spans="1:26" x14ac:dyDescent="0.35">
      <c r="A41" s="44"/>
      <c r="B41" s="43"/>
      <c r="C41" s="44"/>
      <c r="D41" s="44"/>
      <c r="E41" s="44"/>
      <c r="F41" s="44"/>
      <c r="G41" s="44"/>
      <c r="H41" s="44"/>
      <c r="I41" s="44"/>
      <c r="J41" s="44"/>
      <c r="K41" s="44"/>
      <c r="L41" s="44"/>
      <c r="M41" s="44"/>
      <c r="N41" s="44"/>
      <c r="O41" s="44"/>
      <c r="P41" s="44"/>
      <c r="Q41" s="44"/>
      <c r="R41" s="44"/>
      <c r="S41" s="44"/>
      <c r="T41" s="44"/>
      <c r="U41" s="44"/>
      <c r="V41" s="44"/>
      <c r="W41" s="44"/>
      <c r="X41" s="44"/>
      <c r="Y41" s="45"/>
      <c r="Z41" s="44"/>
    </row>
    <row r="42" spans="1:26" x14ac:dyDescent="0.35">
      <c r="A42" s="44"/>
      <c r="B42" s="43"/>
      <c r="C42" s="44"/>
      <c r="D42" s="44"/>
      <c r="E42" s="44"/>
      <c r="F42" s="44"/>
      <c r="G42" s="44"/>
      <c r="H42" s="44"/>
      <c r="I42" s="44"/>
      <c r="J42" s="44"/>
      <c r="K42" s="44"/>
      <c r="L42" s="44"/>
      <c r="M42" s="44"/>
      <c r="N42" s="44"/>
      <c r="O42" s="44"/>
      <c r="P42" s="44"/>
      <c r="Q42" s="44"/>
      <c r="R42" s="44"/>
      <c r="S42" s="44"/>
      <c r="T42" s="44"/>
      <c r="U42" s="44"/>
      <c r="V42" s="44"/>
      <c r="W42" s="44"/>
      <c r="X42" s="44"/>
      <c r="Y42" s="45"/>
      <c r="Z42" s="44"/>
    </row>
    <row r="43" spans="1:26" x14ac:dyDescent="0.35">
      <c r="B43" s="43"/>
      <c r="C43" s="44"/>
      <c r="D43" s="44"/>
      <c r="E43" s="44"/>
      <c r="F43" s="44"/>
      <c r="G43" s="44"/>
      <c r="H43" s="44"/>
      <c r="I43" s="44"/>
      <c r="J43" s="44"/>
      <c r="K43" s="44"/>
      <c r="L43" s="44"/>
      <c r="M43" s="44"/>
      <c r="N43" s="44"/>
      <c r="O43" s="44"/>
      <c r="P43" s="44"/>
      <c r="Q43" s="44"/>
      <c r="R43" s="44"/>
      <c r="S43" s="44"/>
      <c r="T43" s="65"/>
      <c r="U43" s="44"/>
      <c r="V43" s="44"/>
      <c r="W43" s="44"/>
      <c r="X43" s="44"/>
      <c r="Y43" s="45"/>
      <c r="Z43" s="44"/>
    </row>
    <row r="44" spans="1:26" x14ac:dyDescent="0.35">
      <c r="B44" s="69"/>
      <c r="C44" s="27"/>
      <c r="D44" s="27"/>
      <c r="E44" s="27"/>
      <c r="F44" s="27"/>
      <c r="G44" s="27"/>
      <c r="H44" s="27"/>
      <c r="I44" s="27"/>
      <c r="J44" s="27"/>
      <c r="K44" s="27"/>
      <c r="L44" s="27"/>
      <c r="M44" s="27"/>
      <c r="N44" s="27"/>
      <c r="O44" s="27"/>
      <c r="P44" s="27"/>
      <c r="Q44" s="27"/>
      <c r="R44" s="27"/>
      <c r="S44" s="27"/>
      <c r="T44" s="27"/>
      <c r="U44" s="27"/>
      <c r="V44" s="27"/>
      <c r="W44" s="27"/>
      <c r="X44" s="27"/>
      <c r="Y44" s="70"/>
      <c r="Z44" s="44"/>
    </row>
    <row r="45" spans="1:26" x14ac:dyDescent="0.35">
      <c r="B45" s="43"/>
      <c r="C45" s="44"/>
      <c r="D45" s="44"/>
      <c r="E45" s="44"/>
      <c r="F45" s="44"/>
      <c r="G45" s="44"/>
      <c r="H45" s="44"/>
      <c r="I45" s="44"/>
      <c r="J45" s="44"/>
      <c r="K45" s="44"/>
      <c r="L45" s="44"/>
      <c r="M45" s="44"/>
      <c r="N45" s="44"/>
      <c r="O45" s="44"/>
      <c r="P45" s="44"/>
      <c r="Q45" s="44"/>
      <c r="R45" s="44"/>
      <c r="S45" s="44"/>
      <c r="T45" s="44"/>
      <c r="U45" s="44"/>
      <c r="V45" s="44"/>
      <c r="W45" s="44"/>
      <c r="X45" s="44"/>
      <c r="Y45" s="45"/>
      <c r="Z45" s="44"/>
    </row>
    <row r="46" spans="1:26" x14ac:dyDescent="0.35">
      <c r="B46" s="43"/>
      <c r="C46" s="44"/>
      <c r="D46" s="44"/>
      <c r="E46" s="44"/>
      <c r="F46" s="44"/>
      <c r="G46" s="44"/>
      <c r="H46" s="44"/>
      <c r="I46" s="44"/>
      <c r="J46" s="44"/>
      <c r="K46" s="44"/>
      <c r="L46" s="44"/>
      <c r="M46" s="44"/>
      <c r="N46" s="44"/>
      <c r="O46" s="44"/>
      <c r="P46" s="44"/>
      <c r="Q46" s="44"/>
      <c r="R46" s="44"/>
      <c r="S46" s="44"/>
      <c r="T46" s="44"/>
      <c r="U46" s="44"/>
      <c r="V46" s="44"/>
      <c r="W46" s="44"/>
      <c r="X46" s="44"/>
      <c r="Y46" s="45"/>
      <c r="Z46" s="44"/>
    </row>
    <row r="47" spans="1:26" x14ac:dyDescent="0.35">
      <c r="B47" s="43"/>
      <c r="C47" s="44"/>
      <c r="D47" s="44"/>
      <c r="E47" s="44"/>
      <c r="F47" s="44"/>
      <c r="G47" s="44"/>
      <c r="H47" s="44"/>
      <c r="I47" s="44"/>
      <c r="J47" s="44"/>
      <c r="K47" s="44"/>
      <c r="L47" s="44"/>
      <c r="M47" s="44"/>
      <c r="N47" s="44"/>
      <c r="O47" s="44"/>
      <c r="P47" s="44"/>
      <c r="Q47" s="44"/>
      <c r="R47" s="44"/>
      <c r="S47" s="44"/>
      <c r="T47" s="44"/>
      <c r="U47" s="44"/>
      <c r="V47" s="44"/>
      <c r="W47" s="44"/>
      <c r="X47" s="44"/>
      <c r="Y47" s="45"/>
      <c r="Z47" s="44"/>
    </row>
    <row r="48" spans="1:26" ht="15.5" x14ac:dyDescent="0.35">
      <c r="B48" s="43"/>
      <c r="C48" s="44"/>
      <c r="D48" s="44"/>
      <c r="E48" s="44"/>
      <c r="F48" s="44"/>
      <c r="G48" s="44"/>
      <c r="H48" s="44"/>
      <c r="I48" s="44"/>
      <c r="J48" s="44"/>
      <c r="K48" s="44"/>
      <c r="L48" s="44"/>
      <c r="M48" s="44"/>
      <c r="N48" s="44"/>
      <c r="O48" s="66" t="s">
        <v>889</v>
      </c>
      <c r="P48" s="66" t="s">
        <v>890</v>
      </c>
      <c r="Q48" s="44"/>
      <c r="R48" s="44"/>
      <c r="S48" s="44"/>
      <c r="T48" s="44"/>
      <c r="U48" s="44"/>
      <c r="V48" s="44"/>
      <c r="W48" s="44"/>
      <c r="X48" s="44"/>
      <c r="Y48" s="45"/>
      <c r="Z48" s="44"/>
    </row>
    <row r="49" spans="2:26" ht="22" customHeight="1" x14ac:dyDescent="0.35">
      <c r="B49" s="43"/>
      <c r="C49" s="44"/>
      <c r="D49" s="44"/>
      <c r="E49" s="44"/>
      <c r="F49" s="44"/>
      <c r="G49" s="44"/>
      <c r="H49" s="44"/>
      <c r="I49" s="44"/>
      <c r="J49" s="44"/>
      <c r="K49" s="44"/>
      <c r="L49" s="44"/>
      <c r="M49" s="44"/>
      <c r="N49" s="44"/>
      <c r="O49" s="66" t="s">
        <v>891</v>
      </c>
      <c r="P49" s="66" t="s">
        <v>892</v>
      </c>
      <c r="Q49" s="44"/>
      <c r="R49" s="44"/>
      <c r="S49" s="44"/>
      <c r="T49" s="44"/>
      <c r="U49" s="44"/>
      <c r="V49" s="44"/>
      <c r="W49" s="44"/>
      <c r="X49" s="44"/>
      <c r="Y49" s="45"/>
      <c r="Z49" s="44"/>
    </row>
    <row r="50" spans="2:26" ht="21.5" customHeight="1" x14ac:dyDescent="0.35">
      <c r="B50" s="43"/>
      <c r="C50" s="44"/>
      <c r="D50" s="44"/>
      <c r="E50" s="44"/>
      <c r="F50" s="44"/>
      <c r="G50" s="44"/>
      <c r="H50" s="44"/>
      <c r="I50" s="44"/>
      <c r="J50" s="44"/>
      <c r="K50" s="44"/>
      <c r="L50" s="44"/>
      <c r="M50" s="44"/>
      <c r="N50" s="44"/>
      <c r="O50" s="66" t="s">
        <v>812</v>
      </c>
      <c r="P50" s="66" t="s">
        <v>893</v>
      </c>
      <c r="Q50" s="44"/>
      <c r="R50" s="44"/>
      <c r="S50" s="44"/>
      <c r="T50" s="44"/>
      <c r="U50" s="44"/>
      <c r="V50" s="44"/>
      <c r="W50" s="44"/>
      <c r="X50" s="44"/>
      <c r="Y50" s="45"/>
      <c r="Z50" s="44"/>
    </row>
    <row r="51" spans="2:26" ht="22.5" customHeight="1" x14ac:dyDescent="0.35">
      <c r="B51" s="43"/>
      <c r="C51" s="44"/>
      <c r="D51" s="44"/>
      <c r="E51" s="44"/>
      <c r="F51" s="44"/>
      <c r="G51" s="44"/>
      <c r="H51" s="44"/>
      <c r="I51" s="44"/>
      <c r="J51" s="44"/>
      <c r="K51" s="44"/>
      <c r="L51" s="44"/>
      <c r="M51" s="44"/>
      <c r="N51" s="44"/>
      <c r="O51" s="66" t="s">
        <v>894</v>
      </c>
      <c r="P51" s="66" t="s">
        <v>895</v>
      </c>
      <c r="Q51" s="44"/>
      <c r="R51" s="44"/>
      <c r="S51" s="44"/>
      <c r="T51" s="44"/>
      <c r="U51" s="44"/>
      <c r="V51" s="44"/>
      <c r="W51" s="44"/>
      <c r="X51" s="44"/>
      <c r="Y51" s="45"/>
      <c r="Z51" s="44"/>
    </row>
    <row r="52" spans="2:26" x14ac:dyDescent="0.35">
      <c r="B52" s="43"/>
      <c r="C52" s="44"/>
      <c r="D52" s="44"/>
      <c r="E52" s="44"/>
      <c r="F52" s="44"/>
      <c r="G52" s="44"/>
      <c r="H52" s="44"/>
      <c r="I52" s="44"/>
      <c r="J52" s="44"/>
      <c r="K52" s="44"/>
      <c r="L52" s="44"/>
      <c r="M52" s="44"/>
      <c r="N52" s="44"/>
      <c r="O52" s="44"/>
      <c r="P52" s="44"/>
      <c r="Q52" s="44"/>
      <c r="R52" s="44"/>
      <c r="S52" s="44"/>
      <c r="T52" s="44"/>
      <c r="U52" s="44"/>
      <c r="V52" s="44"/>
      <c r="W52" s="44"/>
      <c r="X52" s="44"/>
      <c r="Y52" s="45"/>
      <c r="Z52" s="44"/>
    </row>
    <row r="53" spans="2:26" x14ac:dyDescent="0.35">
      <c r="B53" s="43"/>
      <c r="C53" s="44"/>
      <c r="D53" s="44"/>
      <c r="E53" s="44"/>
      <c r="F53" s="44"/>
      <c r="G53" s="44"/>
      <c r="H53" s="44"/>
      <c r="I53" s="44"/>
      <c r="J53" s="44"/>
      <c r="K53" s="44"/>
      <c r="L53" s="44"/>
      <c r="M53" s="44"/>
      <c r="N53" s="44"/>
      <c r="O53" s="44"/>
      <c r="P53" s="44"/>
      <c r="Q53" s="44"/>
      <c r="R53" s="44"/>
      <c r="S53" s="44"/>
      <c r="T53" s="44"/>
      <c r="U53" s="44"/>
      <c r="V53" s="44"/>
      <c r="W53" s="44"/>
      <c r="X53" s="44"/>
      <c r="Y53" s="45"/>
      <c r="Z53" s="44"/>
    </row>
    <row r="54" spans="2:26" x14ac:dyDescent="0.35">
      <c r="B54" s="43"/>
      <c r="C54" s="44"/>
      <c r="D54" s="44"/>
      <c r="E54" s="44"/>
      <c r="F54" s="44"/>
      <c r="G54" s="44"/>
      <c r="H54" s="44"/>
      <c r="I54" s="44"/>
      <c r="J54" s="44"/>
      <c r="K54" s="44"/>
      <c r="L54" s="44"/>
      <c r="M54" s="44"/>
      <c r="N54" s="44"/>
      <c r="O54" s="44"/>
      <c r="P54" s="44"/>
      <c r="Q54" s="44"/>
      <c r="R54" s="44"/>
      <c r="S54" s="44"/>
      <c r="T54" s="44"/>
      <c r="U54" s="44"/>
      <c r="V54" s="44"/>
      <c r="W54" s="44"/>
      <c r="X54" s="44"/>
      <c r="Y54" s="45"/>
      <c r="Z54" s="44"/>
    </row>
    <row r="55" spans="2:26" x14ac:dyDescent="0.35">
      <c r="B55" s="43"/>
      <c r="C55" s="44"/>
      <c r="D55" s="44"/>
      <c r="E55" s="44"/>
      <c r="F55" s="44"/>
      <c r="G55" s="44"/>
      <c r="H55" s="44"/>
      <c r="I55" s="44"/>
      <c r="J55" s="44"/>
      <c r="K55" s="44"/>
      <c r="L55" s="44"/>
      <c r="M55" s="44"/>
      <c r="N55" s="44"/>
      <c r="O55" s="44"/>
      <c r="P55" s="44"/>
      <c r="Q55" s="44"/>
      <c r="R55" s="44"/>
      <c r="S55" s="44"/>
      <c r="T55" s="44"/>
      <c r="U55" s="44"/>
      <c r="V55" s="44"/>
      <c r="W55" s="44"/>
      <c r="X55" s="44"/>
      <c r="Y55" s="45"/>
      <c r="Z55" s="44"/>
    </row>
    <row r="56" spans="2:26" x14ac:dyDescent="0.35">
      <c r="B56" s="43"/>
      <c r="C56" s="44"/>
      <c r="D56" s="44"/>
      <c r="E56" s="44"/>
      <c r="F56" s="44"/>
      <c r="G56" s="44"/>
      <c r="H56" s="44"/>
      <c r="I56" s="44"/>
      <c r="J56" s="44"/>
      <c r="K56" s="44"/>
      <c r="L56" s="44"/>
      <c r="M56" s="44"/>
      <c r="N56" s="44"/>
      <c r="O56" s="44"/>
      <c r="P56" s="44"/>
      <c r="Q56" s="44"/>
      <c r="R56" s="44"/>
      <c r="S56" s="44"/>
      <c r="T56" s="44"/>
      <c r="U56" s="44"/>
      <c r="V56" s="44"/>
      <c r="W56" s="44"/>
      <c r="X56" s="44"/>
      <c r="Y56" s="45"/>
      <c r="Z56" s="44"/>
    </row>
    <row r="57" spans="2:26" x14ac:dyDescent="0.35">
      <c r="B57" s="43"/>
      <c r="C57" s="44"/>
      <c r="D57" s="44"/>
      <c r="E57" s="44"/>
      <c r="F57" s="44"/>
      <c r="G57" s="44"/>
      <c r="H57" s="44"/>
      <c r="I57" s="44"/>
      <c r="J57" s="44"/>
      <c r="K57" s="44"/>
      <c r="L57" s="44"/>
      <c r="M57" s="44"/>
      <c r="N57" s="44"/>
      <c r="O57" s="44"/>
      <c r="P57" s="44"/>
      <c r="Q57" s="44"/>
      <c r="R57" s="44"/>
      <c r="S57" s="44"/>
      <c r="T57" s="44"/>
      <c r="U57" s="44"/>
      <c r="V57" s="44"/>
      <c r="W57" s="44"/>
      <c r="X57" s="44"/>
      <c r="Y57" s="45"/>
      <c r="Z57" s="44"/>
    </row>
    <row r="58" spans="2:26" x14ac:dyDescent="0.35">
      <c r="B58" s="43"/>
      <c r="C58" s="44"/>
      <c r="D58" s="44"/>
      <c r="E58" s="44"/>
      <c r="F58" s="44"/>
      <c r="G58" s="44"/>
      <c r="H58" s="44"/>
      <c r="I58" s="44"/>
      <c r="J58" s="44"/>
      <c r="K58" s="44"/>
      <c r="L58" s="44"/>
      <c r="M58" s="44"/>
      <c r="N58" s="44"/>
      <c r="O58" s="44"/>
      <c r="P58" s="44"/>
      <c r="Q58" s="44"/>
      <c r="R58" s="44"/>
      <c r="S58" s="44"/>
      <c r="T58" s="44"/>
      <c r="U58" s="44"/>
      <c r="V58" s="44"/>
      <c r="W58" s="44"/>
      <c r="X58" s="44"/>
      <c r="Y58" s="45"/>
      <c r="Z58" s="44"/>
    </row>
    <row r="59" spans="2:26" x14ac:dyDescent="0.35">
      <c r="B59" s="43"/>
      <c r="C59" s="44"/>
      <c r="D59" s="44"/>
      <c r="E59" s="44"/>
      <c r="F59" s="44"/>
      <c r="G59" s="44"/>
      <c r="H59" s="44"/>
      <c r="I59" s="44"/>
      <c r="J59" s="44"/>
      <c r="K59" s="44"/>
      <c r="L59" s="44"/>
      <c r="M59" s="44"/>
      <c r="N59" s="44"/>
      <c r="O59" s="44"/>
      <c r="P59" s="44"/>
      <c r="Q59" s="44"/>
      <c r="R59" s="44"/>
      <c r="S59" s="44"/>
      <c r="T59" s="44"/>
      <c r="U59" s="44"/>
      <c r="V59" s="44"/>
      <c r="W59" s="44"/>
      <c r="X59" s="44"/>
      <c r="Y59" s="45"/>
      <c r="Z59" s="44"/>
    </row>
    <row r="60" spans="2:26" x14ac:dyDescent="0.35">
      <c r="B60" s="43"/>
      <c r="C60" s="44"/>
      <c r="D60" s="44"/>
      <c r="E60" s="44"/>
      <c r="F60" s="44"/>
      <c r="G60" s="44"/>
      <c r="H60" s="44"/>
      <c r="I60" s="44"/>
      <c r="J60" s="44"/>
      <c r="K60" s="44"/>
      <c r="L60" s="44"/>
      <c r="M60" s="44"/>
      <c r="N60" s="44"/>
      <c r="O60" s="44"/>
      <c r="P60" s="44"/>
      <c r="Q60" s="44"/>
      <c r="R60" s="44"/>
      <c r="S60" s="44"/>
      <c r="T60" s="44"/>
      <c r="U60" s="44"/>
      <c r="V60" s="44"/>
      <c r="W60" s="44"/>
      <c r="X60" s="44"/>
      <c r="Y60" s="45"/>
      <c r="Z60" s="44"/>
    </row>
    <row r="61" spans="2:26" x14ac:dyDescent="0.35">
      <c r="B61" s="43"/>
      <c r="C61" s="44"/>
      <c r="D61" s="44"/>
      <c r="E61" s="44"/>
      <c r="F61" s="44"/>
      <c r="G61" s="44"/>
      <c r="H61" s="44"/>
      <c r="I61" s="44"/>
      <c r="J61" s="44"/>
      <c r="K61" s="44"/>
      <c r="L61" s="44"/>
      <c r="M61" s="44"/>
      <c r="N61" s="44"/>
      <c r="O61" s="44"/>
      <c r="P61" s="44"/>
      <c r="Q61" s="44"/>
      <c r="R61" s="44"/>
      <c r="S61" s="44"/>
      <c r="T61" s="44"/>
      <c r="U61" s="44"/>
      <c r="V61" s="44"/>
      <c r="W61" s="44"/>
      <c r="X61" s="44"/>
      <c r="Y61" s="45"/>
      <c r="Z61" s="44"/>
    </row>
    <row r="62" spans="2:26" x14ac:dyDescent="0.35">
      <c r="B62" s="43"/>
      <c r="C62" s="44"/>
      <c r="D62" s="44"/>
      <c r="E62" s="44"/>
      <c r="F62" s="44"/>
      <c r="G62" s="44"/>
      <c r="H62" s="44"/>
      <c r="I62" s="44"/>
      <c r="J62" s="44"/>
      <c r="K62" s="44"/>
      <c r="L62" s="44"/>
      <c r="M62" s="44"/>
      <c r="N62" s="44"/>
      <c r="O62" s="44"/>
      <c r="P62" s="44"/>
      <c r="Q62" s="44"/>
      <c r="R62" s="44"/>
      <c r="S62" s="44"/>
      <c r="T62" s="44"/>
      <c r="U62" s="44"/>
      <c r="V62" s="44"/>
      <c r="W62" s="44"/>
      <c r="X62" s="44"/>
      <c r="Y62" s="45"/>
      <c r="Z62" s="44"/>
    </row>
    <row r="63" spans="2:26" x14ac:dyDescent="0.35">
      <c r="B63" s="43"/>
      <c r="C63" s="44"/>
      <c r="D63" s="44"/>
      <c r="E63" s="44"/>
      <c r="F63" s="44"/>
      <c r="G63" s="44"/>
      <c r="H63" s="44"/>
      <c r="I63" s="44"/>
      <c r="J63" s="44"/>
      <c r="K63" s="44"/>
      <c r="L63" s="44"/>
      <c r="M63" s="44"/>
      <c r="N63" s="44"/>
      <c r="O63" s="44"/>
      <c r="P63" s="44"/>
      <c r="Q63" s="44"/>
      <c r="R63" s="44"/>
      <c r="S63" s="44"/>
      <c r="T63" s="44"/>
      <c r="U63" s="44"/>
      <c r="V63" s="44"/>
      <c r="W63" s="44"/>
      <c r="X63" s="44"/>
      <c r="Y63" s="45"/>
      <c r="Z63" s="44"/>
    </row>
    <row r="64" spans="2:26" x14ac:dyDescent="0.35">
      <c r="B64" s="43"/>
      <c r="C64" s="44"/>
      <c r="D64" s="44"/>
      <c r="E64" s="44"/>
      <c r="F64" s="44"/>
      <c r="G64" s="44"/>
      <c r="H64" s="44"/>
      <c r="I64" s="44"/>
      <c r="J64" s="44"/>
      <c r="K64" s="44"/>
      <c r="L64" s="44"/>
      <c r="M64" s="44"/>
      <c r="N64" s="44"/>
      <c r="O64" s="44"/>
      <c r="P64" s="44"/>
      <c r="Q64" s="44"/>
      <c r="R64" s="44"/>
      <c r="S64" s="44"/>
      <c r="T64" s="44"/>
      <c r="U64" s="44"/>
      <c r="V64" s="44"/>
      <c r="W64" s="44"/>
      <c r="X64" s="44"/>
      <c r="Y64" s="45"/>
      <c r="Z64" s="44"/>
    </row>
    <row r="65" spans="2:26" x14ac:dyDescent="0.35">
      <c r="B65" s="43"/>
      <c r="C65" s="44"/>
      <c r="D65" s="44"/>
      <c r="E65" s="44"/>
      <c r="F65" s="44"/>
      <c r="G65" s="44"/>
      <c r="H65" s="44"/>
      <c r="I65" s="44"/>
      <c r="J65" s="44"/>
      <c r="K65" s="44"/>
      <c r="L65" s="44"/>
      <c r="M65" s="44"/>
      <c r="N65" s="44"/>
      <c r="O65" s="44"/>
      <c r="P65" s="44"/>
      <c r="Q65" s="44"/>
      <c r="R65" s="44"/>
      <c r="S65" s="44"/>
      <c r="T65" s="44"/>
      <c r="U65" s="44"/>
      <c r="V65" s="44"/>
      <c r="W65" s="44"/>
      <c r="X65" s="44"/>
      <c r="Y65" s="45"/>
      <c r="Z65" s="44"/>
    </row>
    <row r="66" spans="2:26" x14ac:dyDescent="0.35">
      <c r="B66" s="43"/>
      <c r="C66" s="44"/>
      <c r="D66" s="44"/>
      <c r="E66" s="44"/>
      <c r="F66" s="44"/>
      <c r="G66" s="44"/>
      <c r="H66" s="44"/>
      <c r="I66" s="44"/>
      <c r="J66" s="44"/>
      <c r="K66" s="44"/>
      <c r="L66" s="44"/>
      <c r="M66" s="44"/>
      <c r="N66" s="44"/>
      <c r="O66" s="44"/>
      <c r="P66" s="44"/>
      <c r="Q66" s="44"/>
      <c r="R66" s="44"/>
      <c r="S66" s="44"/>
      <c r="T66" s="44"/>
      <c r="U66" s="44"/>
      <c r="V66" s="44"/>
      <c r="W66" s="44"/>
      <c r="X66" s="44"/>
      <c r="Y66" s="45"/>
      <c r="Z66" s="44"/>
    </row>
    <row r="67" spans="2:26" x14ac:dyDescent="0.35">
      <c r="B67" s="43"/>
      <c r="C67" s="44"/>
      <c r="D67" s="44"/>
      <c r="E67" s="44"/>
      <c r="F67" s="44"/>
      <c r="G67" s="44"/>
      <c r="H67" s="44"/>
      <c r="I67" s="44"/>
      <c r="J67" s="44"/>
      <c r="K67" s="44"/>
      <c r="L67" s="44"/>
      <c r="M67" s="44"/>
      <c r="N67" s="44"/>
      <c r="O67" s="44"/>
      <c r="P67" s="44"/>
      <c r="Q67" s="44"/>
      <c r="R67" s="44"/>
      <c r="S67" s="44"/>
      <c r="T67" s="44"/>
      <c r="U67" s="44"/>
      <c r="V67" s="44"/>
      <c r="W67" s="44"/>
      <c r="X67" s="44"/>
      <c r="Y67" s="45"/>
      <c r="Z67" s="44"/>
    </row>
    <row r="68" spans="2:26" x14ac:dyDescent="0.35">
      <c r="B68" s="43"/>
      <c r="C68" s="44"/>
      <c r="D68" s="44"/>
      <c r="E68" s="44"/>
      <c r="F68" s="44"/>
      <c r="G68" s="44"/>
      <c r="H68" s="44"/>
      <c r="I68" s="44"/>
      <c r="J68" s="44"/>
      <c r="K68" s="44"/>
      <c r="L68" s="44"/>
      <c r="M68" s="44"/>
      <c r="N68" s="44"/>
      <c r="O68" s="44"/>
      <c r="P68" s="44"/>
      <c r="Q68" s="44"/>
      <c r="R68" s="44"/>
      <c r="S68" s="44"/>
      <c r="T68" s="44"/>
      <c r="U68" s="44"/>
      <c r="V68" s="44"/>
      <c r="W68" s="44"/>
      <c r="X68" s="44"/>
      <c r="Y68" s="45"/>
      <c r="Z68" s="44"/>
    </row>
    <row r="69" spans="2:26" x14ac:dyDescent="0.35">
      <c r="B69" s="43"/>
      <c r="C69" s="44"/>
      <c r="D69" s="44"/>
      <c r="E69" s="44"/>
      <c r="F69" s="44"/>
      <c r="G69" s="44"/>
      <c r="H69" s="44"/>
      <c r="I69" s="44"/>
      <c r="J69" s="44"/>
      <c r="K69" s="44"/>
      <c r="L69" s="44"/>
      <c r="M69" s="44"/>
      <c r="N69" s="44"/>
      <c r="O69" s="44"/>
      <c r="P69" s="44"/>
      <c r="Q69" s="44"/>
      <c r="R69" s="44"/>
      <c r="S69" s="44"/>
      <c r="T69" s="44"/>
      <c r="U69" s="44"/>
      <c r="V69" s="44"/>
      <c r="W69" s="44"/>
      <c r="X69" s="44"/>
      <c r="Y69" s="45"/>
      <c r="Z69" s="44"/>
    </row>
    <row r="70" spans="2:26" x14ac:dyDescent="0.35">
      <c r="B70" s="43"/>
      <c r="C70" s="44"/>
      <c r="D70" s="44"/>
      <c r="E70" s="44"/>
      <c r="F70" s="44"/>
      <c r="G70" s="44"/>
      <c r="H70" s="44"/>
      <c r="I70" s="44"/>
      <c r="J70" s="44"/>
      <c r="K70" s="44"/>
      <c r="L70" s="44"/>
      <c r="M70" s="44"/>
      <c r="N70" s="44"/>
      <c r="O70" s="44"/>
      <c r="P70" s="44"/>
      <c r="Q70" s="44"/>
      <c r="R70" s="44"/>
      <c r="S70" s="44"/>
      <c r="T70" s="44"/>
      <c r="U70" s="44"/>
      <c r="V70" s="44"/>
      <c r="W70" s="44"/>
      <c r="X70" s="44"/>
      <c r="Y70" s="45"/>
      <c r="Z70" s="44"/>
    </row>
    <row r="71" spans="2:26" x14ac:dyDescent="0.35">
      <c r="B71" s="43"/>
      <c r="C71" s="44"/>
      <c r="D71" s="44"/>
      <c r="E71" s="44"/>
      <c r="F71" s="44"/>
      <c r="G71" s="44"/>
      <c r="H71" s="44"/>
      <c r="I71" s="44"/>
      <c r="J71" s="44"/>
      <c r="K71" s="44"/>
      <c r="L71" s="44"/>
      <c r="M71" s="44"/>
      <c r="N71" s="44"/>
      <c r="O71" s="44"/>
      <c r="P71" s="44"/>
      <c r="Q71" s="44"/>
      <c r="R71" s="44"/>
      <c r="S71" s="44"/>
      <c r="T71" s="44"/>
      <c r="U71" s="44"/>
      <c r="V71" s="44"/>
      <c r="W71" s="44"/>
      <c r="X71" s="44"/>
      <c r="Y71" s="45"/>
      <c r="Z71" s="44"/>
    </row>
    <row r="72" spans="2:26" x14ac:dyDescent="0.35">
      <c r="B72" s="43"/>
      <c r="C72" s="44"/>
      <c r="D72" s="44"/>
      <c r="E72" s="44"/>
      <c r="F72" s="44"/>
      <c r="G72" s="44"/>
      <c r="H72" s="44"/>
      <c r="I72" s="44"/>
      <c r="J72" s="44"/>
      <c r="K72" s="44"/>
      <c r="L72" s="44"/>
      <c r="M72" s="44"/>
      <c r="N72" s="44"/>
      <c r="O72" s="44"/>
      <c r="P72" s="44"/>
      <c r="Q72" s="44"/>
      <c r="R72" s="44"/>
      <c r="S72" s="44"/>
      <c r="T72" s="44"/>
      <c r="U72" s="44"/>
      <c r="V72" s="44"/>
      <c r="W72" s="44"/>
      <c r="X72" s="44"/>
      <c r="Y72" s="45"/>
      <c r="Z72" s="44"/>
    </row>
    <row r="73" spans="2:26" ht="15" thickBot="1" x14ac:dyDescent="0.4">
      <c r="B73" s="46"/>
      <c r="C73" s="47"/>
      <c r="D73" s="47"/>
      <c r="E73" s="47"/>
      <c r="F73" s="47"/>
      <c r="G73" s="47"/>
      <c r="H73" s="47"/>
      <c r="I73" s="47"/>
      <c r="J73" s="47"/>
      <c r="K73" s="47"/>
      <c r="L73" s="47"/>
      <c r="M73" s="47"/>
      <c r="N73" s="47"/>
      <c r="O73" s="47"/>
      <c r="P73" s="47"/>
      <c r="Q73" s="47"/>
      <c r="R73" s="47"/>
      <c r="S73" s="47"/>
      <c r="T73" s="47"/>
      <c r="U73" s="47"/>
      <c r="V73" s="47"/>
      <c r="W73" s="47"/>
      <c r="X73" s="47"/>
      <c r="Y73" s="48"/>
      <c r="Z73" s="44"/>
    </row>
    <row r="74" spans="2:26" x14ac:dyDescent="0.35">
      <c r="Z74" s="44"/>
    </row>
  </sheetData>
  <mergeCells count="7">
    <mergeCell ref="P20:Q20"/>
    <mergeCell ref="S20:T20"/>
    <mergeCell ref="T35:U35"/>
    <mergeCell ref="P7:Q7"/>
    <mergeCell ref="S7:U7"/>
    <mergeCell ref="U8:U10"/>
    <mergeCell ref="S8:T10"/>
  </mergeCells>
  <pageMargins left="0.7" right="0.7" top="0.75" bottom="0.75" header="0.3" footer="0.3"/>
  <pageSetup orientation="portrait" r:id="rId1"/>
  <drawing r:id="rId2"/>
  <tableParts count="5">
    <tablePart r:id="rId3"/>
    <tablePart r:id="rId4"/>
    <tablePart r:id="rId5"/>
    <tablePart r:id="rId6"/>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C060615E-9AB0-43C4-8F79-9267A0D8780E}">
          <x14:formula1>
            <xm:f>'KPI Sheet'!$A$3:$A$27</xm:f>
          </x14:formula1>
          <xm:sqref>S8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63979-AB08-4192-8FB2-8CF38DE506C2}">
  <dimension ref="A2:B27"/>
  <sheetViews>
    <sheetView workbookViewId="0">
      <selection activeCell="L25" sqref="L25"/>
    </sheetView>
  </sheetViews>
  <sheetFormatPr defaultRowHeight="14.5" x14ac:dyDescent="0.35"/>
  <cols>
    <col min="1" max="1" width="30" bestFit="1" customWidth="1"/>
    <col min="2" max="2" width="19.453125" bestFit="1" customWidth="1"/>
    <col min="3" max="3" width="19" bestFit="1" customWidth="1"/>
    <col min="4" max="4" width="23.6328125" customWidth="1"/>
    <col min="5" max="5" width="24.08984375" customWidth="1"/>
    <col min="6" max="6" width="11.90625" bestFit="1" customWidth="1"/>
  </cols>
  <sheetData>
    <row r="2" spans="1:2" x14ac:dyDescent="0.35">
      <c r="A2" t="s">
        <v>798</v>
      </c>
      <c r="B2" t="s">
        <v>799</v>
      </c>
    </row>
    <row r="3" spans="1:2" x14ac:dyDescent="0.35">
      <c r="A3" t="s">
        <v>791</v>
      </c>
      <c r="B3" s="5">
        <f>AVERAGE(Table2[[#All],[Delay_Days]])</f>
        <v>12.361666666666666</v>
      </c>
    </row>
    <row r="4" spans="1:2" x14ac:dyDescent="0.35">
      <c r="A4" t="s">
        <v>792</v>
      </c>
      <c r="B4" s="6">
        <f>COUNTIF(Table2[Delay_Days],"&gt;0")/COUNT(Table2[[#All],[Delay_Days]])</f>
        <v>0.94333333333333336</v>
      </c>
    </row>
    <row r="5" spans="1:2" x14ac:dyDescent="0.35">
      <c r="A5" t="s">
        <v>793</v>
      </c>
      <c r="B5" s="6">
        <f>COUNTIF(Table2[Delay_Days],"&gt;7")/COUNT(Table2[[#All],[Delay_Days]])</f>
        <v>0.68833333333333335</v>
      </c>
    </row>
    <row r="6" spans="1:2" x14ac:dyDescent="0.35">
      <c r="A6" t="s">
        <v>794</v>
      </c>
      <c r="B6" s="6">
        <f>COUNTIF(Table2[Delay_Days],"&gt;15")/COUNT(Table2[[#All],[Delay_Days]])</f>
        <v>0.37333333333333335</v>
      </c>
    </row>
    <row r="7" spans="1:2" x14ac:dyDescent="0.35">
      <c r="A7" t="s">
        <v>795</v>
      </c>
      <c r="B7" s="11">
        <f>SUM(Table2[WC_Blocked])</f>
        <v>34720716</v>
      </c>
    </row>
    <row r="8" spans="1:2" x14ac:dyDescent="0.35">
      <c r="A8" t="s">
        <v>796</v>
      </c>
      <c r="B8" s="5">
        <f>SUM(Table2[WC_Blocked])/SUM(Table2[[#All],[Due_Amount]])</f>
        <v>12.484472398091123</v>
      </c>
    </row>
    <row r="9" spans="1:2" x14ac:dyDescent="0.35">
      <c r="A9" t="s">
        <v>816</v>
      </c>
      <c r="B9" s="6">
        <f>SUM(Table2[[#All],[Due_Amount]])/SUM(Table2[[#All],[Payment_Date]])</f>
        <v>0.10110967856960688</v>
      </c>
    </row>
    <row r="10" spans="1:2" x14ac:dyDescent="0.35">
      <c r="A10" t="s">
        <v>818</v>
      </c>
      <c r="B10" s="11">
        <f>SUM(Table2[[#All],[Due_Amount]])</f>
        <v>2781112</v>
      </c>
    </row>
    <row r="11" spans="1:2" x14ac:dyDescent="0.35">
      <c r="A11" t="s">
        <v>819</v>
      </c>
      <c r="B11" s="11">
        <f>SUM(Table2[Outstanding_Amount])</f>
        <v>182472</v>
      </c>
    </row>
    <row r="12" spans="1:2" x14ac:dyDescent="0.35">
      <c r="A12" t="s">
        <v>820</v>
      </c>
      <c r="B12" s="6">
        <f>B11/B10</f>
        <v>6.561116560570017E-2</v>
      </c>
    </row>
    <row r="13" spans="1:2" x14ac:dyDescent="0.35">
      <c r="A13" t="s">
        <v>828</v>
      </c>
      <c r="B13" s="11">
        <f>SUM(Table2[[#All],[Leakage Calculations]])</f>
        <v>366266.38666666561</v>
      </c>
    </row>
    <row r="14" spans="1:2" x14ac:dyDescent="0.35">
      <c r="A14" t="s">
        <v>829</v>
      </c>
      <c r="B14">
        <f>COUNTIF(Table2[Under_Market_Flag],"Underpriced")</f>
        <v>225</v>
      </c>
    </row>
    <row r="15" spans="1:2" x14ac:dyDescent="0.35">
      <c r="A15" t="s">
        <v>830</v>
      </c>
      <c r="B15" s="11">
        <f>Rent_Collections!J2</f>
        <v>4635.1866666666665</v>
      </c>
    </row>
    <row r="16" spans="1:2" x14ac:dyDescent="0.35">
      <c r="A16" t="s">
        <v>831</v>
      </c>
      <c r="B16" s="6">
        <f>B13/SUM(Table2[Due_Amount])</f>
        <v>0.13169781967308961</v>
      </c>
    </row>
    <row r="17" spans="1:2" x14ac:dyDescent="0.35">
      <c r="A17" t="s">
        <v>833</v>
      </c>
      <c r="B17" s="5">
        <f ca="1">AVERAGEIF(Table1[[#All],[Renewal_Status]],"Expired",Table1[[#All],[Days_After_Expiry]])</f>
        <v>416.19191919191917</v>
      </c>
    </row>
    <row r="18" spans="1:2" x14ac:dyDescent="0.35">
      <c r="A18" t="s">
        <v>834</v>
      </c>
      <c r="B18" s="6">
        <f>COUNTIF(Table1[[#All],[Renewal_Status]],"Expired")/COUNTA(Table1[Lease_ID])</f>
        <v>0.33</v>
      </c>
    </row>
    <row r="19" spans="1:2" x14ac:dyDescent="0.35">
      <c r="A19" t="s">
        <v>838</v>
      </c>
      <c r="B19" s="6">
        <f>SUM(GETPIVOTDATA("Lease_ID",'Pivot Sheet'!$A$21,"Expiry_Risk_Category","Expired"),GETPIVOTDATA("Lease_ID",'Pivot Sheet'!$A$21,"Expiry_Risk_Category","High Risk"),GETPIVOTDATA("Lease_ID",'Pivot Sheet'!$A$21,"Expiry_Risk_Category","Medium Risk"))/GETPIVOTDATA("Lease_ID",'Pivot Sheet'!$A$21)</f>
        <v>0.88</v>
      </c>
    </row>
    <row r="20" spans="1:2" x14ac:dyDescent="0.35">
      <c r="A20" t="s">
        <v>848</v>
      </c>
      <c r="B20" s="5">
        <f>AVERAGEIF(Table1[[#All],[Escalation_Accuracy_%]],"&gt;0")</f>
        <v>1.0581192880063868</v>
      </c>
    </row>
    <row r="21" spans="1:2" x14ac:dyDescent="0.35">
      <c r="A21" t="s">
        <v>849</v>
      </c>
      <c r="B21" s="6">
        <f>COUNTIF(Table1[Escalation_Accuracy_%],"&lt;1")/COUNT(Table1[Escalation_Accuracy_%])</f>
        <v>0.56321839080459768</v>
      </c>
    </row>
    <row r="22" spans="1:2" x14ac:dyDescent="0.35">
      <c r="A22" t="s">
        <v>851</v>
      </c>
      <c r="B22">
        <f>COUNTIF(Table1[[#All],[Renewal_Status]],"Expired")</f>
        <v>99</v>
      </c>
    </row>
    <row r="23" spans="1:2" x14ac:dyDescent="0.35">
      <c r="A23" t="s">
        <v>850</v>
      </c>
      <c r="B23" s="6">
        <f>B22/GETPIVOTDATA("Lease_ID",'Pivot Sheet'!$A$21)</f>
        <v>0.33</v>
      </c>
    </row>
    <row r="24" spans="1:2" x14ac:dyDescent="0.35">
      <c r="A24" t="s">
        <v>852</v>
      </c>
      <c r="B24" s="6">
        <f>1-B23</f>
        <v>0.66999999999999993</v>
      </c>
    </row>
    <row r="25" spans="1:2" x14ac:dyDescent="0.35">
      <c r="A25" t="s">
        <v>855</v>
      </c>
      <c r="B25">
        <f>ROUNDUP(0.1*'Pivot Sheet'!B168,0)</f>
        <v>14</v>
      </c>
    </row>
    <row r="26" spans="1:2" x14ac:dyDescent="0.35">
      <c r="A26" t="s">
        <v>856</v>
      </c>
      <c r="B26" s="11">
        <f>SUM('Pivot Sheet'!B30:B43)</f>
        <v>1209682</v>
      </c>
    </row>
    <row r="27" spans="1:2" x14ac:dyDescent="0.35">
      <c r="A27" t="s">
        <v>857</v>
      </c>
      <c r="B27" s="6">
        <f>B26/GETPIVOTDATA("Cost",'Pivot Sheet'!$A$29)</f>
        <v>0.22636159074854628</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08B6-A742-4893-A686-6CD7E1A9E1E2}">
  <dimension ref="A2:Q168"/>
  <sheetViews>
    <sheetView topLeftCell="A13" workbookViewId="0">
      <selection activeCell="F52" sqref="F52"/>
    </sheetView>
  </sheetViews>
  <sheetFormatPr defaultRowHeight="14.5" x14ac:dyDescent="0.35"/>
  <cols>
    <col min="1" max="1" width="24.36328125" customWidth="1"/>
    <col min="2" max="2" width="26.36328125" bestFit="1" customWidth="1"/>
    <col min="3" max="3" width="19" bestFit="1" customWidth="1"/>
    <col min="4" max="4" width="15.81640625" bestFit="1" customWidth="1"/>
    <col min="5" max="5" width="24.08984375" bestFit="1" customWidth="1"/>
    <col min="6" max="7" width="25.54296875" bestFit="1" customWidth="1"/>
    <col min="9" max="9" width="15.453125" customWidth="1"/>
    <col min="10" max="10" width="12" customWidth="1"/>
  </cols>
  <sheetData>
    <row r="2" spans="1:17" x14ac:dyDescent="0.35">
      <c r="B2" s="10" t="s">
        <v>823</v>
      </c>
      <c r="E2" s="36" t="s">
        <v>813</v>
      </c>
      <c r="F2" s="37"/>
      <c r="G2" s="18"/>
      <c r="H2" s="18"/>
      <c r="I2" s="18"/>
      <c r="J2" s="18"/>
      <c r="K2" s="18"/>
      <c r="L2" s="18"/>
      <c r="M2" s="18"/>
      <c r="N2" s="18"/>
      <c r="O2" s="18"/>
      <c r="P2" s="18"/>
      <c r="Q2" s="19"/>
    </row>
    <row r="3" spans="1:17" x14ac:dyDescent="0.35">
      <c r="A3" s="8" t="s">
        <v>806</v>
      </c>
      <c r="B3" t="s">
        <v>805</v>
      </c>
      <c r="C3" s="11" t="s">
        <v>807</v>
      </c>
      <c r="E3" s="24" t="s">
        <v>808</v>
      </c>
      <c r="F3" t="s">
        <v>809</v>
      </c>
      <c r="Q3" s="21"/>
    </row>
    <row r="4" spans="1:17" x14ac:dyDescent="0.35">
      <c r="A4" s="9" t="s">
        <v>800</v>
      </c>
      <c r="B4">
        <v>224</v>
      </c>
      <c r="C4" s="11">
        <v>1050564</v>
      </c>
      <c r="E4" s="24" t="s">
        <v>810</v>
      </c>
      <c r="F4" s="5">
        <f>'KPI Sheet'!B3</f>
        <v>12.361666666666666</v>
      </c>
      <c r="Q4" s="21"/>
    </row>
    <row r="5" spans="1:17" x14ac:dyDescent="0.35">
      <c r="A5" s="9" t="s">
        <v>801</v>
      </c>
      <c r="B5">
        <v>153</v>
      </c>
      <c r="C5" s="11">
        <v>682734</v>
      </c>
      <c r="E5" s="24" t="s">
        <v>814</v>
      </c>
      <c r="F5">
        <v>6</v>
      </c>
      <c r="Q5" s="21"/>
    </row>
    <row r="6" spans="1:17" x14ac:dyDescent="0.35">
      <c r="A6" s="9" t="s">
        <v>802</v>
      </c>
      <c r="B6">
        <v>189</v>
      </c>
      <c r="C6" s="11">
        <v>888799</v>
      </c>
      <c r="E6" s="24" t="s">
        <v>811</v>
      </c>
      <c r="F6" s="6">
        <f>(F4-F5)/F4</f>
        <v>0.51462855601995416</v>
      </c>
      <c r="Q6" s="21"/>
    </row>
    <row r="7" spans="1:17" x14ac:dyDescent="0.35">
      <c r="A7" s="9" t="s">
        <v>803</v>
      </c>
      <c r="B7">
        <v>34</v>
      </c>
      <c r="C7" s="11">
        <v>159015</v>
      </c>
      <c r="E7" s="24" t="s">
        <v>812</v>
      </c>
      <c r="F7" s="11">
        <f>GETPIVOTDATA("Sum of Due_Amount",'Pivot Sheet'!$A$3)*(F4-F5)/30</f>
        <v>589750.25022222218</v>
      </c>
      <c r="Q7" s="21"/>
    </row>
    <row r="8" spans="1:17" x14ac:dyDescent="0.35">
      <c r="A8" s="9" t="s">
        <v>804</v>
      </c>
      <c r="B8">
        <v>600</v>
      </c>
      <c r="C8" s="11">
        <v>2781112</v>
      </c>
      <c r="E8" s="24" t="s">
        <v>815</v>
      </c>
      <c r="F8" s="6">
        <f>SUM(GETPIVOTDATA("Sum of Due_Amount",'Pivot Sheet'!$A$3,"Delay_Risk_Bucket","Medium Risk(8-15)"),GETPIVOTDATA("Sum of Due_Amount",'Pivot Sheet'!$A$3,"Delay_Risk_Bucket","High Risk(16-30)"))/GETPIVOTDATA("Sum of Due_Amount",'Pivot Sheet'!$A$3)</f>
        <v>0.69733365646547141</v>
      </c>
      <c r="Q8" s="21"/>
    </row>
    <row r="9" spans="1:17" x14ac:dyDescent="0.35">
      <c r="E9" s="26"/>
      <c r="F9" s="27"/>
      <c r="G9" s="27"/>
      <c r="H9" s="27"/>
      <c r="I9" s="27"/>
      <c r="J9" s="27"/>
      <c r="K9" s="27"/>
      <c r="L9" s="27"/>
      <c r="M9" s="27"/>
      <c r="N9" s="27"/>
      <c r="O9" s="27"/>
      <c r="P9" s="27"/>
      <c r="Q9" s="28"/>
    </row>
    <row r="12" spans="1:17" x14ac:dyDescent="0.35">
      <c r="A12" s="36" t="s">
        <v>822</v>
      </c>
      <c r="B12" s="37"/>
      <c r="C12" s="18"/>
      <c r="D12" s="18"/>
      <c r="E12" s="18"/>
      <c r="F12" s="18"/>
      <c r="G12" s="18"/>
      <c r="H12" s="18"/>
      <c r="I12" s="19"/>
    </row>
    <row r="13" spans="1:17" x14ac:dyDescent="0.35">
      <c r="A13" s="20" t="s">
        <v>806</v>
      </c>
      <c r="B13" t="s">
        <v>821</v>
      </c>
      <c r="I13" s="21"/>
    </row>
    <row r="14" spans="1:17" ht="15.5" x14ac:dyDescent="0.35">
      <c r="A14" s="22" t="s">
        <v>800</v>
      </c>
      <c r="B14" s="31">
        <v>105910</v>
      </c>
      <c r="I14" s="21"/>
    </row>
    <row r="15" spans="1:17" ht="16" thickBot="1" x14ac:dyDescent="0.4">
      <c r="A15" s="22" t="s">
        <v>801</v>
      </c>
      <c r="B15" s="12">
        <v>0</v>
      </c>
      <c r="I15" s="21"/>
    </row>
    <row r="16" spans="1:17" ht="16" thickTop="1" x14ac:dyDescent="0.35">
      <c r="A16" s="22" t="s">
        <v>802</v>
      </c>
      <c r="B16" s="32">
        <v>76562</v>
      </c>
      <c r="I16" s="21"/>
    </row>
    <row r="17" spans="1:12" ht="15.5" x14ac:dyDescent="0.35">
      <c r="A17" s="22" t="s">
        <v>803</v>
      </c>
      <c r="B17" s="33">
        <v>0</v>
      </c>
      <c r="I17" s="21"/>
    </row>
    <row r="18" spans="1:12" x14ac:dyDescent="0.35">
      <c r="A18" s="34" t="s">
        <v>804</v>
      </c>
      <c r="B18" s="35">
        <v>182472</v>
      </c>
      <c r="C18" s="27"/>
      <c r="D18" s="27"/>
      <c r="E18" s="27"/>
      <c r="F18" s="27"/>
      <c r="G18" s="27"/>
      <c r="H18" s="27"/>
      <c r="I18" s="28"/>
    </row>
    <row r="20" spans="1:12" x14ac:dyDescent="0.35">
      <c r="A20" s="38" t="s">
        <v>844</v>
      </c>
      <c r="B20" s="39"/>
      <c r="C20" s="18"/>
      <c r="D20" s="18"/>
      <c r="E20" s="18"/>
      <c r="F20" s="18"/>
      <c r="G20" s="18"/>
      <c r="H20" s="19"/>
    </row>
    <row r="21" spans="1:12" x14ac:dyDescent="0.35">
      <c r="A21" s="20" t="s">
        <v>839</v>
      </c>
      <c r="B21" t="s">
        <v>843</v>
      </c>
      <c r="H21" s="21"/>
    </row>
    <row r="22" spans="1:12" x14ac:dyDescent="0.35">
      <c r="A22" s="22" t="s">
        <v>20</v>
      </c>
      <c r="B22">
        <v>251</v>
      </c>
      <c r="H22" s="21"/>
    </row>
    <row r="23" spans="1:12" x14ac:dyDescent="0.35">
      <c r="A23" s="22" t="s">
        <v>840</v>
      </c>
      <c r="B23">
        <v>8</v>
      </c>
      <c r="H23" s="21"/>
    </row>
    <row r="24" spans="1:12" x14ac:dyDescent="0.35">
      <c r="A24" s="22" t="s">
        <v>841</v>
      </c>
      <c r="B24">
        <v>5</v>
      </c>
      <c r="H24" s="21"/>
    </row>
    <row r="25" spans="1:12" x14ac:dyDescent="0.35">
      <c r="A25" s="22" t="s">
        <v>842</v>
      </c>
      <c r="B25">
        <v>36</v>
      </c>
      <c r="H25" s="21"/>
    </row>
    <row r="26" spans="1:12" x14ac:dyDescent="0.35">
      <c r="A26" s="22" t="s">
        <v>804</v>
      </c>
      <c r="B26">
        <v>300</v>
      </c>
      <c r="H26" s="21"/>
    </row>
    <row r="27" spans="1:12" x14ac:dyDescent="0.35">
      <c r="A27" s="29" t="s">
        <v>838</v>
      </c>
      <c r="B27" s="30">
        <f>'KPI Sheet'!B19</f>
        <v>0.88</v>
      </c>
      <c r="C27" s="27"/>
      <c r="D27" s="27"/>
      <c r="E27" s="27"/>
      <c r="F27" s="27"/>
      <c r="G27" s="27"/>
      <c r="H27" s="28"/>
    </row>
    <row r="28" spans="1:12" x14ac:dyDescent="0.35">
      <c r="D28" s="24"/>
      <c r="G28" s="10" t="s">
        <v>864</v>
      </c>
      <c r="I28" s="18"/>
      <c r="J28" s="18"/>
      <c r="K28" s="18"/>
      <c r="L28" s="19"/>
    </row>
    <row r="29" spans="1:12" x14ac:dyDescent="0.35">
      <c r="A29" s="8" t="s">
        <v>1</v>
      </c>
      <c r="B29" t="s">
        <v>854</v>
      </c>
      <c r="D29" s="20" t="s">
        <v>839</v>
      </c>
      <c r="E29" t="s">
        <v>853</v>
      </c>
      <c r="F29" t="s">
        <v>858</v>
      </c>
      <c r="L29" s="21"/>
    </row>
    <row r="30" spans="1:12" x14ac:dyDescent="0.35">
      <c r="A30" s="9" t="s">
        <v>777</v>
      </c>
      <c r="B30">
        <v>113176</v>
      </c>
      <c r="D30" s="22" t="s">
        <v>762</v>
      </c>
      <c r="E30">
        <v>1548600</v>
      </c>
      <c r="F30" s="5">
        <v>11.25</v>
      </c>
      <c r="L30" s="21"/>
    </row>
    <row r="31" spans="1:12" x14ac:dyDescent="0.35">
      <c r="A31" s="9" t="s">
        <v>317</v>
      </c>
      <c r="B31">
        <v>111495</v>
      </c>
      <c r="D31" s="22" t="s">
        <v>766</v>
      </c>
      <c r="E31">
        <v>1346177</v>
      </c>
      <c r="F31" s="5">
        <v>10.686868686868687</v>
      </c>
      <c r="L31" s="21"/>
    </row>
    <row r="32" spans="1:12" x14ac:dyDescent="0.35">
      <c r="A32" s="9" t="s">
        <v>220</v>
      </c>
      <c r="B32">
        <v>102600</v>
      </c>
      <c r="D32" s="22" t="s">
        <v>764</v>
      </c>
      <c r="E32">
        <v>1225060</v>
      </c>
      <c r="F32" s="5">
        <v>10.838383838383839</v>
      </c>
      <c r="L32" s="21"/>
    </row>
    <row r="33" spans="1:12" x14ac:dyDescent="0.35">
      <c r="A33" s="9" t="s">
        <v>400</v>
      </c>
      <c r="B33">
        <v>95877</v>
      </c>
      <c r="D33" s="22" t="s">
        <v>760</v>
      </c>
      <c r="E33">
        <v>1224188</v>
      </c>
      <c r="F33" s="5">
        <v>10.066666666666666</v>
      </c>
      <c r="L33" s="21"/>
    </row>
    <row r="34" spans="1:12" x14ac:dyDescent="0.35">
      <c r="A34" s="9" t="s">
        <v>523</v>
      </c>
      <c r="B34">
        <v>89504</v>
      </c>
      <c r="D34" s="22" t="s">
        <v>804</v>
      </c>
      <c r="E34">
        <v>5344025</v>
      </c>
      <c r="F34" s="5">
        <v>10.7425</v>
      </c>
      <c r="L34" s="21"/>
    </row>
    <row r="35" spans="1:12" x14ac:dyDescent="0.35">
      <c r="A35" s="9" t="s">
        <v>516</v>
      </c>
      <c r="B35">
        <v>82153</v>
      </c>
      <c r="D35" s="26"/>
      <c r="E35" s="27"/>
      <c r="F35" s="27"/>
      <c r="G35" s="27"/>
      <c r="H35" s="27"/>
      <c r="I35" s="27"/>
      <c r="J35" s="27"/>
      <c r="K35" s="27"/>
      <c r="L35" s="28"/>
    </row>
    <row r="36" spans="1:12" x14ac:dyDescent="0.35">
      <c r="A36" s="9" t="s">
        <v>28</v>
      </c>
      <c r="B36">
        <v>81721</v>
      </c>
    </row>
    <row r="37" spans="1:12" x14ac:dyDescent="0.35">
      <c r="A37" s="9" t="s">
        <v>34</v>
      </c>
      <c r="B37">
        <v>80276</v>
      </c>
      <c r="D37" s="17"/>
      <c r="E37" s="18"/>
      <c r="F37" s="37" t="s">
        <v>863</v>
      </c>
      <c r="G37" s="37"/>
      <c r="H37" s="18"/>
      <c r="I37" s="18"/>
      <c r="J37" s="19"/>
    </row>
    <row r="38" spans="1:12" x14ac:dyDescent="0.35">
      <c r="A38" s="9" t="s">
        <v>22</v>
      </c>
      <c r="B38">
        <v>79452</v>
      </c>
      <c r="D38" s="20" t="s">
        <v>859</v>
      </c>
      <c r="E38" t="s">
        <v>860</v>
      </c>
      <c r="F38" t="s">
        <v>853</v>
      </c>
      <c r="G38" t="s">
        <v>858</v>
      </c>
      <c r="I38" t="s">
        <v>859</v>
      </c>
      <c r="J38" s="21" t="s">
        <v>861</v>
      </c>
    </row>
    <row r="39" spans="1:12" x14ac:dyDescent="0.35">
      <c r="A39" s="9" t="s">
        <v>204</v>
      </c>
      <c r="B39">
        <v>77014</v>
      </c>
      <c r="D39" s="22" t="s">
        <v>765</v>
      </c>
      <c r="E39">
        <v>147</v>
      </c>
      <c r="F39">
        <v>1994939</v>
      </c>
      <c r="G39">
        <v>10.945578231292517</v>
      </c>
      <c r="I39" t="s">
        <v>765</v>
      </c>
      <c r="J39" s="23">
        <f>GETPIVOTDATA("Sum of Cost",$D$38,"Vendor","Vendor A")/GETPIVOTDATA("Count of Jobs",$D$38,"Vendor","Vendor A")</f>
        <v>13571.013605442176</v>
      </c>
    </row>
    <row r="40" spans="1:12" x14ac:dyDescent="0.35">
      <c r="A40" s="9" t="s">
        <v>768</v>
      </c>
      <c r="B40">
        <v>76172</v>
      </c>
      <c r="D40" s="22" t="s">
        <v>761</v>
      </c>
      <c r="E40">
        <v>145</v>
      </c>
      <c r="F40">
        <v>1924973</v>
      </c>
      <c r="G40">
        <v>10.703448275862069</v>
      </c>
      <c r="I40" t="s">
        <v>761</v>
      </c>
      <c r="J40" s="23">
        <f>GETPIVOTDATA("Sum of Cost",$D$38,"Vendor","Vendor B")/GETPIVOTDATA("Count of Jobs",$D$38,"Vendor","Vendor B")</f>
        <v>13275.675862068965</v>
      </c>
    </row>
    <row r="41" spans="1:12" x14ac:dyDescent="0.35">
      <c r="A41" s="9" t="s">
        <v>560</v>
      </c>
      <c r="B41">
        <v>75055</v>
      </c>
      <c r="D41" s="22" t="s">
        <v>763</v>
      </c>
      <c r="E41">
        <v>108</v>
      </c>
      <c r="F41">
        <v>1424113</v>
      </c>
      <c r="G41">
        <v>10.518518518518519</v>
      </c>
      <c r="I41" t="s">
        <v>763</v>
      </c>
      <c r="J41" s="23">
        <f>GETPIVOTDATA("Sum of Cost",$D$38,"Vendor","Vendor C")/GETPIVOTDATA("Count of Jobs",$D$38,"Vendor","Vendor C")</f>
        <v>13186.231481481482</v>
      </c>
    </row>
    <row r="42" spans="1:12" x14ac:dyDescent="0.35">
      <c r="A42" s="9" t="s">
        <v>113</v>
      </c>
      <c r="B42">
        <v>72887</v>
      </c>
      <c r="D42" s="22" t="s">
        <v>804</v>
      </c>
      <c r="E42">
        <v>400</v>
      </c>
      <c r="F42">
        <v>5344025</v>
      </c>
      <c r="G42">
        <v>10.7425</v>
      </c>
      <c r="J42" s="21"/>
    </row>
    <row r="43" spans="1:12" x14ac:dyDescent="0.35">
      <c r="A43" s="9" t="s">
        <v>544</v>
      </c>
      <c r="B43">
        <v>72300</v>
      </c>
      <c r="D43" s="24"/>
      <c r="J43" s="21"/>
    </row>
    <row r="44" spans="1:12" x14ac:dyDescent="0.35">
      <c r="A44" s="9" t="s">
        <v>119</v>
      </c>
      <c r="B44">
        <v>72010</v>
      </c>
      <c r="D44" s="24"/>
      <c r="I44" t="s">
        <v>859</v>
      </c>
      <c r="J44" s="21" t="s">
        <v>862</v>
      </c>
    </row>
    <row r="45" spans="1:12" x14ac:dyDescent="0.35">
      <c r="A45" s="9" t="s">
        <v>432</v>
      </c>
      <c r="B45">
        <v>69704</v>
      </c>
      <c r="D45" s="24"/>
      <c r="I45" s="13" t="s">
        <v>765</v>
      </c>
      <c r="J45" s="25">
        <f>GETPIVOTDATA("Sum of Cost",$D$38,"Vendor","Vendor A")/GETPIVOTDATA("Sum of Cost",$D$38)</f>
        <v>0.37330270722910164</v>
      </c>
    </row>
    <row r="46" spans="1:12" x14ac:dyDescent="0.35">
      <c r="A46" s="9" t="s">
        <v>272</v>
      </c>
      <c r="B46">
        <v>67661</v>
      </c>
      <c r="D46" s="24"/>
      <c r="I46" s="14" t="s">
        <v>761</v>
      </c>
      <c r="J46" s="25">
        <f>GETPIVOTDATA("Sum of Cost",$D$38,"Vendor","Vendor B")/GETPIVOTDATA("Sum of Cost",$D$38)</f>
        <v>0.3602103283573711</v>
      </c>
    </row>
    <row r="47" spans="1:12" x14ac:dyDescent="0.35">
      <c r="A47" s="9" t="s">
        <v>770</v>
      </c>
      <c r="B47">
        <v>67221</v>
      </c>
      <c r="D47" s="24"/>
      <c r="I47" s="15" t="s">
        <v>763</v>
      </c>
      <c r="J47" s="25">
        <f>GETPIVOTDATA("Sum of Cost",$D$38,"Vendor","Vendor C")/GETPIVOTDATA("Sum of Cost",$D$38)</f>
        <v>0.26648696441352726</v>
      </c>
    </row>
    <row r="48" spans="1:12" x14ac:dyDescent="0.35">
      <c r="A48" s="9" t="s">
        <v>786</v>
      </c>
      <c r="B48">
        <v>65029</v>
      </c>
      <c r="D48" s="24"/>
      <c r="J48" s="21"/>
    </row>
    <row r="49" spans="1:10" x14ac:dyDescent="0.35">
      <c r="A49" s="9" t="s">
        <v>286</v>
      </c>
      <c r="B49">
        <v>64025</v>
      </c>
      <c r="D49" s="26"/>
      <c r="E49" s="27"/>
      <c r="F49" s="27"/>
      <c r="G49" s="27"/>
      <c r="H49" s="27"/>
      <c r="I49" s="27"/>
      <c r="J49" s="28"/>
    </row>
    <row r="50" spans="1:10" x14ac:dyDescent="0.35">
      <c r="A50" s="9" t="s">
        <v>349</v>
      </c>
      <c r="B50">
        <v>63927</v>
      </c>
    </row>
    <row r="51" spans="1:10" x14ac:dyDescent="0.35">
      <c r="A51" s="9" t="s">
        <v>775</v>
      </c>
      <c r="B51">
        <v>63694</v>
      </c>
    </row>
    <row r="52" spans="1:10" x14ac:dyDescent="0.35">
      <c r="A52" s="9" t="s">
        <v>783</v>
      </c>
      <c r="B52">
        <v>62496</v>
      </c>
    </row>
    <row r="53" spans="1:10" x14ac:dyDescent="0.35">
      <c r="A53" s="9" t="s">
        <v>409</v>
      </c>
      <c r="B53">
        <v>62221</v>
      </c>
    </row>
    <row r="54" spans="1:10" x14ac:dyDescent="0.35">
      <c r="A54" s="9" t="s">
        <v>776</v>
      </c>
      <c r="B54">
        <v>60962</v>
      </c>
    </row>
    <row r="55" spans="1:10" x14ac:dyDescent="0.35">
      <c r="A55" s="9" t="s">
        <v>784</v>
      </c>
      <c r="B55">
        <v>59847</v>
      </c>
    </row>
    <row r="56" spans="1:10" x14ac:dyDescent="0.35">
      <c r="A56" s="9" t="s">
        <v>57</v>
      </c>
      <c r="B56">
        <v>56999</v>
      </c>
    </row>
    <row r="57" spans="1:10" x14ac:dyDescent="0.35">
      <c r="A57" s="9" t="s">
        <v>577</v>
      </c>
      <c r="B57">
        <v>56908</v>
      </c>
    </row>
    <row r="58" spans="1:10" x14ac:dyDescent="0.35">
      <c r="A58" s="9" t="s">
        <v>14</v>
      </c>
      <c r="B58">
        <v>56640</v>
      </c>
    </row>
    <row r="59" spans="1:10" x14ac:dyDescent="0.35">
      <c r="A59" s="9" t="s">
        <v>87</v>
      </c>
      <c r="B59">
        <v>56043</v>
      </c>
    </row>
    <row r="60" spans="1:10" x14ac:dyDescent="0.35">
      <c r="A60" s="9" t="s">
        <v>51</v>
      </c>
      <c r="B60">
        <v>55723</v>
      </c>
    </row>
    <row r="61" spans="1:10" x14ac:dyDescent="0.35">
      <c r="A61" s="9" t="s">
        <v>48</v>
      </c>
      <c r="B61">
        <v>55131</v>
      </c>
    </row>
    <row r="62" spans="1:10" x14ac:dyDescent="0.35">
      <c r="A62" s="9" t="s">
        <v>210</v>
      </c>
      <c r="B62">
        <v>53960</v>
      </c>
    </row>
    <row r="63" spans="1:10" x14ac:dyDescent="0.35">
      <c r="A63" s="9" t="s">
        <v>102</v>
      </c>
      <c r="B63">
        <v>53861</v>
      </c>
    </row>
    <row r="64" spans="1:10" x14ac:dyDescent="0.35">
      <c r="A64" s="9" t="s">
        <v>767</v>
      </c>
      <c r="B64">
        <v>52715</v>
      </c>
    </row>
    <row r="65" spans="1:2" x14ac:dyDescent="0.35">
      <c r="A65" s="9" t="s">
        <v>617</v>
      </c>
      <c r="B65">
        <v>52362</v>
      </c>
    </row>
    <row r="66" spans="1:2" x14ac:dyDescent="0.35">
      <c r="A66" s="9" t="s">
        <v>322</v>
      </c>
      <c r="B66">
        <v>52303</v>
      </c>
    </row>
    <row r="67" spans="1:2" x14ac:dyDescent="0.35">
      <c r="A67" s="9" t="s">
        <v>336</v>
      </c>
      <c r="B67">
        <v>51644</v>
      </c>
    </row>
    <row r="68" spans="1:2" x14ac:dyDescent="0.35">
      <c r="A68" s="9" t="s">
        <v>84</v>
      </c>
      <c r="B68">
        <v>51167</v>
      </c>
    </row>
    <row r="69" spans="1:2" x14ac:dyDescent="0.35">
      <c r="A69" s="9" t="s">
        <v>99</v>
      </c>
      <c r="B69">
        <v>49761</v>
      </c>
    </row>
    <row r="70" spans="1:2" x14ac:dyDescent="0.35">
      <c r="A70" s="9" t="s">
        <v>359</v>
      </c>
      <c r="B70">
        <v>49410</v>
      </c>
    </row>
    <row r="71" spans="1:2" x14ac:dyDescent="0.35">
      <c r="A71" s="9" t="s">
        <v>362</v>
      </c>
      <c r="B71">
        <v>48702</v>
      </c>
    </row>
    <row r="72" spans="1:2" x14ac:dyDescent="0.35">
      <c r="A72" s="9" t="s">
        <v>673</v>
      </c>
      <c r="B72">
        <v>48154</v>
      </c>
    </row>
    <row r="73" spans="1:2" x14ac:dyDescent="0.35">
      <c r="A73" s="9" t="s">
        <v>18</v>
      </c>
      <c r="B73">
        <v>47893</v>
      </c>
    </row>
    <row r="74" spans="1:2" x14ac:dyDescent="0.35">
      <c r="A74" s="9" t="s">
        <v>772</v>
      </c>
      <c r="B74">
        <v>47680</v>
      </c>
    </row>
    <row r="75" spans="1:2" x14ac:dyDescent="0.35">
      <c r="A75" s="9" t="s">
        <v>105</v>
      </c>
      <c r="B75">
        <v>47593</v>
      </c>
    </row>
    <row r="76" spans="1:2" x14ac:dyDescent="0.35">
      <c r="A76" s="9" t="s">
        <v>174</v>
      </c>
      <c r="B76">
        <v>45485</v>
      </c>
    </row>
    <row r="77" spans="1:2" x14ac:dyDescent="0.35">
      <c r="A77" s="9" t="s">
        <v>144</v>
      </c>
      <c r="B77">
        <v>45254</v>
      </c>
    </row>
    <row r="78" spans="1:2" x14ac:dyDescent="0.35">
      <c r="A78" s="9" t="s">
        <v>281</v>
      </c>
      <c r="B78">
        <v>44142</v>
      </c>
    </row>
    <row r="79" spans="1:2" x14ac:dyDescent="0.35">
      <c r="A79" s="9" t="s">
        <v>147</v>
      </c>
      <c r="B79">
        <v>43534</v>
      </c>
    </row>
    <row r="80" spans="1:2" x14ac:dyDescent="0.35">
      <c r="A80" s="9" t="s">
        <v>303</v>
      </c>
      <c r="B80">
        <v>43320</v>
      </c>
    </row>
    <row r="81" spans="1:2" x14ac:dyDescent="0.35">
      <c r="A81" s="9" t="s">
        <v>43</v>
      </c>
      <c r="B81">
        <v>43077</v>
      </c>
    </row>
    <row r="82" spans="1:2" x14ac:dyDescent="0.35">
      <c r="A82" s="9" t="s">
        <v>125</v>
      </c>
      <c r="B82">
        <v>42466</v>
      </c>
    </row>
    <row r="83" spans="1:2" x14ac:dyDescent="0.35">
      <c r="A83" s="9" t="s">
        <v>138</v>
      </c>
      <c r="B83">
        <v>42170</v>
      </c>
    </row>
    <row r="84" spans="1:2" x14ac:dyDescent="0.35">
      <c r="A84" s="9" t="s">
        <v>625</v>
      </c>
      <c r="B84">
        <v>41271</v>
      </c>
    </row>
    <row r="85" spans="1:2" x14ac:dyDescent="0.35">
      <c r="A85" s="9" t="s">
        <v>343</v>
      </c>
      <c r="B85">
        <v>40923</v>
      </c>
    </row>
    <row r="86" spans="1:2" x14ac:dyDescent="0.35">
      <c r="A86" s="9" t="s">
        <v>135</v>
      </c>
      <c r="B86">
        <v>40703</v>
      </c>
    </row>
    <row r="87" spans="1:2" x14ac:dyDescent="0.35">
      <c r="A87" s="9" t="s">
        <v>584</v>
      </c>
      <c r="B87">
        <v>40195</v>
      </c>
    </row>
    <row r="88" spans="1:2" x14ac:dyDescent="0.35">
      <c r="A88" s="9" t="s">
        <v>489</v>
      </c>
      <c r="B88">
        <v>40012</v>
      </c>
    </row>
    <row r="89" spans="1:2" x14ac:dyDescent="0.35">
      <c r="A89" s="9" t="s">
        <v>169</v>
      </c>
      <c r="B89">
        <v>39946</v>
      </c>
    </row>
    <row r="90" spans="1:2" x14ac:dyDescent="0.35">
      <c r="A90" s="9" t="s">
        <v>71</v>
      </c>
      <c r="B90">
        <v>39449</v>
      </c>
    </row>
    <row r="91" spans="1:2" x14ac:dyDescent="0.35">
      <c r="A91" s="9" t="s">
        <v>160</v>
      </c>
      <c r="B91">
        <v>38946</v>
      </c>
    </row>
    <row r="92" spans="1:2" x14ac:dyDescent="0.35">
      <c r="A92" s="9" t="s">
        <v>166</v>
      </c>
      <c r="B92">
        <v>38744</v>
      </c>
    </row>
    <row r="93" spans="1:2" x14ac:dyDescent="0.35">
      <c r="A93" s="9" t="s">
        <v>441</v>
      </c>
      <c r="B93">
        <v>38497</v>
      </c>
    </row>
    <row r="94" spans="1:2" x14ac:dyDescent="0.35">
      <c r="A94" s="9" t="s">
        <v>10</v>
      </c>
      <c r="B94">
        <v>37350</v>
      </c>
    </row>
    <row r="95" spans="1:2" x14ac:dyDescent="0.35">
      <c r="A95" s="9" t="s">
        <v>429</v>
      </c>
      <c r="B95">
        <v>37079</v>
      </c>
    </row>
    <row r="96" spans="1:2" x14ac:dyDescent="0.35">
      <c r="A96" s="9" t="s">
        <v>54</v>
      </c>
      <c r="B96">
        <v>36983</v>
      </c>
    </row>
    <row r="97" spans="1:2" x14ac:dyDescent="0.35">
      <c r="A97" s="9" t="s">
        <v>370</v>
      </c>
      <c r="B97">
        <v>36928</v>
      </c>
    </row>
    <row r="98" spans="1:2" x14ac:dyDescent="0.35">
      <c r="A98" s="9" t="s">
        <v>192</v>
      </c>
      <c r="B98">
        <v>36506</v>
      </c>
    </row>
    <row r="99" spans="1:2" x14ac:dyDescent="0.35">
      <c r="A99" s="9" t="s">
        <v>773</v>
      </c>
      <c r="B99">
        <v>36319</v>
      </c>
    </row>
    <row r="100" spans="1:2" x14ac:dyDescent="0.35">
      <c r="A100" s="9" t="s">
        <v>393</v>
      </c>
      <c r="B100">
        <v>36245</v>
      </c>
    </row>
    <row r="101" spans="1:2" x14ac:dyDescent="0.35">
      <c r="A101" s="9" t="s">
        <v>698</v>
      </c>
      <c r="B101">
        <v>35853</v>
      </c>
    </row>
    <row r="102" spans="1:2" x14ac:dyDescent="0.35">
      <c r="A102" s="9" t="s">
        <v>227</v>
      </c>
      <c r="B102">
        <v>35743</v>
      </c>
    </row>
    <row r="103" spans="1:2" x14ac:dyDescent="0.35">
      <c r="A103" s="9" t="s">
        <v>779</v>
      </c>
      <c r="B103">
        <v>35411</v>
      </c>
    </row>
    <row r="104" spans="1:2" x14ac:dyDescent="0.35">
      <c r="A104" s="9" t="s">
        <v>163</v>
      </c>
      <c r="B104">
        <v>34646</v>
      </c>
    </row>
    <row r="105" spans="1:2" x14ac:dyDescent="0.35">
      <c r="A105" s="9" t="s">
        <v>152</v>
      </c>
      <c r="B105">
        <v>32773</v>
      </c>
    </row>
    <row r="106" spans="1:2" x14ac:dyDescent="0.35">
      <c r="A106" s="9" t="s">
        <v>37</v>
      </c>
      <c r="B106">
        <v>32644</v>
      </c>
    </row>
    <row r="107" spans="1:2" x14ac:dyDescent="0.35">
      <c r="A107" s="9" t="s">
        <v>734</v>
      </c>
      <c r="B107">
        <v>32559</v>
      </c>
    </row>
    <row r="108" spans="1:2" x14ac:dyDescent="0.35">
      <c r="A108" s="9" t="s">
        <v>177</v>
      </c>
      <c r="B108">
        <v>32251</v>
      </c>
    </row>
    <row r="109" spans="1:2" x14ac:dyDescent="0.35">
      <c r="A109" s="9" t="s">
        <v>781</v>
      </c>
      <c r="B109">
        <v>32242</v>
      </c>
    </row>
    <row r="110" spans="1:2" x14ac:dyDescent="0.35">
      <c r="A110" s="9" t="s">
        <v>471</v>
      </c>
      <c r="B110">
        <v>32038</v>
      </c>
    </row>
    <row r="111" spans="1:2" x14ac:dyDescent="0.35">
      <c r="A111" s="9" t="s">
        <v>774</v>
      </c>
      <c r="B111">
        <v>32034</v>
      </c>
    </row>
    <row r="112" spans="1:2" x14ac:dyDescent="0.35">
      <c r="A112" s="9" t="s">
        <v>412</v>
      </c>
      <c r="B112">
        <v>31357</v>
      </c>
    </row>
    <row r="113" spans="1:2" x14ac:dyDescent="0.35">
      <c r="A113" s="9" t="s">
        <v>456</v>
      </c>
      <c r="B113">
        <v>30922</v>
      </c>
    </row>
    <row r="114" spans="1:2" x14ac:dyDescent="0.35">
      <c r="A114" s="9" t="s">
        <v>620</v>
      </c>
      <c r="B114">
        <v>30442</v>
      </c>
    </row>
    <row r="115" spans="1:2" x14ac:dyDescent="0.35">
      <c r="A115" s="9" t="s">
        <v>785</v>
      </c>
      <c r="B115">
        <v>30178</v>
      </c>
    </row>
    <row r="116" spans="1:2" x14ac:dyDescent="0.35">
      <c r="A116" s="9" t="s">
        <v>195</v>
      </c>
      <c r="B116">
        <v>30159</v>
      </c>
    </row>
    <row r="117" spans="1:2" x14ac:dyDescent="0.35">
      <c r="A117" s="9" t="s">
        <v>329</v>
      </c>
      <c r="B117">
        <v>29907</v>
      </c>
    </row>
    <row r="118" spans="1:2" x14ac:dyDescent="0.35">
      <c r="A118" s="9" t="s">
        <v>187</v>
      </c>
      <c r="B118">
        <v>27934</v>
      </c>
    </row>
    <row r="119" spans="1:2" x14ac:dyDescent="0.35">
      <c r="A119" s="9" t="s">
        <v>242</v>
      </c>
      <c r="B119">
        <v>27783</v>
      </c>
    </row>
    <row r="120" spans="1:2" x14ac:dyDescent="0.35">
      <c r="A120" s="9" t="s">
        <v>703</v>
      </c>
      <c r="B120">
        <v>26944</v>
      </c>
    </row>
    <row r="121" spans="1:2" x14ac:dyDescent="0.35">
      <c r="A121" s="9" t="s">
        <v>62</v>
      </c>
      <c r="B121">
        <v>26726</v>
      </c>
    </row>
    <row r="122" spans="1:2" x14ac:dyDescent="0.35">
      <c r="A122" s="9" t="s">
        <v>40</v>
      </c>
      <c r="B122">
        <v>26121</v>
      </c>
    </row>
    <row r="123" spans="1:2" x14ac:dyDescent="0.35">
      <c r="A123" s="9" t="s">
        <v>68</v>
      </c>
      <c r="B123">
        <v>25940</v>
      </c>
    </row>
    <row r="124" spans="1:2" x14ac:dyDescent="0.35">
      <c r="A124" s="9" t="s">
        <v>570</v>
      </c>
      <c r="B124">
        <v>25342</v>
      </c>
    </row>
    <row r="125" spans="1:2" x14ac:dyDescent="0.35">
      <c r="A125" s="9" t="s">
        <v>484</v>
      </c>
      <c r="B125">
        <v>24726</v>
      </c>
    </row>
    <row r="126" spans="1:2" x14ac:dyDescent="0.35">
      <c r="A126" s="9" t="s">
        <v>346</v>
      </c>
      <c r="B126">
        <v>24547</v>
      </c>
    </row>
    <row r="127" spans="1:2" x14ac:dyDescent="0.35">
      <c r="A127" s="9" t="s">
        <v>567</v>
      </c>
      <c r="B127">
        <v>23725</v>
      </c>
    </row>
    <row r="128" spans="1:2" x14ac:dyDescent="0.35">
      <c r="A128" s="9" t="s">
        <v>541</v>
      </c>
      <c r="B128">
        <v>23327</v>
      </c>
    </row>
    <row r="129" spans="1:2" x14ac:dyDescent="0.35">
      <c r="A129" s="9" t="s">
        <v>365</v>
      </c>
      <c r="B129">
        <v>21639</v>
      </c>
    </row>
    <row r="130" spans="1:2" x14ac:dyDescent="0.35">
      <c r="A130" s="9" t="s">
        <v>93</v>
      </c>
      <c r="B130">
        <v>21244</v>
      </c>
    </row>
    <row r="131" spans="1:2" x14ac:dyDescent="0.35">
      <c r="A131" s="9" t="s">
        <v>65</v>
      </c>
      <c r="B131">
        <v>20081</v>
      </c>
    </row>
    <row r="132" spans="1:2" x14ac:dyDescent="0.35">
      <c r="A132" s="9" t="s">
        <v>354</v>
      </c>
      <c r="B132">
        <v>19600</v>
      </c>
    </row>
    <row r="133" spans="1:2" x14ac:dyDescent="0.35">
      <c r="A133" s="9" t="s">
        <v>782</v>
      </c>
      <c r="B133">
        <v>19522</v>
      </c>
    </row>
    <row r="134" spans="1:2" x14ac:dyDescent="0.35">
      <c r="A134" s="9" t="s">
        <v>778</v>
      </c>
      <c r="B134">
        <v>18266</v>
      </c>
    </row>
    <row r="135" spans="1:2" x14ac:dyDescent="0.35">
      <c r="A135" s="9" t="s">
        <v>494</v>
      </c>
      <c r="B135">
        <v>17888</v>
      </c>
    </row>
    <row r="136" spans="1:2" x14ac:dyDescent="0.35">
      <c r="A136" s="9" t="s">
        <v>233</v>
      </c>
      <c r="B136">
        <v>17761</v>
      </c>
    </row>
    <row r="137" spans="1:2" x14ac:dyDescent="0.35">
      <c r="A137" s="9" t="s">
        <v>771</v>
      </c>
      <c r="B137">
        <v>17048</v>
      </c>
    </row>
    <row r="138" spans="1:2" x14ac:dyDescent="0.35">
      <c r="A138" s="9" t="s">
        <v>466</v>
      </c>
      <c r="B138">
        <v>16147</v>
      </c>
    </row>
    <row r="139" spans="1:2" x14ac:dyDescent="0.35">
      <c r="A139" s="9" t="s">
        <v>74</v>
      </c>
      <c r="B139">
        <v>15900</v>
      </c>
    </row>
    <row r="140" spans="1:2" x14ac:dyDescent="0.35">
      <c r="A140" s="9" t="s">
        <v>300</v>
      </c>
      <c r="B140">
        <v>15753</v>
      </c>
    </row>
    <row r="141" spans="1:2" x14ac:dyDescent="0.35">
      <c r="A141" s="9" t="s">
        <v>528</v>
      </c>
      <c r="B141">
        <v>15452</v>
      </c>
    </row>
    <row r="142" spans="1:2" x14ac:dyDescent="0.35">
      <c r="A142" s="9" t="s">
        <v>602</v>
      </c>
      <c r="B142">
        <v>15230</v>
      </c>
    </row>
    <row r="143" spans="1:2" x14ac:dyDescent="0.35">
      <c r="A143" s="9" t="s">
        <v>789</v>
      </c>
      <c r="B143">
        <v>14777</v>
      </c>
    </row>
    <row r="144" spans="1:2" x14ac:dyDescent="0.35">
      <c r="A144" s="9" t="s">
        <v>90</v>
      </c>
      <c r="B144">
        <v>14635</v>
      </c>
    </row>
    <row r="145" spans="1:2" x14ac:dyDescent="0.35">
      <c r="A145" s="9" t="s">
        <v>201</v>
      </c>
      <c r="B145">
        <v>14187</v>
      </c>
    </row>
    <row r="146" spans="1:2" x14ac:dyDescent="0.35">
      <c r="A146" s="9" t="s">
        <v>182</v>
      </c>
      <c r="B146">
        <v>13998</v>
      </c>
    </row>
    <row r="147" spans="1:2" x14ac:dyDescent="0.35">
      <c r="A147" s="9" t="s">
        <v>375</v>
      </c>
      <c r="B147">
        <v>13949</v>
      </c>
    </row>
    <row r="148" spans="1:2" x14ac:dyDescent="0.35">
      <c r="A148" s="9" t="s">
        <v>157</v>
      </c>
      <c r="B148">
        <v>13842</v>
      </c>
    </row>
    <row r="149" spans="1:2" x14ac:dyDescent="0.35">
      <c r="A149" s="9" t="s">
        <v>108</v>
      </c>
      <c r="B149">
        <v>12544</v>
      </c>
    </row>
    <row r="150" spans="1:2" x14ac:dyDescent="0.35">
      <c r="A150" s="9" t="s">
        <v>239</v>
      </c>
      <c r="B150">
        <v>12298</v>
      </c>
    </row>
    <row r="151" spans="1:2" x14ac:dyDescent="0.35">
      <c r="A151" s="9" t="s">
        <v>128</v>
      </c>
      <c r="B151">
        <v>11818</v>
      </c>
    </row>
    <row r="152" spans="1:2" x14ac:dyDescent="0.35">
      <c r="A152" s="9" t="s">
        <v>236</v>
      </c>
      <c r="B152">
        <v>11544</v>
      </c>
    </row>
    <row r="153" spans="1:2" x14ac:dyDescent="0.35">
      <c r="A153" s="9" t="s">
        <v>141</v>
      </c>
      <c r="B153">
        <v>10859</v>
      </c>
    </row>
    <row r="154" spans="1:2" x14ac:dyDescent="0.35">
      <c r="A154" s="9" t="s">
        <v>463</v>
      </c>
      <c r="B154">
        <v>10188</v>
      </c>
    </row>
    <row r="155" spans="1:2" x14ac:dyDescent="0.35">
      <c r="A155" s="9" t="s">
        <v>207</v>
      </c>
      <c r="B155">
        <v>9196</v>
      </c>
    </row>
    <row r="156" spans="1:2" x14ac:dyDescent="0.35">
      <c r="A156" s="9" t="s">
        <v>769</v>
      </c>
      <c r="B156">
        <v>9022</v>
      </c>
    </row>
    <row r="157" spans="1:2" x14ac:dyDescent="0.35">
      <c r="A157" s="9" t="s">
        <v>257</v>
      </c>
      <c r="B157">
        <v>7520</v>
      </c>
    </row>
    <row r="158" spans="1:2" x14ac:dyDescent="0.35">
      <c r="A158" s="9" t="s">
        <v>122</v>
      </c>
      <c r="B158">
        <v>6477</v>
      </c>
    </row>
    <row r="159" spans="1:2" x14ac:dyDescent="0.35">
      <c r="A159" s="9" t="s">
        <v>77</v>
      </c>
      <c r="B159">
        <v>6373</v>
      </c>
    </row>
    <row r="160" spans="1:2" x14ac:dyDescent="0.35">
      <c r="A160" s="9" t="s">
        <v>116</v>
      </c>
      <c r="B160">
        <v>4875</v>
      </c>
    </row>
    <row r="161" spans="1:2" x14ac:dyDescent="0.35">
      <c r="A161" s="9" t="s">
        <v>787</v>
      </c>
      <c r="B161">
        <v>4647</v>
      </c>
    </row>
    <row r="162" spans="1:2" x14ac:dyDescent="0.35">
      <c r="A162" s="9" t="s">
        <v>213</v>
      </c>
      <c r="B162">
        <v>4076</v>
      </c>
    </row>
    <row r="163" spans="1:2" x14ac:dyDescent="0.35">
      <c r="A163" s="9" t="s">
        <v>230</v>
      </c>
      <c r="B163">
        <v>3854</v>
      </c>
    </row>
    <row r="164" spans="1:2" x14ac:dyDescent="0.35">
      <c r="A164" s="9" t="s">
        <v>788</v>
      </c>
      <c r="B164">
        <v>3569</v>
      </c>
    </row>
    <row r="165" spans="1:2" x14ac:dyDescent="0.35">
      <c r="A165" s="9" t="s">
        <v>780</v>
      </c>
      <c r="B165">
        <v>3076</v>
      </c>
    </row>
    <row r="166" spans="1:2" x14ac:dyDescent="0.35">
      <c r="A166" s="9" t="s">
        <v>390</v>
      </c>
      <c r="B166">
        <v>2224</v>
      </c>
    </row>
    <row r="167" spans="1:2" x14ac:dyDescent="0.35">
      <c r="A167" s="9" t="s">
        <v>804</v>
      </c>
      <c r="B167">
        <v>5344025</v>
      </c>
    </row>
    <row r="168" spans="1:2" x14ac:dyDescent="0.35">
      <c r="A168" s="9" t="s">
        <v>865</v>
      </c>
      <c r="B168">
        <f>COUNTA(A30:A166)</f>
        <v>137</v>
      </c>
    </row>
  </sheetData>
  <mergeCells count="4">
    <mergeCell ref="E2:F2"/>
    <mergeCell ref="A12:B12"/>
    <mergeCell ref="A20:B20"/>
    <mergeCell ref="F37:G37"/>
  </mergeCells>
  <pageMargins left="0.7" right="0.7" top="0.75" bottom="0.75" header="0.3" footer="0.3"/>
  <drawing r:id="rId7"/>
  <tableParts count="3">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1"/>
  <sheetViews>
    <sheetView topLeftCell="A261" workbookViewId="0">
      <selection activeCell="G26" sqref="G26"/>
    </sheetView>
  </sheetViews>
  <sheetFormatPr defaultRowHeight="14.5" x14ac:dyDescent="0.35"/>
  <cols>
    <col min="1" max="1" width="10.54296875" customWidth="1"/>
    <col min="2" max="2" width="13.1796875" customWidth="1"/>
    <col min="3" max="3" width="11.6328125" customWidth="1"/>
    <col min="4" max="4" width="12.81640625" customWidth="1"/>
    <col min="5" max="5" width="12" customWidth="1"/>
    <col min="6" max="6" width="15.36328125" customWidth="1"/>
    <col min="7" max="7" width="17.54296875" customWidth="1"/>
    <col min="8" max="8" width="14" customWidth="1"/>
    <col min="9" max="9" width="15.81640625" bestFit="1" customWidth="1"/>
    <col min="10" max="10" width="15.81640625" customWidth="1"/>
    <col min="11" max="11" width="24.54296875" bestFit="1" customWidth="1"/>
    <col min="12" max="12" width="16.6328125" customWidth="1"/>
    <col min="13" max="13" width="19.08984375" bestFit="1" customWidth="1"/>
    <col min="14" max="14" width="21.453125" customWidth="1"/>
    <col min="15" max="15" width="21.81640625" bestFit="1" customWidth="1"/>
  </cols>
  <sheetData>
    <row r="1" spans="1:15" x14ac:dyDescent="0.35">
      <c r="A1" t="s">
        <v>0</v>
      </c>
      <c r="B1" t="s">
        <v>1</v>
      </c>
      <c r="C1" t="s">
        <v>2</v>
      </c>
      <c r="D1" t="s">
        <v>3</v>
      </c>
      <c r="E1" t="s">
        <v>4</v>
      </c>
      <c r="F1" t="s">
        <v>5</v>
      </c>
      <c r="G1" t="s">
        <v>6</v>
      </c>
      <c r="H1" t="s">
        <v>7</v>
      </c>
      <c r="I1" t="s">
        <v>845</v>
      </c>
      <c r="J1" t="s">
        <v>846</v>
      </c>
      <c r="K1" t="s">
        <v>847</v>
      </c>
      <c r="L1" t="s">
        <v>8</v>
      </c>
      <c r="M1" t="s">
        <v>832</v>
      </c>
      <c r="N1" s="16" t="s">
        <v>835</v>
      </c>
      <c r="O1" t="s">
        <v>837</v>
      </c>
    </row>
    <row r="2" spans="1:15" x14ac:dyDescent="0.35">
      <c r="A2" t="s">
        <v>624</v>
      </c>
      <c r="B2" t="s">
        <v>625</v>
      </c>
      <c r="C2" t="s">
        <v>626</v>
      </c>
      <c r="D2" s="1">
        <v>44870</v>
      </c>
      <c r="E2" s="1">
        <v>45965</v>
      </c>
      <c r="F2">
        <v>6375</v>
      </c>
      <c r="G2">
        <v>5680</v>
      </c>
      <c r="H2">
        <v>5.24</v>
      </c>
      <c r="I2" t="str">
        <f>IF(B2=B1, F1, "")</f>
        <v/>
      </c>
      <c r="J2" t="str">
        <f t="shared" ref="J2:J65" si="0">IF(I2&lt;&gt;"", I2*(1+H2/100), "")</f>
        <v/>
      </c>
      <c r="K2" s="5" t="str">
        <f>IF(Table1[[#This Row],[Expected_Rent]]&lt;&gt;"", F2/Table1[[#This Row],[Expected_Rent]], "")</f>
        <v/>
      </c>
      <c r="L2" t="s">
        <v>20</v>
      </c>
      <c r="M2">
        <f ca="1">IF(Table1[[#This Row],[Renewal_Status]]="Expired",TODAY()-Table1[[#This Row],[Lease_End]],0)</f>
        <v>102</v>
      </c>
      <c r="N2" s="16">
        <f ca="1">Table1[[#This Row],[Lease_End]]-TODAY()</f>
        <v>-102</v>
      </c>
      <c r="O2" t="str">
        <f ca="1">IF(Table1[[#This Row],[Days_to_Expiry]]&lt;0,"Expired",
IF(Table1[[#This Row],[Days_to_Expiry]]&lt;30,"High Risk",
IF(Table1[[#This Row],[Days_to_Expiry]]&lt;=60,"Medium Risk",
"Safe")))</f>
        <v>Expired</v>
      </c>
    </row>
    <row r="3" spans="1:15" x14ac:dyDescent="0.35">
      <c r="A3" t="s">
        <v>564</v>
      </c>
      <c r="B3" t="s">
        <v>362</v>
      </c>
      <c r="C3" t="s">
        <v>565</v>
      </c>
      <c r="D3" s="1">
        <v>44631</v>
      </c>
      <c r="E3" s="1">
        <v>45361</v>
      </c>
      <c r="F3">
        <v>3762</v>
      </c>
      <c r="G3">
        <v>11569</v>
      </c>
      <c r="H3">
        <v>5.8</v>
      </c>
      <c r="I3" t="str">
        <f t="shared" ref="I3:I66" si="1">IF(B3=B2, F2, "")</f>
        <v/>
      </c>
      <c r="J3" t="str">
        <f t="shared" si="0"/>
        <v/>
      </c>
      <c r="K3" s="5" t="str">
        <f>IF(Table1[[#This Row],[Expected_Rent]]&lt;&gt;"", F3/Table1[[#This Row],[Expected_Rent]], "")</f>
        <v/>
      </c>
      <c r="L3" t="s">
        <v>16</v>
      </c>
      <c r="M3">
        <f ca="1">IF(Table1[[#This Row],[Renewal_Status]]="Expired",TODAY()-Table1[[#This Row],[Lease_End]],0)</f>
        <v>0</v>
      </c>
      <c r="N3" s="16">
        <f ca="1">Table1[[#This Row],[Lease_End]]-TODAY()</f>
        <v>-706</v>
      </c>
      <c r="O3" t="str">
        <f ca="1">IF(Table1[[#This Row],[Days_to_Expiry]]&lt;0,"Expired",
IF(Table1[[#This Row],[Days_to_Expiry]]&lt;30,"High Risk",
IF(Table1[[#This Row],[Days_to_Expiry]]&lt;=60,"Medium Risk",
"Safe")))</f>
        <v>Expired</v>
      </c>
    </row>
    <row r="4" spans="1:15" x14ac:dyDescent="0.35">
      <c r="A4" t="s">
        <v>361</v>
      </c>
      <c r="B4" t="s">
        <v>362</v>
      </c>
      <c r="C4" t="s">
        <v>363</v>
      </c>
      <c r="D4" s="1">
        <v>45079</v>
      </c>
      <c r="E4" s="1">
        <v>45809</v>
      </c>
      <c r="F4">
        <v>2704</v>
      </c>
      <c r="G4">
        <v>14539</v>
      </c>
      <c r="H4">
        <v>6.58</v>
      </c>
      <c r="I4">
        <f t="shared" si="1"/>
        <v>3762</v>
      </c>
      <c r="J4">
        <f t="shared" si="0"/>
        <v>4009.5396000000005</v>
      </c>
      <c r="K4" s="5">
        <f>IF(Table1[[#This Row],[Expected_Rent]]&lt;&gt;"", F4/Table1[[#This Row],[Expected_Rent]], "")</f>
        <v>0.67439164336972746</v>
      </c>
      <c r="L4" t="s">
        <v>20</v>
      </c>
      <c r="M4">
        <f ca="1">IF(Table1[[#This Row],[Renewal_Status]]="Expired",TODAY()-Table1[[#This Row],[Lease_End]],0)</f>
        <v>258</v>
      </c>
      <c r="N4" s="16">
        <f ca="1">Table1[[#This Row],[Lease_End]]-TODAY()</f>
        <v>-258</v>
      </c>
      <c r="O4" t="str">
        <f ca="1">IF(Table1[[#This Row],[Days_to_Expiry]]&lt;0,"Expired",
IF(Table1[[#This Row],[Days_to_Expiry]]&lt;30,"High Risk",
IF(Table1[[#This Row],[Days_to_Expiry]]&lt;=60,"Medium Risk",
"Safe")))</f>
        <v>Expired</v>
      </c>
    </row>
    <row r="5" spans="1:15" x14ac:dyDescent="0.35">
      <c r="A5" t="s">
        <v>465</v>
      </c>
      <c r="B5" t="s">
        <v>466</v>
      </c>
      <c r="C5" t="s">
        <v>467</v>
      </c>
      <c r="D5" s="1">
        <v>44735</v>
      </c>
      <c r="E5" s="1">
        <v>45830</v>
      </c>
      <c r="F5">
        <v>6048</v>
      </c>
      <c r="G5">
        <v>19594</v>
      </c>
      <c r="H5">
        <v>4.9800000000000004</v>
      </c>
      <c r="I5" t="str">
        <f t="shared" si="1"/>
        <v/>
      </c>
      <c r="J5" t="str">
        <f t="shared" si="0"/>
        <v/>
      </c>
      <c r="K5" s="5" t="str">
        <f>IF(Table1[[#This Row],[Expected_Rent]]&lt;&gt;"", F5/Table1[[#This Row],[Expected_Rent]], "")</f>
        <v/>
      </c>
      <c r="L5" t="s">
        <v>16</v>
      </c>
      <c r="M5">
        <f ca="1">IF(Table1[[#This Row],[Renewal_Status]]="Expired",TODAY()-Table1[[#This Row],[Lease_End]],0)</f>
        <v>0</v>
      </c>
      <c r="N5" s="16">
        <f ca="1">Table1[[#This Row],[Lease_End]]-TODAY()</f>
        <v>-237</v>
      </c>
      <c r="O5" t="str">
        <f ca="1">IF(Table1[[#This Row],[Days_to_Expiry]]&lt;0,"Expired",
IF(Table1[[#This Row],[Days_to_Expiry]]&lt;30,"High Risk",
IF(Table1[[#This Row],[Days_to_Expiry]]&lt;=60,"Medium Risk",
"Safe")))</f>
        <v>Expired</v>
      </c>
    </row>
    <row r="6" spans="1:15" x14ac:dyDescent="0.35">
      <c r="A6" t="s">
        <v>534</v>
      </c>
      <c r="B6" t="s">
        <v>466</v>
      </c>
      <c r="C6" t="s">
        <v>535</v>
      </c>
      <c r="D6" s="1">
        <v>44765</v>
      </c>
      <c r="E6" s="1">
        <v>45130</v>
      </c>
      <c r="F6">
        <v>2215</v>
      </c>
      <c r="G6">
        <v>15222</v>
      </c>
      <c r="H6">
        <v>3.2</v>
      </c>
      <c r="I6">
        <f t="shared" si="1"/>
        <v>6048</v>
      </c>
      <c r="J6">
        <f t="shared" si="0"/>
        <v>6241.5360000000001</v>
      </c>
      <c r="K6" s="5">
        <f>IF(Table1[[#This Row],[Expected_Rent]]&lt;&gt;"", F6/Table1[[#This Row],[Expected_Rent]], "")</f>
        <v>0.35488059349493456</v>
      </c>
      <c r="L6" t="s">
        <v>12</v>
      </c>
      <c r="M6">
        <f ca="1">IF(Table1[[#This Row],[Renewal_Status]]="Expired",TODAY()-Table1[[#This Row],[Lease_End]],0)</f>
        <v>0</v>
      </c>
      <c r="N6" s="16">
        <f ca="1">Table1[[#This Row],[Lease_End]]-TODAY()</f>
        <v>-937</v>
      </c>
      <c r="O6" t="str">
        <f ca="1">IF(Table1[[#This Row],[Days_to_Expiry]]&lt;0,"Expired",
IF(Table1[[#This Row],[Days_to_Expiry]]&lt;30,"High Risk",
IF(Table1[[#This Row],[Days_to_Expiry]]&lt;=60,"Medium Risk",
"Safe")))</f>
        <v>Expired</v>
      </c>
    </row>
    <row r="7" spans="1:15" x14ac:dyDescent="0.35">
      <c r="A7" t="s">
        <v>511</v>
      </c>
      <c r="B7" t="s">
        <v>466</v>
      </c>
      <c r="C7" t="s">
        <v>512</v>
      </c>
      <c r="D7" s="1">
        <v>44839</v>
      </c>
      <c r="E7" s="1">
        <v>45204</v>
      </c>
      <c r="F7">
        <v>3587</v>
      </c>
      <c r="G7">
        <v>16207</v>
      </c>
      <c r="H7">
        <v>3.11</v>
      </c>
      <c r="I7">
        <f t="shared" si="1"/>
        <v>2215</v>
      </c>
      <c r="J7">
        <f t="shared" si="0"/>
        <v>2283.8864999999996</v>
      </c>
      <c r="K7" s="5">
        <f>IF(Table1[[#This Row],[Expected_Rent]]&lt;&gt;"", F7/Table1[[#This Row],[Expected_Rent]], "")</f>
        <v>1.5705684148489869</v>
      </c>
      <c r="L7" t="s">
        <v>16</v>
      </c>
      <c r="M7">
        <f ca="1">IF(Table1[[#This Row],[Renewal_Status]]="Expired",TODAY()-Table1[[#This Row],[Lease_End]],0)</f>
        <v>0</v>
      </c>
      <c r="N7" s="16">
        <f ca="1">Table1[[#This Row],[Lease_End]]-TODAY()</f>
        <v>-863</v>
      </c>
      <c r="O7" t="str">
        <f ca="1">IF(Table1[[#This Row],[Days_to_Expiry]]&lt;0,"Expired",
IF(Table1[[#This Row],[Days_to_Expiry]]&lt;30,"High Risk",
IF(Table1[[#This Row],[Days_to_Expiry]]&lt;=60,"Medium Risk",
"Safe")))</f>
        <v>Expired</v>
      </c>
    </row>
    <row r="8" spans="1:15" x14ac:dyDescent="0.35">
      <c r="A8" t="s">
        <v>670</v>
      </c>
      <c r="B8" t="s">
        <v>466</v>
      </c>
      <c r="C8" t="s">
        <v>671</v>
      </c>
      <c r="D8" s="1">
        <v>45019</v>
      </c>
      <c r="E8" s="1">
        <v>45384</v>
      </c>
      <c r="F8">
        <v>4290</v>
      </c>
      <c r="G8">
        <v>15770</v>
      </c>
      <c r="H8">
        <v>3.04</v>
      </c>
      <c r="I8">
        <f t="shared" si="1"/>
        <v>3587</v>
      </c>
      <c r="J8">
        <f t="shared" si="0"/>
        <v>3696.0448000000001</v>
      </c>
      <c r="K8" s="5">
        <f>IF(Table1[[#This Row],[Expected_Rent]]&lt;&gt;"", F8/Table1[[#This Row],[Expected_Rent]], "")</f>
        <v>1.160700216620751</v>
      </c>
      <c r="L8" t="s">
        <v>16</v>
      </c>
      <c r="M8">
        <f ca="1">IF(Table1[[#This Row],[Renewal_Status]]="Expired",TODAY()-Table1[[#This Row],[Lease_End]],0)</f>
        <v>0</v>
      </c>
      <c r="N8" s="16">
        <f ca="1">Table1[[#This Row],[Lease_End]]-TODAY()</f>
        <v>-683</v>
      </c>
      <c r="O8" t="str">
        <f ca="1">IF(Table1[[#This Row],[Days_to_Expiry]]&lt;0,"Expired",
IF(Table1[[#This Row],[Days_to_Expiry]]&lt;30,"High Risk",
IF(Table1[[#This Row],[Days_to_Expiry]]&lt;=60,"Medium Risk",
"Safe")))</f>
        <v>Expired</v>
      </c>
    </row>
    <row r="9" spans="1:15" x14ac:dyDescent="0.35">
      <c r="A9" t="s">
        <v>283</v>
      </c>
      <c r="B9" t="s">
        <v>87</v>
      </c>
      <c r="C9" t="s">
        <v>284</v>
      </c>
      <c r="D9" s="1">
        <v>44598</v>
      </c>
      <c r="E9" s="1">
        <v>45328</v>
      </c>
      <c r="F9">
        <v>3091</v>
      </c>
      <c r="G9">
        <v>16523</v>
      </c>
      <c r="H9">
        <v>3.88</v>
      </c>
      <c r="I9" t="str">
        <f t="shared" si="1"/>
        <v/>
      </c>
      <c r="J9" t="str">
        <f t="shared" si="0"/>
        <v/>
      </c>
      <c r="K9" s="5" t="str">
        <f>IF(Table1[[#This Row],[Expected_Rent]]&lt;&gt;"", F9/Table1[[#This Row],[Expected_Rent]], "")</f>
        <v/>
      </c>
      <c r="L9" t="s">
        <v>16</v>
      </c>
      <c r="M9">
        <f ca="1">IF(Table1[[#This Row],[Renewal_Status]]="Expired",TODAY()-Table1[[#This Row],[Lease_End]],0)</f>
        <v>0</v>
      </c>
      <c r="N9" s="16">
        <f ca="1">Table1[[#This Row],[Lease_End]]-TODAY()</f>
        <v>-739</v>
      </c>
      <c r="O9" t="str">
        <f ca="1">IF(Table1[[#This Row],[Days_to_Expiry]]&lt;0,"Expired",
IF(Table1[[#This Row],[Days_to_Expiry]]&lt;30,"High Risk",
IF(Table1[[#This Row],[Days_to_Expiry]]&lt;=60,"Medium Risk",
"Safe")))</f>
        <v>Expired</v>
      </c>
    </row>
    <row r="10" spans="1:15" x14ac:dyDescent="0.35">
      <c r="A10" t="s">
        <v>385</v>
      </c>
      <c r="B10" t="s">
        <v>87</v>
      </c>
      <c r="C10" t="s">
        <v>386</v>
      </c>
      <c r="D10" s="1">
        <v>44673</v>
      </c>
      <c r="E10" s="1">
        <v>45038</v>
      </c>
      <c r="F10">
        <v>4147</v>
      </c>
      <c r="G10">
        <v>6423</v>
      </c>
      <c r="H10">
        <v>4.01</v>
      </c>
      <c r="I10">
        <f t="shared" si="1"/>
        <v>3091</v>
      </c>
      <c r="J10">
        <f t="shared" si="0"/>
        <v>3214.9491000000003</v>
      </c>
      <c r="K10" s="5">
        <f>IF(Table1[[#This Row],[Expected_Rent]]&lt;&gt;"", F10/Table1[[#This Row],[Expected_Rent]], "")</f>
        <v>1.2899115572311859</v>
      </c>
      <c r="L10" t="s">
        <v>20</v>
      </c>
      <c r="M10">
        <f ca="1">IF(Table1[[#This Row],[Renewal_Status]]="Expired",TODAY()-Table1[[#This Row],[Lease_End]],0)</f>
        <v>1029</v>
      </c>
      <c r="N10" s="16">
        <f ca="1">Table1[[#This Row],[Lease_End]]-TODAY()</f>
        <v>-1029</v>
      </c>
      <c r="O10" t="str">
        <f ca="1">IF(Table1[[#This Row],[Days_to_Expiry]]&lt;0,"Expired",
IF(Table1[[#This Row],[Days_to_Expiry]]&lt;30,"High Risk",
IF(Table1[[#This Row],[Days_to_Expiry]]&lt;=60,"Medium Risk",
"Safe")))</f>
        <v>Expired</v>
      </c>
    </row>
    <row r="11" spans="1:15" x14ac:dyDescent="0.35">
      <c r="A11" t="s">
        <v>86</v>
      </c>
      <c r="B11" t="s">
        <v>87</v>
      </c>
      <c r="C11" t="s">
        <v>88</v>
      </c>
      <c r="D11" s="1">
        <v>45037</v>
      </c>
      <c r="E11" s="1">
        <v>46132</v>
      </c>
      <c r="F11">
        <v>4208</v>
      </c>
      <c r="G11">
        <v>5643</v>
      </c>
      <c r="H11">
        <v>4.84</v>
      </c>
      <c r="I11">
        <f t="shared" si="1"/>
        <v>4147</v>
      </c>
      <c r="J11">
        <f t="shared" si="0"/>
        <v>4347.7147999999997</v>
      </c>
      <c r="K11" s="5">
        <f>IF(Table1[[#This Row],[Expected_Rent]]&lt;&gt;"", F11/Table1[[#This Row],[Expected_Rent]], "")</f>
        <v>0.96786477346674171</v>
      </c>
      <c r="L11" t="s">
        <v>20</v>
      </c>
      <c r="M11">
        <f ca="1">IF(Table1[[#This Row],[Renewal_Status]]="Expired",TODAY()-Table1[[#This Row],[Lease_End]],0)</f>
        <v>-65</v>
      </c>
      <c r="N11" s="16">
        <f ca="1">Table1[[#This Row],[Lease_End]]-TODAY()</f>
        <v>65</v>
      </c>
      <c r="O11" t="str">
        <f ca="1">IF(Table1[[#This Row],[Days_to_Expiry]]&lt;0,"Expired",
IF(Table1[[#This Row],[Days_to_Expiry]]&lt;30,"High Risk",
IF(Table1[[#This Row],[Days_to_Expiry]]&lt;=60,"Medium Risk",
"Safe")))</f>
        <v>Safe</v>
      </c>
    </row>
    <row r="12" spans="1:15" x14ac:dyDescent="0.35">
      <c r="A12" t="s">
        <v>468</v>
      </c>
      <c r="B12" t="s">
        <v>87</v>
      </c>
      <c r="C12" t="s">
        <v>469</v>
      </c>
      <c r="D12" s="1">
        <v>45153</v>
      </c>
      <c r="E12" s="1">
        <v>45518</v>
      </c>
      <c r="F12">
        <v>3379</v>
      </c>
      <c r="G12">
        <v>12160</v>
      </c>
      <c r="H12">
        <v>3.74</v>
      </c>
      <c r="I12">
        <f t="shared" si="1"/>
        <v>4208</v>
      </c>
      <c r="J12">
        <f t="shared" si="0"/>
        <v>4365.3792000000003</v>
      </c>
      <c r="K12" s="5">
        <f>IF(Table1[[#This Row],[Expected_Rent]]&lt;&gt;"", F12/Table1[[#This Row],[Expected_Rent]], "")</f>
        <v>0.77404501308843909</v>
      </c>
      <c r="L12" t="s">
        <v>16</v>
      </c>
      <c r="M12">
        <f ca="1">IF(Table1[[#This Row],[Renewal_Status]]="Expired",TODAY()-Table1[[#This Row],[Lease_End]],0)</f>
        <v>0</v>
      </c>
      <c r="N12" s="16">
        <f ca="1">Table1[[#This Row],[Lease_End]]-TODAY()</f>
        <v>-549</v>
      </c>
      <c r="O12" t="str">
        <f ca="1">IF(Table1[[#This Row],[Days_to_Expiry]]&lt;0,"Expired",
IF(Table1[[#This Row],[Days_to_Expiry]]&lt;30,"High Risk",
IF(Table1[[#This Row],[Days_to_Expiry]]&lt;=60,"Medium Risk",
"Safe")))</f>
        <v>Expired</v>
      </c>
    </row>
    <row r="13" spans="1:15" x14ac:dyDescent="0.35">
      <c r="A13" t="s">
        <v>372</v>
      </c>
      <c r="B13" t="s">
        <v>113</v>
      </c>
      <c r="C13" t="s">
        <v>373</v>
      </c>
      <c r="D13" s="1">
        <v>44897</v>
      </c>
      <c r="E13" s="1">
        <v>45627</v>
      </c>
      <c r="F13">
        <v>2346</v>
      </c>
      <c r="G13">
        <v>5409</v>
      </c>
      <c r="H13">
        <v>5.4</v>
      </c>
      <c r="I13" t="str">
        <f t="shared" si="1"/>
        <v/>
      </c>
      <c r="J13" t="str">
        <f t="shared" si="0"/>
        <v/>
      </c>
      <c r="K13" s="5" t="str">
        <f>IF(Table1[[#This Row],[Expected_Rent]]&lt;&gt;"", F13/Table1[[#This Row],[Expected_Rent]], "")</f>
        <v/>
      </c>
      <c r="L13" t="s">
        <v>12</v>
      </c>
      <c r="M13">
        <f ca="1">IF(Table1[[#This Row],[Renewal_Status]]="Expired",TODAY()-Table1[[#This Row],[Lease_End]],0)</f>
        <v>0</v>
      </c>
      <c r="N13" s="16">
        <f ca="1">Table1[[#This Row],[Lease_End]]-TODAY()</f>
        <v>-440</v>
      </c>
      <c r="O13" t="str">
        <f ca="1">IF(Table1[[#This Row],[Days_to_Expiry]]&lt;0,"Expired",
IF(Table1[[#This Row],[Days_to_Expiry]]&lt;30,"High Risk",
IF(Table1[[#This Row],[Days_to_Expiry]]&lt;=60,"Medium Risk",
"Safe")))</f>
        <v>Expired</v>
      </c>
    </row>
    <row r="14" spans="1:15" x14ac:dyDescent="0.35">
      <c r="A14" t="s">
        <v>112</v>
      </c>
      <c r="B14" t="s">
        <v>113</v>
      </c>
      <c r="C14" t="s">
        <v>114</v>
      </c>
      <c r="D14" s="1">
        <v>45035</v>
      </c>
      <c r="E14" s="1">
        <v>46130</v>
      </c>
      <c r="F14">
        <v>2727</v>
      </c>
      <c r="G14">
        <v>17987</v>
      </c>
      <c r="H14">
        <v>3.88</v>
      </c>
      <c r="I14">
        <f t="shared" si="1"/>
        <v>2346</v>
      </c>
      <c r="J14">
        <f t="shared" si="0"/>
        <v>2437.0247999999997</v>
      </c>
      <c r="K14" s="5">
        <f>IF(Table1[[#This Row],[Expected_Rent]]&lt;&gt;"", F14/Table1[[#This Row],[Expected_Rent]], "")</f>
        <v>1.1189873816630838</v>
      </c>
      <c r="L14" t="s">
        <v>12</v>
      </c>
      <c r="M14">
        <f ca="1">IF(Table1[[#This Row],[Renewal_Status]]="Expired",TODAY()-Table1[[#This Row],[Lease_End]],0)</f>
        <v>0</v>
      </c>
      <c r="N14" s="16">
        <f ca="1">Table1[[#This Row],[Lease_End]]-TODAY()</f>
        <v>63</v>
      </c>
      <c r="O14" t="str">
        <f ca="1">IF(Table1[[#This Row],[Days_to_Expiry]]&lt;0,"Expired",
IF(Table1[[#This Row],[Days_to_Expiry]]&lt;30,"High Risk",
IF(Table1[[#This Row],[Days_to_Expiry]]&lt;=60,"Medium Risk",
"Safe")))</f>
        <v>Safe</v>
      </c>
    </row>
    <row r="15" spans="1:15" x14ac:dyDescent="0.35">
      <c r="A15" t="s">
        <v>702</v>
      </c>
      <c r="B15" t="s">
        <v>703</v>
      </c>
      <c r="C15" t="s">
        <v>704</v>
      </c>
      <c r="D15" s="1">
        <v>45237</v>
      </c>
      <c r="E15" s="1">
        <v>45602</v>
      </c>
      <c r="F15">
        <v>4959</v>
      </c>
      <c r="G15">
        <v>16904</v>
      </c>
      <c r="H15">
        <v>7.5</v>
      </c>
      <c r="I15" t="str">
        <f t="shared" si="1"/>
        <v/>
      </c>
      <c r="J15" t="str">
        <f t="shared" si="0"/>
        <v/>
      </c>
      <c r="K15" s="5" t="str">
        <f>IF(Table1[[#This Row],[Expected_Rent]]&lt;&gt;"", F15/Table1[[#This Row],[Expected_Rent]], "")</f>
        <v/>
      </c>
      <c r="L15" t="s">
        <v>12</v>
      </c>
      <c r="M15">
        <f ca="1">IF(Table1[[#This Row],[Renewal_Status]]="Expired",TODAY()-Table1[[#This Row],[Lease_End]],0)</f>
        <v>0</v>
      </c>
      <c r="N15" s="16">
        <f ca="1">Table1[[#This Row],[Lease_End]]-TODAY()</f>
        <v>-465</v>
      </c>
      <c r="O15" t="str">
        <f ca="1">IF(Table1[[#This Row],[Days_to_Expiry]]&lt;0,"Expired",
IF(Table1[[#This Row],[Days_to_Expiry]]&lt;30,"High Risk",
IF(Table1[[#This Row],[Days_to_Expiry]]&lt;=60,"Medium Risk",
"Safe")))</f>
        <v>Expired</v>
      </c>
    </row>
    <row r="16" spans="1:15" x14ac:dyDescent="0.35">
      <c r="A16" t="s">
        <v>364</v>
      </c>
      <c r="B16" t="s">
        <v>365</v>
      </c>
      <c r="C16" t="s">
        <v>366</v>
      </c>
      <c r="D16" s="1">
        <v>44666</v>
      </c>
      <c r="E16" s="1">
        <v>45031</v>
      </c>
      <c r="F16">
        <v>6053</v>
      </c>
      <c r="G16">
        <v>16971</v>
      </c>
      <c r="H16">
        <v>4.2699999999999996</v>
      </c>
      <c r="I16" t="str">
        <f t="shared" si="1"/>
        <v/>
      </c>
      <c r="J16" t="str">
        <f t="shared" si="0"/>
        <v/>
      </c>
      <c r="K16" s="5" t="str">
        <f>IF(Table1[[#This Row],[Expected_Rent]]&lt;&gt;"", F16/Table1[[#This Row],[Expected_Rent]], "")</f>
        <v/>
      </c>
      <c r="L16" t="s">
        <v>16</v>
      </c>
      <c r="M16">
        <f ca="1">IF(Table1[[#This Row],[Renewal_Status]]="Expired",TODAY()-Table1[[#This Row],[Lease_End]],0)</f>
        <v>0</v>
      </c>
      <c r="N16" s="16">
        <f ca="1">Table1[[#This Row],[Lease_End]]-TODAY()</f>
        <v>-1036</v>
      </c>
      <c r="O16" t="str">
        <f ca="1">IF(Table1[[#This Row],[Days_to_Expiry]]&lt;0,"Expired",
IF(Table1[[#This Row],[Days_to_Expiry]]&lt;30,"High Risk",
IF(Table1[[#This Row],[Days_to_Expiry]]&lt;=60,"Medium Risk",
"Safe")))</f>
        <v>Expired</v>
      </c>
    </row>
    <row r="17" spans="1:19" x14ac:dyDescent="0.35">
      <c r="A17" t="s">
        <v>635</v>
      </c>
      <c r="B17" t="s">
        <v>365</v>
      </c>
      <c r="C17" t="s">
        <v>636</v>
      </c>
      <c r="D17" s="1">
        <v>44741</v>
      </c>
      <c r="E17" s="1">
        <v>45471</v>
      </c>
      <c r="F17">
        <v>6636</v>
      </c>
      <c r="G17">
        <v>5365</v>
      </c>
      <c r="H17">
        <v>7.96</v>
      </c>
      <c r="I17">
        <f t="shared" si="1"/>
        <v>6053</v>
      </c>
      <c r="J17">
        <f t="shared" si="0"/>
        <v>6534.8188000000009</v>
      </c>
      <c r="K17" s="5">
        <f>IF(Table1[[#This Row],[Expected_Rent]]&lt;&gt;"", F17/Table1[[#This Row],[Expected_Rent]], "")</f>
        <v>1.0154833979482336</v>
      </c>
      <c r="L17" t="s">
        <v>12</v>
      </c>
      <c r="M17">
        <f ca="1">IF(Table1[[#This Row],[Renewal_Status]]="Expired",TODAY()-Table1[[#This Row],[Lease_End]],0)</f>
        <v>0</v>
      </c>
      <c r="N17" s="16">
        <f ca="1">Table1[[#This Row],[Lease_End]]-TODAY()</f>
        <v>-596</v>
      </c>
      <c r="O17" t="str">
        <f ca="1">IF(Table1[[#This Row],[Days_to_Expiry]]&lt;0,"Expired",
IF(Table1[[#This Row],[Days_to_Expiry]]&lt;30,"High Risk",
IF(Table1[[#This Row],[Days_to_Expiry]]&lt;=60,"Medium Risk",
"Safe")))</f>
        <v>Expired</v>
      </c>
    </row>
    <row r="18" spans="1:19" x14ac:dyDescent="0.35">
      <c r="A18" t="s">
        <v>608</v>
      </c>
      <c r="B18" t="s">
        <v>365</v>
      </c>
      <c r="C18" t="s">
        <v>609</v>
      </c>
      <c r="D18" s="1">
        <v>44759</v>
      </c>
      <c r="E18" s="1">
        <v>45124</v>
      </c>
      <c r="F18">
        <v>4544</v>
      </c>
      <c r="G18">
        <v>14109</v>
      </c>
      <c r="H18">
        <v>4.53</v>
      </c>
      <c r="I18">
        <f t="shared" si="1"/>
        <v>6636</v>
      </c>
      <c r="J18">
        <f t="shared" si="0"/>
        <v>6936.6107999999995</v>
      </c>
      <c r="K18" s="5">
        <f>IF(Table1[[#This Row],[Expected_Rent]]&lt;&gt;"", F18/Table1[[#This Row],[Expected_Rent]], "")</f>
        <v>0.65507495389535197</v>
      </c>
      <c r="L18" t="s">
        <v>12</v>
      </c>
      <c r="M18">
        <f ca="1">IF(Table1[[#This Row],[Renewal_Status]]="Expired",TODAY()-Table1[[#This Row],[Lease_End]],0)</f>
        <v>0</v>
      </c>
      <c r="N18" s="16">
        <f ca="1">Table1[[#This Row],[Lease_End]]-TODAY()</f>
        <v>-943</v>
      </c>
      <c r="O18" t="str">
        <f ca="1">IF(Table1[[#This Row],[Days_to_Expiry]]&lt;0,"Expired",
IF(Table1[[#This Row],[Days_to_Expiry]]&lt;30,"High Risk",
IF(Table1[[#This Row],[Days_to_Expiry]]&lt;=60,"Medium Risk",
"Safe")))</f>
        <v>Expired</v>
      </c>
    </row>
    <row r="19" spans="1:19" x14ac:dyDescent="0.35">
      <c r="A19" t="s">
        <v>406</v>
      </c>
      <c r="B19" t="s">
        <v>365</v>
      </c>
      <c r="C19" t="s">
        <v>407</v>
      </c>
      <c r="D19" s="1">
        <v>45049</v>
      </c>
      <c r="E19" s="1">
        <v>45779</v>
      </c>
      <c r="F19">
        <v>5274</v>
      </c>
      <c r="G19">
        <v>15137</v>
      </c>
      <c r="H19">
        <v>7.97</v>
      </c>
      <c r="I19">
        <f t="shared" si="1"/>
        <v>4544</v>
      </c>
      <c r="J19">
        <f t="shared" si="0"/>
        <v>4906.1567999999997</v>
      </c>
      <c r="K19" s="5">
        <f>IF(Table1[[#This Row],[Expected_Rent]]&lt;&gt;"", F19/Table1[[#This Row],[Expected_Rent]], "")</f>
        <v>1.0749758344454055</v>
      </c>
      <c r="L19" t="s">
        <v>20</v>
      </c>
      <c r="M19">
        <f ca="1">IF(Table1[[#This Row],[Renewal_Status]]="Expired",TODAY()-Table1[[#This Row],[Lease_End]],0)</f>
        <v>288</v>
      </c>
      <c r="N19" s="16">
        <f ca="1">Table1[[#This Row],[Lease_End]]-TODAY()</f>
        <v>-288</v>
      </c>
      <c r="O19" t="str">
        <f ca="1">IF(Table1[[#This Row],[Days_to_Expiry]]&lt;0,"Expired",
IF(Table1[[#This Row],[Days_to_Expiry]]&lt;30,"High Risk",
IF(Table1[[#This Row],[Days_to_Expiry]]&lt;=60,"Medium Risk",
"Safe")))</f>
        <v>Expired</v>
      </c>
    </row>
    <row r="20" spans="1:19" x14ac:dyDescent="0.35">
      <c r="A20" t="s">
        <v>525</v>
      </c>
      <c r="B20" t="s">
        <v>365</v>
      </c>
      <c r="C20" t="s">
        <v>526</v>
      </c>
      <c r="D20" s="1">
        <v>45258</v>
      </c>
      <c r="E20" s="1">
        <v>46353</v>
      </c>
      <c r="F20">
        <v>2299</v>
      </c>
      <c r="G20">
        <v>10143</v>
      </c>
      <c r="H20">
        <v>7.4</v>
      </c>
      <c r="I20">
        <f t="shared" si="1"/>
        <v>5274</v>
      </c>
      <c r="J20">
        <f t="shared" si="0"/>
        <v>5664.2760000000007</v>
      </c>
      <c r="K20" s="5">
        <f>IF(Table1[[#This Row],[Expected_Rent]]&lt;&gt;"", F20/Table1[[#This Row],[Expected_Rent]], "")</f>
        <v>0.40587711474511479</v>
      </c>
      <c r="L20" t="s">
        <v>20</v>
      </c>
      <c r="M20">
        <f ca="1">IF(Table1[[#This Row],[Renewal_Status]]="Expired",TODAY()-Table1[[#This Row],[Lease_End]],0)</f>
        <v>-286</v>
      </c>
      <c r="N20" s="16">
        <f ca="1">Table1[[#This Row],[Lease_End]]-TODAY()</f>
        <v>286</v>
      </c>
      <c r="O20" t="str">
        <f ca="1">IF(Table1[[#This Row],[Days_to_Expiry]]&lt;0,"Expired",
IF(Table1[[#This Row],[Days_to_Expiry]]&lt;30,"High Risk",
IF(Table1[[#This Row],[Days_to_Expiry]]&lt;=60,"Medium Risk",
"Safe")))</f>
        <v>Safe</v>
      </c>
    </row>
    <row r="21" spans="1:19" x14ac:dyDescent="0.35">
      <c r="A21" t="s">
        <v>30</v>
      </c>
      <c r="B21" t="s">
        <v>31</v>
      </c>
      <c r="C21" t="s">
        <v>32</v>
      </c>
      <c r="D21" s="1">
        <v>44877</v>
      </c>
      <c r="E21" s="1">
        <v>45607</v>
      </c>
      <c r="F21">
        <v>6274</v>
      </c>
      <c r="G21">
        <v>6924</v>
      </c>
      <c r="H21">
        <v>7.42</v>
      </c>
      <c r="I21" t="str">
        <f t="shared" si="1"/>
        <v/>
      </c>
      <c r="J21" t="str">
        <f t="shared" si="0"/>
        <v/>
      </c>
      <c r="K21" s="5" t="str">
        <f>IF(Table1[[#This Row],[Expected_Rent]]&lt;&gt;"", F21/Table1[[#This Row],[Expected_Rent]], "")</f>
        <v/>
      </c>
      <c r="L21" t="s">
        <v>16</v>
      </c>
      <c r="M21">
        <f ca="1">IF(Table1[[#This Row],[Renewal_Status]]="Expired",TODAY()-Table1[[#This Row],[Lease_End]],0)</f>
        <v>0</v>
      </c>
      <c r="N21" s="16">
        <f ca="1">Table1[[#This Row],[Lease_End]]-TODAY()</f>
        <v>-460</v>
      </c>
      <c r="O21" t="str">
        <f ca="1">IF(Table1[[#This Row],[Days_to_Expiry]]&lt;0,"Expired",
IF(Table1[[#This Row],[Days_to_Expiry]]&lt;30,"High Risk",
IF(Table1[[#This Row],[Days_to_Expiry]]&lt;=60,"Medium Risk",
"Safe")))</f>
        <v>Expired</v>
      </c>
    </row>
    <row r="22" spans="1:19" x14ac:dyDescent="0.35">
      <c r="A22" t="s">
        <v>311</v>
      </c>
      <c r="B22" t="s">
        <v>31</v>
      </c>
      <c r="C22" t="s">
        <v>312</v>
      </c>
      <c r="D22" s="1">
        <v>44898</v>
      </c>
      <c r="E22" s="1">
        <v>45263</v>
      </c>
      <c r="F22">
        <v>4524</v>
      </c>
      <c r="G22">
        <v>7543</v>
      </c>
      <c r="H22">
        <v>7.14</v>
      </c>
      <c r="I22">
        <f t="shared" si="1"/>
        <v>6274</v>
      </c>
      <c r="J22">
        <f t="shared" si="0"/>
        <v>6721.9635999999991</v>
      </c>
      <c r="K22" s="5">
        <f>IF(Table1[[#This Row],[Expected_Rent]]&lt;&gt;"", F22/Table1[[#This Row],[Expected_Rent]], "")</f>
        <v>0.67301762836085588</v>
      </c>
      <c r="L22" t="s">
        <v>12</v>
      </c>
      <c r="M22">
        <f ca="1">IF(Table1[[#This Row],[Renewal_Status]]="Expired",TODAY()-Table1[[#This Row],[Lease_End]],0)</f>
        <v>0</v>
      </c>
      <c r="N22" s="16">
        <f ca="1">Table1[[#This Row],[Lease_End]]-TODAY()</f>
        <v>-804</v>
      </c>
      <c r="O22" t="str">
        <f ca="1">IF(Table1[[#This Row],[Days_to_Expiry]]&lt;0,"Expired",
IF(Table1[[#This Row],[Days_to_Expiry]]&lt;30,"High Risk",
IF(Table1[[#This Row],[Days_to_Expiry]]&lt;=60,"Medium Risk",
"Safe")))</f>
        <v>Expired</v>
      </c>
    </row>
    <row r="23" spans="1:19" x14ac:dyDescent="0.35">
      <c r="A23" t="s">
        <v>319</v>
      </c>
      <c r="B23" t="s">
        <v>43</v>
      </c>
      <c r="C23" t="s">
        <v>320</v>
      </c>
      <c r="D23" s="1">
        <v>44843</v>
      </c>
      <c r="E23" s="1">
        <v>45573</v>
      </c>
      <c r="F23">
        <v>2111</v>
      </c>
      <c r="G23">
        <v>18134</v>
      </c>
      <c r="H23">
        <v>3.32</v>
      </c>
      <c r="I23" t="str">
        <f t="shared" si="1"/>
        <v/>
      </c>
      <c r="J23" t="str">
        <f t="shared" si="0"/>
        <v/>
      </c>
      <c r="K23" s="5" t="str">
        <f>IF(Table1[[#This Row],[Expected_Rent]]&lt;&gt;"", F23/Table1[[#This Row],[Expected_Rent]], "")</f>
        <v/>
      </c>
      <c r="L23" t="s">
        <v>20</v>
      </c>
      <c r="M23">
        <f ca="1">IF(Table1[[#This Row],[Renewal_Status]]="Expired",TODAY()-Table1[[#This Row],[Lease_End]],0)</f>
        <v>494</v>
      </c>
      <c r="N23" s="16">
        <f ca="1">Table1[[#This Row],[Lease_End]]-TODAY()</f>
        <v>-494</v>
      </c>
      <c r="O23" t="str">
        <f ca="1">IF(Table1[[#This Row],[Days_to_Expiry]]&lt;0,"Expired",
IF(Table1[[#This Row],[Days_to_Expiry]]&lt;30,"High Risk",
IF(Table1[[#This Row],[Days_to_Expiry]]&lt;=60,"Medium Risk",
"Safe")))</f>
        <v>Expired</v>
      </c>
    </row>
    <row r="24" spans="1:19" x14ac:dyDescent="0.35">
      <c r="A24" t="s">
        <v>731</v>
      </c>
      <c r="B24" t="s">
        <v>43</v>
      </c>
      <c r="C24" t="s">
        <v>732</v>
      </c>
      <c r="D24" s="1">
        <v>45147</v>
      </c>
      <c r="E24" s="1">
        <v>45877</v>
      </c>
      <c r="F24">
        <v>4757</v>
      </c>
      <c r="G24">
        <v>13927</v>
      </c>
      <c r="H24">
        <v>7.69</v>
      </c>
      <c r="I24">
        <f t="shared" si="1"/>
        <v>2111</v>
      </c>
      <c r="J24">
        <f t="shared" si="0"/>
        <v>2273.3359</v>
      </c>
      <c r="K24" s="5">
        <f>IF(Table1[[#This Row],[Expected_Rent]]&lt;&gt;"", F24/Table1[[#This Row],[Expected_Rent]], "")</f>
        <v>2.0925196316127326</v>
      </c>
      <c r="L24" t="s">
        <v>12</v>
      </c>
      <c r="M24">
        <f ca="1">IF(Table1[[#This Row],[Renewal_Status]]="Expired",TODAY()-Table1[[#This Row],[Lease_End]],0)</f>
        <v>0</v>
      </c>
      <c r="N24" s="16">
        <f ca="1">Table1[[#This Row],[Lease_End]]-TODAY()</f>
        <v>-190</v>
      </c>
      <c r="O24" t="str">
        <f ca="1">IF(Table1[[#This Row],[Days_to_Expiry]]&lt;0,"Expired",
IF(Table1[[#This Row],[Days_to_Expiry]]&lt;30,"High Risk",
IF(Table1[[#This Row],[Days_to_Expiry]]&lt;=60,"Medium Risk",
"Safe")))</f>
        <v>Expired</v>
      </c>
      <c r="S24" t="s">
        <v>836</v>
      </c>
    </row>
    <row r="25" spans="1:19" x14ac:dyDescent="0.35">
      <c r="A25" t="s">
        <v>553</v>
      </c>
      <c r="B25" t="s">
        <v>43</v>
      </c>
      <c r="C25" t="s">
        <v>554</v>
      </c>
      <c r="D25" s="1">
        <v>45222</v>
      </c>
      <c r="E25" s="1">
        <v>45952</v>
      </c>
      <c r="F25">
        <v>4857</v>
      </c>
      <c r="G25">
        <v>10510</v>
      </c>
      <c r="H25">
        <v>3.56</v>
      </c>
      <c r="I25">
        <f t="shared" si="1"/>
        <v>4757</v>
      </c>
      <c r="J25">
        <f t="shared" si="0"/>
        <v>4926.3492000000006</v>
      </c>
      <c r="K25" s="5">
        <f>IF(Table1[[#This Row],[Expected_Rent]]&lt;&gt;"", F25/Table1[[#This Row],[Expected_Rent]], "")</f>
        <v>0.9859228006004932</v>
      </c>
      <c r="L25" t="s">
        <v>20</v>
      </c>
      <c r="M25">
        <f ca="1">IF(Table1[[#This Row],[Renewal_Status]]="Expired",TODAY()-Table1[[#This Row],[Lease_End]],0)</f>
        <v>115</v>
      </c>
      <c r="N25" s="16">
        <f ca="1">Table1[[#This Row],[Lease_End]]-TODAY()</f>
        <v>-115</v>
      </c>
      <c r="O25" t="str">
        <f ca="1">IF(Table1[[#This Row],[Days_to_Expiry]]&lt;0,"Expired",
IF(Table1[[#This Row],[Days_to_Expiry]]&lt;30,"High Risk",
IF(Table1[[#This Row],[Days_to_Expiry]]&lt;=60,"Medium Risk",
"Safe")))</f>
        <v>Expired</v>
      </c>
    </row>
    <row r="26" spans="1:19" x14ac:dyDescent="0.35">
      <c r="A26" t="s">
        <v>42</v>
      </c>
      <c r="B26" t="s">
        <v>43</v>
      </c>
      <c r="C26" t="s">
        <v>44</v>
      </c>
      <c r="D26" s="1">
        <v>45253</v>
      </c>
      <c r="E26" s="1">
        <v>45618</v>
      </c>
      <c r="F26">
        <v>3950</v>
      </c>
      <c r="G26">
        <v>19450</v>
      </c>
      <c r="H26">
        <v>7.08</v>
      </c>
      <c r="I26">
        <f t="shared" si="1"/>
        <v>4857</v>
      </c>
      <c r="J26">
        <f t="shared" si="0"/>
        <v>5200.8756000000003</v>
      </c>
      <c r="K26" s="5">
        <f>IF(Table1[[#This Row],[Expected_Rent]]&lt;&gt;"", F26/Table1[[#This Row],[Expected_Rent]], "")</f>
        <v>0.7594874986050425</v>
      </c>
      <c r="L26" t="s">
        <v>12</v>
      </c>
      <c r="M26">
        <f ca="1">IF(Table1[[#This Row],[Renewal_Status]]="Expired",TODAY()-Table1[[#This Row],[Lease_End]],0)</f>
        <v>0</v>
      </c>
      <c r="N26" s="16">
        <f ca="1">Table1[[#This Row],[Lease_End]]-TODAY()</f>
        <v>-449</v>
      </c>
      <c r="O26" t="str">
        <f ca="1">IF(Table1[[#This Row],[Days_to_Expiry]]&lt;0,"Expired",
IF(Table1[[#This Row],[Days_to_Expiry]]&lt;30,"High Risk",
IF(Table1[[#This Row],[Days_to_Expiry]]&lt;=60,"Medium Risk",
"Safe")))</f>
        <v>Expired</v>
      </c>
    </row>
    <row r="27" spans="1:19" x14ac:dyDescent="0.35">
      <c r="A27" t="s">
        <v>316</v>
      </c>
      <c r="B27" t="s">
        <v>317</v>
      </c>
      <c r="C27" t="s">
        <v>318</v>
      </c>
      <c r="D27" s="1">
        <v>44895</v>
      </c>
      <c r="E27" s="1">
        <v>45260</v>
      </c>
      <c r="F27">
        <v>4475</v>
      </c>
      <c r="G27">
        <v>12995</v>
      </c>
      <c r="H27">
        <v>6.01</v>
      </c>
      <c r="I27" t="str">
        <f t="shared" si="1"/>
        <v/>
      </c>
      <c r="J27" t="str">
        <f t="shared" si="0"/>
        <v/>
      </c>
      <c r="K27" s="5" t="str">
        <f>IF(Table1[[#This Row],[Expected_Rent]]&lt;&gt;"", F27/Table1[[#This Row],[Expected_Rent]], "")</f>
        <v/>
      </c>
      <c r="L27" t="s">
        <v>20</v>
      </c>
      <c r="M27">
        <f ca="1">IF(Table1[[#This Row],[Renewal_Status]]="Expired",TODAY()-Table1[[#This Row],[Lease_End]],0)</f>
        <v>807</v>
      </c>
      <c r="N27" s="16">
        <f ca="1">Table1[[#This Row],[Lease_End]]-TODAY()</f>
        <v>-807</v>
      </c>
      <c r="O27" t="str">
        <f ca="1">IF(Table1[[#This Row],[Days_to_Expiry]]&lt;0,"Expired",
IF(Table1[[#This Row],[Days_to_Expiry]]&lt;30,"High Risk",
IF(Table1[[#This Row],[Days_to_Expiry]]&lt;=60,"Medium Risk",
"Safe")))</f>
        <v>Expired</v>
      </c>
    </row>
    <row r="28" spans="1:19" x14ac:dyDescent="0.35">
      <c r="A28" t="s">
        <v>562</v>
      </c>
      <c r="B28" t="s">
        <v>317</v>
      </c>
      <c r="C28" t="s">
        <v>563</v>
      </c>
      <c r="D28" s="1">
        <v>45074</v>
      </c>
      <c r="E28" s="1">
        <v>45804</v>
      </c>
      <c r="F28">
        <v>2655</v>
      </c>
      <c r="G28">
        <v>7574</v>
      </c>
      <c r="H28">
        <v>6.85</v>
      </c>
      <c r="I28">
        <f t="shared" si="1"/>
        <v>4475</v>
      </c>
      <c r="J28">
        <f t="shared" si="0"/>
        <v>4781.5375000000004</v>
      </c>
      <c r="K28" s="5">
        <f>IF(Table1[[#This Row],[Expected_Rent]]&lt;&gt;"", F28/Table1[[#This Row],[Expected_Rent]], "")</f>
        <v>0.55526072942019167</v>
      </c>
      <c r="L28" t="s">
        <v>16</v>
      </c>
      <c r="M28">
        <f ca="1">IF(Table1[[#This Row],[Renewal_Status]]="Expired",TODAY()-Table1[[#This Row],[Lease_End]],0)</f>
        <v>0</v>
      </c>
      <c r="N28" s="16">
        <f ca="1">Table1[[#This Row],[Lease_End]]-TODAY()</f>
        <v>-263</v>
      </c>
      <c r="O28" t="str">
        <f ca="1">IF(Table1[[#This Row],[Days_to_Expiry]]&lt;0,"Expired",
IF(Table1[[#This Row],[Days_to_Expiry]]&lt;30,"High Risk",
IF(Table1[[#This Row],[Days_to_Expiry]]&lt;=60,"Medium Risk",
"Safe")))</f>
        <v>Expired</v>
      </c>
    </row>
    <row r="29" spans="1:19" x14ac:dyDescent="0.35">
      <c r="A29" t="s">
        <v>379</v>
      </c>
      <c r="B29" t="s">
        <v>317</v>
      </c>
      <c r="C29" t="s">
        <v>380</v>
      </c>
      <c r="D29" s="1">
        <v>45170</v>
      </c>
      <c r="E29" s="1">
        <v>46265</v>
      </c>
      <c r="F29">
        <v>3733</v>
      </c>
      <c r="G29">
        <v>17022</v>
      </c>
      <c r="H29">
        <v>3.7</v>
      </c>
      <c r="I29">
        <f t="shared" si="1"/>
        <v>2655</v>
      </c>
      <c r="J29">
        <f t="shared" si="0"/>
        <v>2753.2349999999997</v>
      </c>
      <c r="K29" s="5">
        <f>IF(Table1[[#This Row],[Expected_Rent]]&lt;&gt;"", F29/Table1[[#This Row],[Expected_Rent]], "")</f>
        <v>1.3558595615702984</v>
      </c>
      <c r="L29" t="s">
        <v>20</v>
      </c>
      <c r="M29">
        <f ca="1">IF(Table1[[#This Row],[Renewal_Status]]="Expired",TODAY()-Table1[[#This Row],[Lease_End]],0)</f>
        <v>-198</v>
      </c>
      <c r="N29" s="16">
        <f ca="1">Table1[[#This Row],[Lease_End]]-TODAY()</f>
        <v>198</v>
      </c>
      <c r="O29" t="str">
        <f ca="1">IF(Table1[[#This Row],[Days_to_Expiry]]&lt;0,"Expired",
IF(Table1[[#This Row],[Days_to_Expiry]]&lt;30,"High Risk",
IF(Table1[[#This Row],[Days_to_Expiry]]&lt;=60,"Medium Risk",
"Safe")))</f>
        <v>Safe</v>
      </c>
    </row>
    <row r="30" spans="1:19" x14ac:dyDescent="0.35">
      <c r="A30" t="s">
        <v>278</v>
      </c>
      <c r="B30" t="s">
        <v>163</v>
      </c>
      <c r="C30" t="s">
        <v>279</v>
      </c>
      <c r="D30" s="1">
        <v>44636</v>
      </c>
      <c r="E30" s="1">
        <v>45731</v>
      </c>
      <c r="F30">
        <v>3482</v>
      </c>
      <c r="G30">
        <v>17210</v>
      </c>
      <c r="H30">
        <v>6.76</v>
      </c>
      <c r="I30" t="str">
        <f t="shared" si="1"/>
        <v/>
      </c>
      <c r="J30" t="str">
        <f t="shared" si="0"/>
        <v/>
      </c>
      <c r="K30" s="5" t="str">
        <f>IF(Table1[[#This Row],[Expected_Rent]]&lt;&gt;"", F30/Table1[[#This Row],[Expected_Rent]], "")</f>
        <v/>
      </c>
      <c r="L30" t="s">
        <v>12</v>
      </c>
      <c r="M30">
        <f ca="1">IF(Table1[[#This Row],[Renewal_Status]]="Expired",TODAY()-Table1[[#This Row],[Lease_End]],0)</f>
        <v>0</v>
      </c>
      <c r="N30" s="16">
        <f ca="1">Table1[[#This Row],[Lease_End]]-TODAY()</f>
        <v>-336</v>
      </c>
      <c r="O30" t="str">
        <f ca="1">IF(Table1[[#This Row],[Days_to_Expiry]]&lt;0,"Expired",
IF(Table1[[#This Row],[Days_to_Expiry]]&lt;30,"High Risk",
IF(Table1[[#This Row],[Days_to_Expiry]]&lt;=60,"Medium Risk",
"Safe")))</f>
        <v>Expired</v>
      </c>
    </row>
    <row r="31" spans="1:19" x14ac:dyDescent="0.35">
      <c r="A31" t="s">
        <v>677</v>
      </c>
      <c r="B31" t="s">
        <v>163</v>
      </c>
      <c r="C31" t="s">
        <v>678</v>
      </c>
      <c r="D31" s="1">
        <v>45023</v>
      </c>
      <c r="E31" s="1">
        <v>45753</v>
      </c>
      <c r="F31">
        <v>2708</v>
      </c>
      <c r="G31">
        <v>5158</v>
      </c>
      <c r="H31">
        <v>4.82</v>
      </c>
      <c r="I31">
        <f t="shared" si="1"/>
        <v>3482</v>
      </c>
      <c r="J31">
        <f t="shared" si="0"/>
        <v>3649.8324000000002</v>
      </c>
      <c r="K31" s="5">
        <f>IF(Table1[[#This Row],[Expected_Rent]]&lt;&gt;"", F31/Table1[[#This Row],[Expected_Rent]], "")</f>
        <v>0.741951877023175</v>
      </c>
      <c r="L31" t="s">
        <v>12</v>
      </c>
      <c r="M31">
        <f ca="1">IF(Table1[[#This Row],[Renewal_Status]]="Expired",TODAY()-Table1[[#This Row],[Lease_End]],0)</f>
        <v>0</v>
      </c>
      <c r="N31" s="16">
        <f ca="1">Table1[[#This Row],[Lease_End]]-TODAY()</f>
        <v>-314</v>
      </c>
      <c r="O31" t="str">
        <f ca="1">IF(Table1[[#This Row],[Days_to_Expiry]]&lt;0,"Expired",
IF(Table1[[#This Row],[Days_to_Expiry]]&lt;30,"High Risk",
IF(Table1[[#This Row],[Days_to_Expiry]]&lt;=60,"Medium Risk",
"Safe")))</f>
        <v>Expired</v>
      </c>
    </row>
    <row r="32" spans="1:19" x14ac:dyDescent="0.35">
      <c r="A32" t="s">
        <v>162</v>
      </c>
      <c r="B32" t="s">
        <v>163</v>
      </c>
      <c r="C32" t="s">
        <v>164</v>
      </c>
      <c r="D32" s="1">
        <v>45166</v>
      </c>
      <c r="E32" s="1">
        <v>46261</v>
      </c>
      <c r="F32">
        <v>6918</v>
      </c>
      <c r="G32">
        <v>13212</v>
      </c>
      <c r="H32">
        <v>4.8600000000000003</v>
      </c>
      <c r="I32">
        <f t="shared" si="1"/>
        <v>2708</v>
      </c>
      <c r="J32">
        <f t="shared" si="0"/>
        <v>2839.6088</v>
      </c>
      <c r="K32" s="5">
        <f>IF(Table1[[#This Row],[Expected_Rent]]&lt;&gt;"", F32/Table1[[#This Row],[Expected_Rent]], "")</f>
        <v>2.4362510779653874</v>
      </c>
      <c r="L32" t="s">
        <v>20</v>
      </c>
      <c r="M32">
        <f ca="1">IF(Table1[[#This Row],[Renewal_Status]]="Expired",TODAY()-Table1[[#This Row],[Lease_End]],0)</f>
        <v>-194</v>
      </c>
      <c r="N32" s="16">
        <f ca="1">Table1[[#This Row],[Lease_End]]-TODAY()</f>
        <v>194</v>
      </c>
      <c r="O32" t="str">
        <f ca="1">IF(Table1[[#This Row],[Days_to_Expiry]]&lt;0,"Expired",
IF(Table1[[#This Row],[Days_to_Expiry]]&lt;30,"High Risk",
IF(Table1[[#This Row],[Days_to_Expiry]]&lt;=60,"Medium Risk",
"Safe")))</f>
        <v>Safe</v>
      </c>
    </row>
    <row r="33" spans="1:15" x14ac:dyDescent="0.35">
      <c r="A33" t="s">
        <v>353</v>
      </c>
      <c r="B33" t="s">
        <v>354</v>
      </c>
      <c r="C33" t="s">
        <v>355</v>
      </c>
      <c r="D33" s="1">
        <v>44915</v>
      </c>
      <c r="E33" s="1">
        <v>46010</v>
      </c>
      <c r="F33">
        <v>3240</v>
      </c>
      <c r="G33">
        <v>6861</v>
      </c>
      <c r="H33">
        <v>5.92</v>
      </c>
      <c r="I33" t="str">
        <f t="shared" si="1"/>
        <v/>
      </c>
      <c r="J33" t="str">
        <f t="shared" si="0"/>
        <v/>
      </c>
      <c r="K33" s="5" t="str">
        <f>IF(Table1[[#This Row],[Expected_Rent]]&lt;&gt;"", F33/Table1[[#This Row],[Expected_Rent]], "")</f>
        <v/>
      </c>
      <c r="L33" t="s">
        <v>16</v>
      </c>
      <c r="M33">
        <f ca="1">IF(Table1[[#This Row],[Renewal_Status]]="Expired",TODAY()-Table1[[#This Row],[Lease_End]],0)</f>
        <v>0</v>
      </c>
      <c r="N33" s="16">
        <f ca="1">Table1[[#This Row],[Lease_End]]-TODAY()</f>
        <v>-57</v>
      </c>
      <c r="O33" t="str">
        <f ca="1">IF(Table1[[#This Row],[Days_to_Expiry]]&lt;0,"Expired",
IF(Table1[[#This Row],[Days_to_Expiry]]&lt;30,"High Risk",
IF(Table1[[#This Row],[Days_to_Expiry]]&lt;=60,"Medium Risk",
"Safe")))</f>
        <v>Expired</v>
      </c>
    </row>
    <row r="34" spans="1:15" x14ac:dyDescent="0.35">
      <c r="A34" t="s">
        <v>151</v>
      </c>
      <c r="B34" t="s">
        <v>152</v>
      </c>
      <c r="C34" t="s">
        <v>153</v>
      </c>
      <c r="D34" s="1">
        <v>45116</v>
      </c>
      <c r="E34" s="1">
        <v>45846</v>
      </c>
      <c r="F34">
        <v>3381</v>
      </c>
      <c r="G34">
        <v>6856</v>
      </c>
      <c r="H34">
        <v>3.81</v>
      </c>
      <c r="I34" t="str">
        <f t="shared" si="1"/>
        <v/>
      </c>
      <c r="J34" t="str">
        <f t="shared" si="0"/>
        <v/>
      </c>
      <c r="K34" s="5" t="str">
        <f>IF(Table1[[#This Row],[Expected_Rent]]&lt;&gt;"", F34/Table1[[#This Row],[Expected_Rent]], "")</f>
        <v/>
      </c>
      <c r="L34" t="s">
        <v>20</v>
      </c>
      <c r="M34">
        <f ca="1">IF(Table1[[#This Row],[Renewal_Status]]="Expired",TODAY()-Table1[[#This Row],[Lease_End]],0)</f>
        <v>221</v>
      </c>
      <c r="N34" s="16">
        <f ca="1">Table1[[#This Row],[Lease_End]]-TODAY()</f>
        <v>-221</v>
      </c>
      <c r="O34" t="str">
        <f ca="1">IF(Table1[[#This Row],[Days_to_Expiry]]&lt;0,"Expired",
IF(Table1[[#This Row],[Days_to_Expiry]]&lt;30,"High Risk",
IF(Table1[[#This Row],[Days_to_Expiry]]&lt;=60,"Medium Risk",
"Safe")))</f>
        <v>Expired</v>
      </c>
    </row>
    <row r="35" spans="1:15" x14ac:dyDescent="0.35">
      <c r="A35" t="s">
        <v>383</v>
      </c>
      <c r="B35" t="s">
        <v>152</v>
      </c>
      <c r="C35" t="s">
        <v>384</v>
      </c>
      <c r="D35" s="1">
        <v>45196</v>
      </c>
      <c r="E35" s="1">
        <v>45561</v>
      </c>
      <c r="F35">
        <v>3374</v>
      </c>
      <c r="G35">
        <v>17067</v>
      </c>
      <c r="H35">
        <v>4.74</v>
      </c>
      <c r="I35">
        <f t="shared" si="1"/>
        <v>3381</v>
      </c>
      <c r="J35">
        <f t="shared" si="0"/>
        <v>3541.2594000000004</v>
      </c>
      <c r="K35" s="5">
        <f>IF(Table1[[#This Row],[Expected_Rent]]&lt;&gt;"", F35/Table1[[#This Row],[Expected_Rent]], "")</f>
        <v>0.95276838516828211</v>
      </c>
      <c r="L35" t="s">
        <v>12</v>
      </c>
      <c r="M35">
        <f ca="1">IF(Table1[[#This Row],[Renewal_Status]]="Expired",TODAY()-Table1[[#This Row],[Lease_End]],0)</f>
        <v>0</v>
      </c>
      <c r="N35" s="16">
        <f ca="1">Table1[[#This Row],[Lease_End]]-TODAY()</f>
        <v>-506</v>
      </c>
      <c r="O35" t="str">
        <f ca="1">IF(Table1[[#This Row],[Days_to_Expiry]]&lt;0,"Expired",
IF(Table1[[#This Row],[Days_to_Expiry]]&lt;30,"High Risk",
IF(Table1[[#This Row],[Days_to_Expiry]]&lt;=60,"Medium Risk",
"Safe")))</f>
        <v>Expired</v>
      </c>
    </row>
    <row r="36" spans="1:15" x14ac:dyDescent="0.35">
      <c r="A36" t="s">
        <v>411</v>
      </c>
      <c r="B36" t="s">
        <v>412</v>
      </c>
      <c r="C36" t="s">
        <v>413</v>
      </c>
      <c r="D36" s="1">
        <v>44904</v>
      </c>
      <c r="E36" s="1">
        <v>45634</v>
      </c>
      <c r="F36">
        <v>5085</v>
      </c>
      <c r="G36">
        <v>6979</v>
      </c>
      <c r="H36">
        <v>4.7699999999999996</v>
      </c>
      <c r="I36" t="str">
        <f t="shared" si="1"/>
        <v/>
      </c>
      <c r="J36" t="str">
        <f t="shared" si="0"/>
        <v/>
      </c>
      <c r="K36" s="5" t="str">
        <f>IF(Table1[[#This Row],[Expected_Rent]]&lt;&gt;"", F36/Table1[[#This Row],[Expected_Rent]], "")</f>
        <v/>
      </c>
      <c r="L36" t="s">
        <v>20</v>
      </c>
      <c r="M36">
        <f ca="1">IF(Table1[[#This Row],[Renewal_Status]]="Expired",TODAY()-Table1[[#This Row],[Lease_End]],0)</f>
        <v>433</v>
      </c>
      <c r="N36" s="16">
        <f ca="1">Table1[[#This Row],[Lease_End]]-TODAY()</f>
        <v>-433</v>
      </c>
      <c r="O36" t="str">
        <f ca="1">IF(Table1[[#This Row],[Days_to_Expiry]]&lt;0,"Expired",
IF(Table1[[#This Row],[Days_to_Expiry]]&lt;30,"High Risk",
IF(Table1[[#This Row],[Days_to_Expiry]]&lt;=60,"Medium Risk",
"Safe")))</f>
        <v>Expired</v>
      </c>
    </row>
    <row r="37" spans="1:15" x14ac:dyDescent="0.35">
      <c r="A37" t="s">
        <v>27</v>
      </c>
      <c r="B37" t="s">
        <v>28</v>
      </c>
      <c r="C37" t="s">
        <v>29</v>
      </c>
      <c r="D37" s="1">
        <v>44587</v>
      </c>
      <c r="E37" s="1">
        <v>45682</v>
      </c>
      <c r="F37">
        <v>4936</v>
      </c>
      <c r="G37">
        <v>12568</v>
      </c>
      <c r="H37">
        <v>5.98</v>
      </c>
      <c r="I37" t="str">
        <f t="shared" si="1"/>
        <v/>
      </c>
      <c r="J37" t="str">
        <f t="shared" si="0"/>
        <v/>
      </c>
      <c r="K37" s="5" t="str">
        <f>IF(Table1[[#This Row],[Expected_Rent]]&lt;&gt;"", F37/Table1[[#This Row],[Expected_Rent]], "")</f>
        <v/>
      </c>
      <c r="L37" t="s">
        <v>12</v>
      </c>
      <c r="M37">
        <f ca="1">IF(Table1[[#This Row],[Renewal_Status]]="Expired",TODAY()-Table1[[#This Row],[Lease_End]],0)</f>
        <v>0</v>
      </c>
      <c r="N37" s="16">
        <f ca="1">Table1[[#This Row],[Lease_End]]-TODAY()</f>
        <v>-385</v>
      </c>
      <c r="O37" t="str">
        <f ca="1">IF(Table1[[#This Row],[Days_to_Expiry]]&lt;0,"Expired",
IF(Table1[[#This Row],[Days_to_Expiry]]&lt;30,"High Risk",
IF(Table1[[#This Row],[Days_to_Expiry]]&lt;=60,"Medium Risk",
"Safe")))</f>
        <v>Expired</v>
      </c>
    </row>
    <row r="38" spans="1:15" x14ac:dyDescent="0.35">
      <c r="A38" t="s">
        <v>326</v>
      </c>
      <c r="B38" t="s">
        <v>28</v>
      </c>
      <c r="C38" t="s">
        <v>327</v>
      </c>
      <c r="D38" s="1">
        <v>44728</v>
      </c>
      <c r="E38" s="1">
        <v>45458</v>
      </c>
      <c r="F38">
        <v>5243</v>
      </c>
      <c r="G38">
        <v>9417</v>
      </c>
      <c r="H38">
        <v>5.6</v>
      </c>
      <c r="I38">
        <f t="shared" si="1"/>
        <v>4936</v>
      </c>
      <c r="J38">
        <f t="shared" si="0"/>
        <v>5212.4160000000002</v>
      </c>
      <c r="K38" s="5">
        <f>IF(Table1[[#This Row],[Expected_Rent]]&lt;&gt;"", F38/Table1[[#This Row],[Expected_Rent]], "")</f>
        <v>1.0058675286086145</v>
      </c>
      <c r="L38" t="s">
        <v>20</v>
      </c>
      <c r="M38">
        <f ca="1">IF(Table1[[#This Row],[Renewal_Status]]="Expired",TODAY()-Table1[[#This Row],[Lease_End]],0)</f>
        <v>609</v>
      </c>
      <c r="N38" s="16">
        <f ca="1">Table1[[#This Row],[Lease_End]]-TODAY()</f>
        <v>-609</v>
      </c>
      <c r="O38" t="str">
        <f ca="1">IF(Table1[[#This Row],[Days_to_Expiry]]&lt;0,"Expired",
IF(Table1[[#This Row],[Days_to_Expiry]]&lt;30,"High Risk",
IF(Table1[[#This Row],[Days_to_Expiry]]&lt;=60,"Medium Risk",
"Safe")))</f>
        <v>Expired</v>
      </c>
    </row>
    <row r="39" spans="1:15" x14ac:dyDescent="0.35">
      <c r="A39" t="s">
        <v>179</v>
      </c>
      <c r="B39" t="s">
        <v>28</v>
      </c>
      <c r="C39" t="s">
        <v>180</v>
      </c>
      <c r="D39" s="1">
        <v>45033</v>
      </c>
      <c r="E39" s="1">
        <v>45763</v>
      </c>
      <c r="F39">
        <v>4554</v>
      </c>
      <c r="G39">
        <v>10117</v>
      </c>
      <c r="H39">
        <v>6.45</v>
      </c>
      <c r="I39">
        <f t="shared" si="1"/>
        <v>5243</v>
      </c>
      <c r="J39">
        <f t="shared" si="0"/>
        <v>5581.1734999999999</v>
      </c>
      <c r="K39" s="5">
        <f>IF(Table1[[#This Row],[Expected_Rent]]&lt;&gt;"", F39/Table1[[#This Row],[Expected_Rent]], "")</f>
        <v>0.81595743260803488</v>
      </c>
      <c r="L39" t="s">
        <v>12</v>
      </c>
      <c r="M39">
        <f ca="1">IF(Table1[[#This Row],[Renewal_Status]]="Expired",TODAY()-Table1[[#This Row],[Lease_End]],0)</f>
        <v>0</v>
      </c>
      <c r="N39" s="16">
        <f ca="1">Table1[[#This Row],[Lease_End]]-TODAY()</f>
        <v>-304</v>
      </c>
      <c r="O39" t="str">
        <f ca="1">IF(Table1[[#This Row],[Days_to_Expiry]]&lt;0,"Expired",
IF(Table1[[#This Row],[Days_to_Expiry]]&lt;30,"High Risk",
IF(Table1[[#This Row],[Days_to_Expiry]]&lt;=60,"Medium Risk",
"Safe")))</f>
        <v>Expired</v>
      </c>
    </row>
    <row r="40" spans="1:15" x14ac:dyDescent="0.35">
      <c r="A40" t="s">
        <v>189</v>
      </c>
      <c r="B40" t="s">
        <v>28</v>
      </c>
      <c r="C40" t="s">
        <v>190</v>
      </c>
      <c r="D40" s="1">
        <v>45152</v>
      </c>
      <c r="E40" s="1">
        <v>45882</v>
      </c>
      <c r="F40">
        <v>3146</v>
      </c>
      <c r="G40">
        <v>16435</v>
      </c>
      <c r="H40">
        <v>3</v>
      </c>
      <c r="I40">
        <f t="shared" si="1"/>
        <v>4554</v>
      </c>
      <c r="J40">
        <f t="shared" si="0"/>
        <v>4690.62</v>
      </c>
      <c r="K40" s="5">
        <f>IF(Table1[[#This Row],[Expected_Rent]]&lt;&gt;"", F40/Table1[[#This Row],[Expected_Rent]], "")</f>
        <v>0.67070024858121102</v>
      </c>
      <c r="L40" t="s">
        <v>16</v>
      </c>
      <c r="M40">
        <f ca="1">IF(Table1[[#This Row],[Renewal_Status]]="Expired",TODAY()-Table1[[#This Row],[Lease_End]],0)</f>
        <v>0</v>
      </c>
      <c r="N40" s="16">
        <f ca="1">Table1[[#This Row],[Lease_End]]-TODAY()</f>
        <v>-185</v>
      </c>
      <c r="O40" t="str">
        <f ca="1">IF(Table1[[#This Row],[Days_to_Expiry]]&lt;0,"Expired",
IF(Table1[[#This Row],[Days_to_Expiry]]&lt;30,"High Risk",
IF(Table1[[#This Row],[Days_to_Expiry]]&lt;=60,"Medium Risk",
"Safe")))</f>
        <v>Expired</v>
      </c>
    </row>
    <row r="41" spans="1:15" x14ac:dyDescent="0.35">
      <c r="A41" t="s">
        <v>583</v>
      </c>
      <c r="B41" t="s">
        <v>584</v>
      </c>
      <c r="C41" t="s">
        <v>585</v>
      </c>
      <c r="D41" s="1">
        <v>44793</v>
      </c>
      <c r="E41" s="1">
        <v>45888</v>
      </c>
      <c r="F41">
        <v>4708</v>
      </c>
      <c r="G41">
        <v>19062</v>
      </c>
      <c r="H41">
        <v>3.78</v>
      </c>
      <c r="I41" t="str">
        <f t="shared" si="1"/>
        <v/>
      </c>
      <c r="J41" t="str">
        <f t="shared" si="0"/>
        <v/>
      </c>
      <c r="K41" s="5" t="str">
        <f>IF(Table1[[#This Row],[Expected_Rent]]&lt;&gt;"", F41/Table1[[#This Row],[Expected_Rent]], "")</f>
        <v/>
      </c>
      <c r="L41" t="s">
        <v>16</v>
      </c>
      <c r="M41">
        <f ca="1">IF(Table1[[#This Row],[Renewal_Status]]="Expired",TODAY()-Table1[[#This Row],[Lease_End]],0)</f>
        <v>0</v>
      </c>
      <c r="N41" s="16">
        <f ca="1">Table1[[#This Row],[Lease_End]]-TODAY()</f>
        <v>-179</v>
      </c>
      <c r="O41" t="str">
        <f ca="1">IF(Table1[[#This Row],[Days_to_Expiry]]&lt;0,"Expired",
IF(Table1[[#This Row],[Days_to_Expiry]]&lt;30,"High Risk",
IF(Table1[[#This Row],[Days_to_Expiry]]&lt;=60,"Medium Risk",
"Safe")))</f>
        <v>Expired</v>
      </c>
    </row>
    <row r="42" spans="1:15" x14ac:dyDescent="0.35">
      <c r="A42" t="s">
        <v>416</v>
      </c>
      <c r="B42" t="s">
        <v>417</v>
      </c>
      <c r="C42" t="s">
        <v>418</v>
      </c>
      <c r="D42" s="1">
        <v>44645</v>
      </c>
      <c r="E42" s="1">
        <v>45740</v>
      </c>
      <c r="F42">
        <v>5151</v>
      </c>
      <c r="G42">
        <v>16554</v>
      </c>
      <c r="H42">
        <v>7.45</v>
      </c>
      <c r="I42" t="str">
        <f t="shared" si="1"/>
        <v/>
      </c>
      <c r="J42" t="str">
        <f t="shared" si="0"/>
        <v/>
      </c>
      <c r="K42" s="5" t="str">
        <f>IF(Table1[[#This Row],[Expected_Rent]]&lt;&gt;"", F42/Table1[[#This Row],[Expected_Rent]], "")</f>
        <v/>
      </c>
      <c r="L42" t="s">
        <v>20</v>
      </c>
      <c r="M42">
        <f ca="1">IF(Table1[[#This Row],[Renewal_Status]]="Expired",TODAY()-Table1[[#This Row],[Lease_End]],0)</f>
        <v>327</v>
      </c>
      <c r="N42" s="16">
        <f ca="1">Table1[[#This Row],[Lease_End]]-TODAY()</f>
        <v>-327</v>
      </c>
      <c r="O42" t="str">
        <f ca="1">IF(Table1[[#This Row],[Days_to_Expiry]]&lt;0,"Expired",
IF(Table1[[#This Row],[Days_to_Expiry]]&lt;30,"High Risk",
IF(Table1[[#This Row],[Days_to_Expiry]]&lt;=60,"Medium Risk",
"Safe")))</f>
        <v>Expired</v>
      </c>
    </row>
    <row r="43" spans="1:15" x14ac:dyDescent="0.35">
      <c r="A43" t="s">
        <v>643</v>
      </c>
      <c r="B43" t="s">
        <v>417</v>
      </c>
      <c r="C43" t="s">
        <v>644</v>
      </c>
      <c r="D43" s="1">
        <v>44659</v>
      </c>
      <c r="E43" s="1">
        <v>45024</v>
      </c>
      <c r="F43">
        <v>5994</v>
      </c>
      <c r="G43">
        <v>6394</v>
      </c>
      <c r="H43">
        <v>6.21</v>
      </c>
      <c r="I43">
        <f t="shared" si="1"/>
        <v>5151</v>
      </c>
      <c r="J43">
        <f t="shared" si="0"/>
        <v>5470.8771000000006</v>
      </c>
      <c r="K43" s="5">
        <f>IF(Table1[[#This Row],[Expected_Rent]]&lt;&gt;"", F43/Table1[[#This Row],[Expected_Rent]], "")</f>
        <v>1.0956195671074387</v>
      </c>
      <c r="L43" t="s">
        <v>16</v>
      </c>
      <c r="M43">
        <f ca="1">IF(Table1[[#This Row],[Renewal_Status]]="Expired",TODAY()-Table1[[#This Row],[Lease_End]],0)</f>
        <v>0</v>
      </c>
      <c r="N43" s="16">
        <f ca="1">Table1[[#This Row],[Lease_End]]-TODAY()</f>
        <v>-1043</v>
      </c>
      <c r="O43" t="str">
        <f ca="1">IF(Table1[[#This Row],[Days_to_Expiry]]&lt;0,"Expired",
IF(Table1[[#This Row],[Days_to_Expiry]]&lt;30,"High Risk",
IF(Table1[[#This Row],[Days_to_Expiry]]&lt;=60,"Medium Risk",
"Safe")))</f>
        <v>Expired</v>
      </c>
    </row>
    <row r="44" spans="1:15" x14ac:dyDescent="0.35">
      <c r="A44" t="s">
        <v>641</v>
      </c>
      <c r="B44" t="s">
        <v>417</v>
      </c>
      <c r="C44" t="s">
        <v>642</v>
      </c>
      <c r="D44" s="1">
        <v>44752</v>
      </c>
      <c r="E44" s="1">
        <v>45482</v>
      </c>
      <c r="F44">
        <v>6452</v>
      </c>
      <c r="G44">
        <v>16345</v>
      </c>
      <c r="H44">
        <v>3.47</v>
      </c>
      <c r="I44">
        <f t="shared" si="1"/>
        <v>5994</v>
      </c>
      <c r="J44">
        <f t="shared" si="0"/>
        <v>6201.9917999999998</v>
      </c>
      <c r="K44" s="5">
        <f>IF(Table1[[#This Row],[Expected_Rent]]&lt;&gt;"", F44/Table1[[#This Row],[Expected_Rent]], "")</f>
        <v>1.0403109530070647</v>
      </c>
      <c r="L44" t="s">
        <v>12</v>
      </c>
      <c r="M44">
        <f ca="1">IF(Table1[[#This Row],[Renewal_Status]]="Expired",TODAY()-Table1[[#This Row],[Lease_End]],0)</f>
        <v>0</v>
      </c>
      <c r="N44" s="16">
        <f ca="1">Table1[[#This Row],[Lease_End]]-TODAY()</f>
        <v>-585</v>
      </c>
      <c r="O44" t="str">
        <f ca="1">IF(Table1[[#This Row],[Days_to_Expiry]]&lt;0,"Expired",
IF(Table1[[#This Row],[Days_to_Expiry]]&lt;30,"High Risk",
IF(Table1[[#This Row],[Days_to_Expiry]]&lt;=60,"Medium Risk",
"Safe")))</f>
        <v>Expired</v>
      </c>
    </row>
    <row r="45" spans="1:15" x14ac:dyDescent="0.35">
      <c r="A45" t="s">
        <v>572</v>
      </c>
      <c r="B45" t="s">
        <v>417</v>
      </c>
      <c r="C45" t="s">
        <v>573</v>
      </c>
      <c r="D45" s="1">
        <v>45088</v>
      </c>
      <c r="E45" s="1">
        <v>45453</v>
      </c>
      <c r="F45">
        <v>4446</v>
      </c>
      <c r="G45">
        <v>9329</v>
      </c>
      <c r="H45">
        <v>3.54</v>
      </c>
      <c r="I45">
        <f t="shared" si="1"/>
        <v>6452</v>
      </c>
      <c r="J45">
        <f t="shared" si="0"/>
        <v>6680.4008000000003</v>
      </c>
      <c r="K45" s="5">
        <f>IF(Table1[[#This Row],[Expected_Rent]]&lt;&gt;"", F45/Table1[[#This Row],[Expected_Rent]], "")</f>
        <v>0.6655289305396167</v>
      </c>
      <c r="L45" t="s">
        <v>12</v>
      </c>
      <c r="M45">
        <f ca="1">IF(Table1[[#This Row],[Renewal_Status]]="Expired",TODAY()-Table1[[#This Row],[Lease_End]],0)</f>
        <v>0</v>
      </c>
      <c r="N45" s="16">
        <f ca="1">Table1[[#This Row],[Lease_End]]-TODAY()</f>
        <v>-614</v>
      </c>
      <c r="O45" t="str">
        <f ca="1">IF(Table1[[#This Row],[Days_to_Expiry]]&lt;0,"Expired",
IF(Table1[[#This Row],[Days_to_Expiry]]&lt;30,"High Risk",
IF(Table1[[#This Row],[Days_to_Expiry]]&lt;=60,"Medium Risk",
"Safe")))</f>
        <v>Expired</v>
      </c>
    </row>
    <row r="46" spans="1:15" x14ac:dyDescent="0.35">
      <c r="A46" t="s">
        <v>695</v>
      </c>
      <c r="B46" t="s">
        <v>617</v>
      </c>
      <c r="C46" t="s">
        <v>696</v>
      </c>
      <c r="D46" s="1">
        <v>44776</v>
      </c>
      <c r="E46" s="1">
        <v>45141</v>
      </c>
      <c r="F46">
        <v>6950</v>
      </c>
      <c r="G46">
        <v>6721</v>
      </c>
      <c r="H46">
        <v>5.57</v>
      </c>
      <c r="I46" t="str">
        <f t="shared" si="1"/>
        <v/>
      </c>
      <c r="J46" t="str">
        <f t="shared" si="0"/>
        <v/>
      </c>
      <c r="K46" s="5" t="str">
        <f>IF(Table1[[#This Row],[Expected_Rent]]&lt;&gt;"", F46/Table1[[#This Row],[Expected_Rent]], "")</f>
        <v/>
      </c>
      <c r="L46" t="s">
        <v>16</v>
      </c>
      <c r="M46">
        <f ca="1">IF(Table1[[#This Row],[Renewal_Status]]="Expired",TODAY()-Table1[[#This Row],[Lease_End]],0)</f>
        <v>0</v>
      </c>
      <c r="N46" s="16">
        <f ca="1">Table1[[#This Row],[Lease_End]]-TODAY()</f>
        <v>-926</v>
      </c>
      <c r="O46" t="str">
        <f ca="1">IF(Table1[[#This Row],[Days_to_Expiry]]&lt;0,"Expired",
IF(Table1[[#This Row],[Days_to_Expiry]]&lt;30,"High Risk",
IF(Table1[[#This Row],[Days_to_Expiry]]&lt;=60,"Medium Risk",
"Safe")))</f>
        <v>Expired</v>
      </c>
    </row>
    <row r="47" spans="1:15" x14ac:dyDescent="0.35">
      <c r="A47" t="s">
        <v>616</v>
      </c>
      <c r="B47" t="s">
        <v>617</v>
      </c>
      <c r="C47" t="s">
        <v>618</v>
      </c>
      <c r="D47" s="1">
        <v>45047</v>
      </c>
      <c r="E47" s="1">
        <v>45777</v>
      </c>
      <c r="F47">
        <v>6307</v>
      </c>
      <c r="G47">
        <v>10006</v>
      </c>
      <c r="H47">
        <v>5.59</v>
      </c>
      <c r="I47">
        <f t="shared" si="1"/>
        <v>6950</v>
      </c>
      <c r="J47">
        <f t="shared" si="0"/>
        <v>7338.5050000000001</v>
      </c>
      <c r="K47" s="5">
        <f>IF(Table1[[#This Row],[Expected_Rent]]&lt;&gt;"", F47/Table1[[#This Row],[Expected_Rent]], "")</f>
        <v>0.85943935447342479</v>
      </c>
      <c r="L47" t="s">
        <v>20</v>
      </c>
      <c r="M47">
        <f ca="1">IF(Table1[[#This Row],[Renewal_Status]]="Expired",TODAY()-Table1[[#This Row],[Lease_End]],0)</f>
        <v>290</v>
      </c>
      <c r="N47" s="16">
        <f ca="1">Table1[[#This Row],[Lease_End]]-TODAY()</f>
        <v>-290</v>
      </c>
      <c r="O47" t="str">
        <f ca="1">IF(Table1[[#This Row],[Days_to_Expiry]]&lt;0,"Expired",
IF(Table1[[#This Row],[Days_to_Expiry]]&lt;30,"High Risk",
IF(Table1[[#This Row],[Days_to_Expiry]]&lt;=60,"Medium Risk",
"Safe")))</f>
        <v>Expired</v>
      </c>
    </row>
    <row r="48" spans="1:15" x14ac:dyDescent="0.35">
      <c r="A48" t="s">
        <v>672</v>
      </c>
      <c r="B48" t="s">
        <v>673</v>
      </c>
      <c r="C48" t="s">
        <v>674</v>
      </c>
      <c r="D48" s="1">
        <v>45049</v>
      </c>
      <c r="E48" s="1">
        <v>45414</v>
      </c>
      <c r="F48">
        <v>6024</v>
      </c>
      <c r="G48">
        <v>7908</v>
      </c>
      <c r="H48">
        <v>5.42</v>
      </c>
      <c r="I48" t="str">
        <f t="shared" si="1"/>
        <v/>
      </c>
      <c r="J48" t="str">
        <f t="shared" si="0"/>
        <v/>
      </c>
      <c r="K48" s="5" t="str">
        <f>IF(Table1[[#This Row],[Expected_Rent]]&lt;&gt;"", F48/Table1[[#This Row],[Expected_Rent]], "")</f>
        <v/>
      </c>
      <c r="L48" t="s">
        <v>12</v>
      </c>
      <c r="M48">
        <f ca="1">IF(Table1[[#This Row],[Renewal_Status]]="Expired",TODAY()-Table1[[#This Row],[Lease_End]],0)</f>
        <v>0</v>
      </c>
      <c r="N48" s="16">
        <f ca="1">Table1[[#This Row],[Lease_End]]-TODAY()</f>
        <v>-653</v>
      </c>
      <c r="O48" t="str">
        <f ca="1">IF(Table1[[#This Row],[Days_to_Expiry]]&lt;0,"Expired",
IF(Table1[[#This Row],[Days_to_Expiry]]&lt;30,"High Risk",
IF(Table1[[#This Row],[Days_to_Expiry]]&lt;=60,"Medium Risk",
"Safe")))</f>
        <v>Expired</v>
      </c>
    </row>
    <row r="49" spans="1:15" x14ac:dyDescent="0.35">
      <c r="A49" t="s">
        <v>515</v>
      </c>
      <c r="B49" t="s">
        <v>516</v>
      </c>
      <c r="C49" t="s">
        <v>517</v>
      </c>
      <c r="D49" s="1">
        <v>44949</v>
      </c>
      <c r="E49" s="1">
        <v>45314</v>
      </c>
      <c r="F49">
        <v>6752</v>
      </c>
      <c r="G49">
        <v>17922</v>
      </c>
      <c r="H49">
        <v>5</v>
      </c>
      <c r="I49" t="str">
        <f t="shared" si="1"/>
        <v/>
      </c>
      <c r="J49" t="str">
        <f t="shared" si="0"/>
        <v/>
      </c>
      <c r="K49" s="5" t="str">
        <f>IF(Table1[[#This Row],[Expected_Rent]]&lt;&gt;"", F49/Table1[[#This Row],[Expected_Rent]], "")</f>
        <v/>
      </c>
      <c r="L49" t="s">
        <v>20</v>
      </c>
      <c r="M49">
        <f ca="1">IF(Table1[[#This Row],[Renewal_Status]]="Expired",TODAY()-Table1[[#This Row],[Lease_End]],0)</f>
        <v>753</v>
      </c>
      <c r="N49" s="16">
        <f ca="1">Table1[[#This Row],[Lease_End]]-TODAY()</f>
        <v>-753</v>
      </c>
      <c r="O49" t="str">
        <f ca="1">IF(Table1[[#This Row],[Days_to_Expiry]]&lt;0,"Expired",
IF(Table1[[#This Row],[Days_to_Expiry]]&lt;30,"High Risk",
IF(Table1[[#This Row],[Days_to_Expiry]]&lt;=60,"Medium Risk",
"Safe")))</f>
        <v>Expired</v>
      </c>
    </row>
    <row r="50" spans="1:15" x14ac:dyDescent="0.35">
      <c r="A50" t="s">
        <v>518</v>
      </c>
      <c r="B50" t="s">
        <v>359</v>
      </c>
      <c r="C50" t="s">
        <v>519</v>
      </c>
      <c r="D50" s="1">
        <v>44846</v>
      </c>
      <c r="E50" s="1">
        <v>45576</v>
      </c>
      <c r="F50">
        <v>2924</v>
      </c>
      <c r="G50">
        <v>9083</v>
      </c>
      <c r="H50">
        <v>3.48</v>
      </c>
      <c r="I50" t="str">
        <f t="shared" si="1"/>
        <v/>
      </c>
      <c r="J50" t="str">
        <f t="shared" si="0"/>
        <v/>
      </c>
      <c r="K50" s="5" t="str">
        <f>IF(Table1[[#This Row],[Expected_Rent]]&lt;&gt;"", F50/Table1[[#This Row],[Expected_Rent]], "")</f>
        <v/>
      </c>
      <c r="L50" t="s">
        <v>12</v>
      </c>
      <c r="M50">
        <f ca="1">IF(Table1[[#This Row],[Renewal_Status]]="Expired",TODAY()-Table1[[#This Row],[Lease_End]],0)</f>
        <v>0</v>
      </c>
      <c r="N50" s="16">
        <f ca="1">Table1[[#This Row],[Lease_End]]-TODAY()</f>
        <v>-491</v>
      </c>
      <c r="O50" t="str">
        <f ca="1">IF(Table1[[#This Row],[Days_to_Expiry]]&lt;0,"Expired",
IF(Table1[[#This Row],[Days_to_Expiry]]&lt;30,"High Risk",
IF(Table1[[#This Row],[Days_to_Expiry]]&lt;=60,"Medium Risk",
"Safe")))</f>
        <v>Expired</v>
      </c>
    </row>
    <row r="51" spans="1:15" x14ac:dyDescent="0.35">
      <c r="A51" t="s">
        <v>685</v>
      </c>
      <c r="B51" t="s">
        <v>359</v>
      </c>
      <c r="C51" t="s">
        <v>686</v>
      </c>
      <c r="D51" s="1">
        <v>44908</v>
      </c>
      <c r="E51" s="1">
        <v>45638</v>
      </c>
      <c r="F51">
        <v>2509</v>
      </c>
      <c r="G51">
        <v>13562</v>
      </c>
      <c r="H51">
        <v>7.66</v>
      </c>
      <c r="I51">
        <f t="shared" si="1"/>
        <v>2924</v>
      </c>
      <c r="J51">
        <f t="shared" si="0"/>
        <v>3147.9784</v>
      </c>
      <c r="K51" s="5">
        <f>IF(Table1[[#This Row],[Expected_Rent]]&lt;&gt;"", F51/Table1[[#This Row],[Expected_Rent]], "")</f>
        <v>0.79701944587675699</v>
      </c>
      <c r="L51" t="s">
        <v>16</v>
      </c>
      <c r="M51">
        <f ca="1">IF(Table1[[#This Row],[Renewal_Status]]="Expired",TODAY()-Table1[[#This Row],[Lease_End]],0)</f>
        <v>0</v>
      </c>
      <c r="N51" s="16">
        <f ca="1">Table1[[#This Row],[Lease_End]]-TODAY()</f>
        <v>-429</v>
      </c>
      <c r="O51" t="str">
        <f ca="1">IF(Table1[[#This Row],[Days_to_Expiry]]&lt;0,"Expired",
IF(Table1[[#This Row],[Days_to_Expiry]]&lt;30,"High Risk",
IF(Table1[[#This Row],[Days_to_Expiry]]&lt;=60,"Medium Risk",
"Safe")))</f>
        <v>Expired</v>
      </c>
    </row>
    <row r="52" spans="1:15" x14ac:dyDescent="0.35">
      <c r="A52" t="s">
        <v>358</v>
      </c>
      <c r="B52" t="s">
        <v>359</v>
      </c>
      <c r="C52" t="s">
        <v>360</v>
      </c>
      <c r="D52" s="1">
        <v>45022</v>
      </c>
      <c r="E52" s="1">
        <v>45752</v>
      </c>
      <c r="F52">
        <v>6224</v>
      </c>
      <c r="G52">
        <v>13218</v>
      </c>
      <c r="H52">
        <v>5.24</v>
      </c>
      <c r="I52">
        <f t="shared" si="1"/>
        <v>2509</v>
      </c>
      <c r="J52">
        <f t="shared" si="0"/>
        <v>2640.4715999999999</v>
      </c>
      <c r="K52" s="5">
        <f>IF(Table1[[#This Row],[Expected_Rent]]&lt;&gt;"", F52/Table1[[#This Row],[Expected_Rent]], "")</f>
        <v>2.3571546840344735</v>
      </c>
      <c r="L52" t="s">
        <v>20</v>
      </c>
      <c r="M52">
        <f ca="1">IF(Table1[[#This Row],[Renewal_Status]]="Expired",TODAY()-Table1[[#This Row],[Lease_End]],0)</f>
        <v>315</v>
      </c>
      <c r="N52" s="16">
        <f ca="1">Table1[[#This Row],[Lease_End]]-TODAY()</f>
        <v>-315</v>
      </c>
      <c r="O52" t="str">
        <f ca="1">IF(Table1[[#This Row],[Days_to_Expiry]]&lt;0,"Expired",
IF(Table1[[#This Row],[Days_to_Expiry]]&lt;30,"High Risk",
IF(Table1[[#This Row],[Days_to_Expiry]]&lt;=60,"Medium Risk",
"Safe")))</f>
        <v>Expired</v>
      </c>
    </row>
    <row r="53" spans="1:15" x14ac:dyDescent="0.35">
      <c r="A53" t="s">
        <v>434</v>
      </c>
      <c r="B53" t="s">
        <v>359</v>
      </c>
      <c r="C53" t="s">
        <v>435</v>
      </c>
      <c r="D53" s="1">
        <v>45033</v>
      </c>
      <c r="E53" s="1">
        <v>46128</v>
      </c>
      <c r="F53">
        <v>2942</v>
      </c>
      <c r="G53">
        <v>11343</v>
      </c>
      <c r="H53">
        <v>5.42</v>
      </c>
      <c r="I53">
        <f t="shared" si="1"/>
        <v>6224</v>
      </c>
      <c r="J53">
        <f t="shared" si="0"/>
        <v>6561.3407999999999</v>
      </c>
      <c r="K53" s="5">
        <f>IF(Table1[[#This Row],[Expected_Rent]]&lt;&gt;"", F53/Table1[[#This Row],[Expected_Rent]], "")</f>
        <v>0.44838396444824202</v>
      </c>
      <c r="L53" t="s">
        <v>12</v>
      </c>
      <c r="M53">
        <f ca="1">IF(Table1[[#This Row],[Renewal_Status]]="Expired",TODAY()-Table1[[#This Row],[Lease_End]],0)</f>
        <v>0</v>
      </c>
      <c r="N53" s="16">
        <f ca="1">Table1[[#This Row],[Lease_End]]-TODAY()</f>
        <v>61</v>
      </c>
      <c r="O53" t="str">
        <f ca="1">IF(Table1[[#This Row],[Days_to_Expiry]]&lt;0,"Expired",
IF(Table1[[#This Row],[Days_to_Expiry]]&lt;30,"High Risk",
IF(Table1[[#This Row],[Days_to_Expiry]]&lt;=60,"Medium Risk",
"Safe")))</f>
        <v>Safe</v>
      </c>
    </row>
    <row r="54" spans="1:15" x14ac:dyDescent="0.35">
      <c r="A54" t="s">
        <v>588</v>
      </c>
      <c r="B54" t="s">
        <v>432</v>
      </c>
      <c r="C54" t="s">
        <v>589</v>
      </c>
      <c r="D54" s="1">
        <v>44606</v>
      </c>
      <c r="E54" s="1">
        <v>45701</v>
      </c>
      <c r="F54">
        <v>5221</v>
      </c>
      <c r="G54">
        <v>12063</v>
      </c>
      <c r="H54">
        <v>4.51</v>
      </c>
      <c r="I54" t="str">
        <f t="shared" si="1"/>
        <v/>
      </c>
      <c r="J54" t="str">
        <f t="shared" si="0"/>
        <v/>
      </c>
      <c r="K54" s="5" t="str">
        <f>IF(Table1[[#This Row],[Expected_Rent]]&lt;&gt;"", F54/Table1[[#This Row],[Expected_Rent]], "")</f>
        <v/>
      </c>
      <c r="L54" t="s">
        <v>12</v>
      </c>
      <c r="M54">
        <f ca="1">IF(Table1[[#This Row],[Renewal_Status]]="Expired",TODAY()-Table1[[#This Row],[Lease_End]],0)</f>
        <v>0</v>
      </c>
      <c r="N54" s="16">
        <f ca="1">Table1[[#This Row],[Lease_End]]-TODAY()</f>
        <v>-366</v>
      </c>
      <c r="O54" t="str">
        <f ca="1">IF(Table1[[#This Row],[Days_to_Expiry]]&lt;0,"Expired",
IF(Table1[[#This Row],[Days_to_Expiry]]&lt;30,"High Risk",
IF(Table1[[#This Row],[Days_to_Expiry]]&lt;=60,"Medium Risk",
"Safe")))</f>
        <v>Expired</v>
      </c>
    </row>
    <row r="55" spans="1:15" x14ac:dyDescent="0.35">
      <c r="A55" t="s">
        <v>479</v>
      </c>
      <c r="B55" t="s">
        <v>432</v>
      </c>
      <c r="C55" t="s">
        <v>480</v>
      </c>
      <c r="D55" s="1">
        <v>44688</v>
      </c>
      <c r="E55" s="1">
        <v>45053</v>
      </c>
      <c r="F55">
        <v>2096</v>
      </c>
      <c r="G55">
        <v>16034</v>
      </c>
      <c r="H55">
        <v>7.79</v>
      </c>
      <c r="I55">
        <f t="shared" si="1"/>
        <v>5221</v>
      </c>
      <c r="J55">
        <f t="shared" si="0"/>
        <v>5627.7159000000001</v>
      </c>
      <c r="K55" s="5">
        <f>IF(Table1[[#This Row],[Expected_Rent]]&lt;&gt;"", F55/Table1[[#This Row],[Expected_Rent]], "")</f>
        <v>0.37244239710110455</v>
      </c>
      <c r="L55" t="s">
        <v>16</v>
      </c>
      <c r="M55">
        <f ca="1">IF(Table1[[#This Row],[Renewal_Status]]="Expired",TODAY()-Table1[[#This Row],[Lease_End]],0)</f>
        <v>0</v>
      </c>
      <c r="N55" s="16">
        <f ca="1">Table1[[#This Row],[Lease_End]]-TODAY()</f>
        <v>-1014</v>
      </c>
      <c r="O55" t="str">
        <f ca="1">IF(Table1[[#This Row],[Days_to_Expiry]]&lt;0,"Expired",
IF(Table1[[#This Row],[Days_to_Expiry]]&lt;30,"High Risk",
IF(Table1[[#This Row],[Days_to_Expiry]]&lt;=60,"Medium Risk",
"Safe")))</f>
        <v>Expired</v>
      </c>
    </row>
    <row r="56" spans="1:15" x14ac:dyDescent="0.35">
      <c r="A56" t="s">
        <v>736</v>
      </c>
      <c r="B56" t="s">
        <v>432</v>
      </c>
      <c r="C56" t="s">
        <v>737</v>
      </c>
      <c r="D56" s="1">
        <v>44871</v>
      </c>
      <c r="E56" s="1">
        <v>45966</v>
      </c>
      <c r="F56">
        <v>3941</v>
      </c>
      <c r="G56">
        <v>15144</v>
      </c>
      <c r="H56">
        <v>3.57</v>
      </c>
      <c r="I56">
        <f t="shared" si="1"/>
        <v>2096</v>
      </c>
      <c r="J56">
        <f t="shared" si="0"/>
        <v>2170.8272000000002</v>
      </c>
      <c r="K56" s="5">
        <f>IF(Table1[[#This Row],[Expected_Rent]]&lt;&gt;"", F56/Table1[[#This Row],[Expected_Rent]], "")</f>
        <v>1.8154369910235137</v>
      </c>
      <c r="L56" t="s">
        <v>20</v>
      </c>
      <c r="M56">
        <f ca="1">IF(Table1[[#This Row],[Renewal_Status]]="Expired",TODAY()-Table1[[#This Row],[Lease_End]],0)</f>
        <v>101</v>
      </c>
      <c r="N56" s="16">
        <f ca="1">Table1[[#This Row],[Lease_End]]-TODAY()</f>
        <v>-101</v>
      </c>
      <c r="O56" t="str">
        <f ca="1">IF(Table1[[#This Row],[Days_to_Expiry]]&lt;0,"Expired",
IF(Table1[[#This Row],[Days_to_Expiry]]&lt;30,"High Risk",
IF(Table1[[#This Row],[Days_to_Expiry]]&lt;=60,"Medium Risk",
"Safe")))</f>
        <v>Expired</v>
      </c>
    </row>
    <row r="57" spans="1:15" x14ac:dyDescent="0.35">
      <c r="A57" t="s">
        <v>431</v>
      </c>
      <c r="B57" t="s">
        <v>432</v>
      </c>
      <c r="C57" t="s">
        <v>433</v>
      </c>
      <c r="D57" s="1">
        <v>44935</v>
      </c>
      <c r="E57" s="1">
        <v>45665</v>
      </c>
      <c r="F57">
        <v>2958</v>
      </c>
      <c r="G57">
        <v>16120</v>
      </c>
      <c r="H57">
        <v>7.12</v>
      </c>
      <c r="I57">
        <f t="shared" si="1"/>
        <v>3941</v>
      </c>
      <c r="J57">
        <f t="shared" si="0"/>
        <v>4221.5991999999997</v>
      </c>
      <c r="K57" s="5">
        <f>IF(Table1[[#This Row],[Expected_Rent]]&lt;&gt;"", F57/Table1[[#This Row],[Expected_Rent]], "")</f>
        <v>0.70068233857918116</v>
      </c>
      <c r="L57" t="s">
        <v>16</v>
      </c>
      <c r="M57">
        <f ca="1">IF(Table1[[#This Row],[Renewal_Status]]="Expired",TODAY()-Table1[[#This Row],[Lease_End]],0)</f>
        <v>0</v>
      </c>
      <c r="N57" s="16">
        <f ca="1">Table1[[#This Row],[Lease_End]]-TODAY()</f>
        <v>-402</v>
      </c>
      <c r="O57" t="str">
        <f ca="1">IF(Table1[[#This Row],[Days_to_Expiry]]&lt;0,"Expired",
IF(Table1[[#This Row],[Days_to_Expiry]]&lt;30,"High Risk",
IF(Table1[[#This Row],[Days_to_Expiry]]&lt;=60,"Medium Risk",
"Safe")))</f>
        <v>Expired</v>
      </c>
    </row>
    <row r="58" spans="1:15" x14ac:dyDescent="0.35">
      <c r="A58" t="s">
        <v>79</v>
      </c>
      <c r="B58" t="s">
        <v>48</v>
      </c>
      <c r="C58" t="s">
        <v>80</v>
      </c>
      <c r="D58" s="1">
        <v>44872</v>
      </c>
      <c r="E58" s="1">
        <v>45602</v>
      </c>
      <c r="F58">
        <v>6522</v>
      </c>
      <c r="G58">
        <v>14553</v>
      </c>
      <c r="H58">
        <v>7.37</v>
      </c>
      <c r="I58" t="str">
        <f t="shared" si="1"/>
        <v/>
      </c>
      <c r="J58" t="str">
        <f t="shared" si="0"/>
        <v/>
      </c>
      <c r="K58" s="5" t="str">
        <f>IF(Table1[[#This Row],[Expected_Rent]]&lt;&gt;"", F58/Table1[[#This Row],[Expected_Rent]], "")</f>
        <v/>
      </c>
      <c r="L58" t="s">
        <v>16</v>
      </c>
      <c r="M58">
        <f ca="1">IF(Table1[[#This Row],[Renewal_Status]]="Expired",TODAY()-Table1[[#This Row],[Lease_End]],0)</f>
        <v>0</v>
      </c>
      <c r="N58" s="16">
        <f ca="1">Table1[[#This Row],[Lease_End]]-TODAY()</f>
        <v>-465</v>
      </c>
      <c r="O58" t="str">
        <f ca="1">IF(Table1[[#This Row],[Days_to_Expiry]]&lt;0,"Expired",
IF(Table1[[#This Row],[Days_to_Expiry]]&lt;30,"High Risk",
IF(Table1[[#This Row],[Days_to_Expiry]]&lt;=60,"Medium Risk",
"Safe")))</f>
        <v>Expired</v>
      </c>
    </row>
    <row r="59" spans="1:15" x14ac:dyDescent="0.35">
      <c r="A59" t="s">
        <v>47</v>
      </c>
      <c r="B59" t="s">
        <v>48</v>
      </c>
      <c r="C59" t="s">
        <v>49</v>
      </c>
      <c r="D59" s="1">
        <v>44894</v>
      </c>
      <c r="E59" s="1">
        <v>45259</v>
      </c>
      <c r="F59">
        <v>3658</v>
      </c>
      <c r="G59">
        <v>11641</v>
      </c>
      <c r="H59">
        <v>3.02</v>
      </c>
      <c r="I59">
        <f t="shared" si="1"/>
        <v>6522</v>
      </c>
      <c r="J59">
        <f t="shared" si="0"/>
        <v>6718.9643999999998</v>
      </c>
      <c r="K59" s="5">
        <f>IF(Table1[[#This Row],[Expected_Rent]]&lt;&gt;"", F59/Table1[[#This Row],[Expected_Rent]], "")</f>
        <v>0.54442913851426267</v>
      </c>
      <c r="L59" t="s">
        <v>20</v>
      </c>
      <c r="M59">
        <f ca="1">IF(Table1[[#This Row],[Renewal_Status]]="Expired",TODAY()-Table1[[#This Row],[Lease_End]],0)</f>
        <v>808</v>
      </c>
      <c r="N59" s="16">
        <f ca="1">Table1[[#This Row],[Lease_End]]-TODAY()</f>
        <v>-808</v>
      </c>
      <c r="O59" t="str">
        <f ca="1">IF(Table1[[#This Row],[Days_to_Expiry]]&lt;0,"Expired",
IF(Table1[[#This Row],[Days_to_Expiry]]&lt;30,"High Risk",
IF(Table1[[#This Row],[Days_to_Expiry]]&lt;=60,"Medium Risk",
"Safe")))</f>
        <v>Expired</v>
      </c>
    </row>
    <row r="60" spans="1:15" x14ac:dyDescent="0.35">
      <c r="A60" t="s">
        <v>324</v>
      </c>
      <c r="B60" t="s">
        <v>300</v>
      </c>
      <c r="C60" t="s">
        <v>325</v>
      </c>
      <c r="D60" s="1">
        <v>45167</v>
      </c>
      <c r="E60" s="1">
        <v>45897</v>
      </c>
      <c r="F60">
        <v>2629</v>
      </c>
      <c r="G60">
        <v>7953</v>
      </c>
      <c r="H60">
        <v>7.56</v>
      </c>
      <c r="I60" t="str">
        <f t="shared" si="1"/>
        <v/>
      </c>
      <c r="J60" t="str">
        <f t="shared" si="0"/>
        <v/>
      </c>
      <c r="K60" s="5" t="str">
        <f>IF(Table1[[#This Row],[Expected_Rent]]&lt;&gt;"", F60/Table1[[#This Row],[Expected_Rent]], "")</f>
        <v/>
      </c>
      <c r="L60" t="s">
        <v>20</v>
      </c>
      <c r="M60">
        <f ca="1">IF(Table1[[#This Row],[Renewal_Status]]="Expired",TODAY()-Table1[[#This Row],[Lease_End]],0)</f>
        <v>170</v>
      </c>
      <c r="N60" s="16">
        <f ca="1">Table1[[#This Row],[Lease_End]]-TODAY()</f>
        <v>-170</v>
      </c>
      <c r="O60" t="str">
        <f ca="1">IF(Table1[[#This Row],[Days_to_Expiry]]&lt;0,"Expired",
IF(Table1[[#This Row],[Days_to_Expiry]]&lt;30,"High Risk",
IF(Table1[[#This Row],[Days_to_Expiry]]&lt;=60,"Medium Risk",
"Safe")))</f>
        <v>Expired</v>
      </c>
    </row>
    <row r="61" spans="1:15" x14ac:dyDescent="0.35">
      <c r="A61" t="s">
        <v>299</v>
      </c>
      <c r="B61" t="s">
        <v>300</v>
      </c>
      <c r="C61" t="s">
        <v>301</v>
      </c>
      <c r="D61" s="1">
        <v>45256</v>
      </c>
      <c r="E61" s="1">
        <v>45621</v>
      </c>
      <c r="F61">
        <v>4847</v>
      </c>
      <c r="G61">
        <v>5226</v>
      </c>
      <c r="H61">
        <v>5.45</v>
      </c>
      <c r="I61">
        <f t="shared" si="1"/>
        <v>2629</v>
      </c>
      <c r="J61">
        <f t="shared" si="0"/>
        <v>2772.2804999999998</v>
      </c>
      <c r="K61" s="5">
        <f>IF(Table1[[#This Row],[Expected_Rent]]&lt;&gt;"", F61/Table1[[#This Row],[Expected_Rent]], "")</f>
        <v>1.7483800791442281</v>
      </c>
      <c r="L61" t="s">
        <v>16</v>
      </c>
      <c r="M61">
        <f ca="1">IF(Table1[[#This Row],[Renewal_Status]]="Expired",TODAY()-Table1[[#This Row],[Lease_End]],0)</f>
        <v>0</v>
      </c>
      <c r="N61" s="16">
        <f ca="1">Table1[[#This Row],[Lease_End]]-TODAY()</f>
        <v>-446</v>
      </c>
      <c r="O61" t="str">
        <f ca="1">IF(Table1[[#This Row],[Days_to_Expiry]]&lt;0,"Expired",
IF(Table1[[#This Row],[Days_to_Expiry]]&lt;30,"High Risk",
IF(Table1[[#This Row],[Days_to_Expiry]]&lt;=60,"Medium Risk",
"Safe")))</f>
        <v>Expired</v>
      </c>
    </row>
    <row r="62" spans="1:15" x14ac:dyDescent="0.35">
      <c r="A62" t="s">
        <v>232</v>
      </c>
      <c r="B62" t="s">
        <v>233</v>
      </c>
      <c r="C62" t="s">
        <v>234</v>
      </c>
      <c r="D62" s="1">
        <v>44842</v>
      </c>
      <c r="E62" s="1">
        <v>45572</v>
      </c>
      <c r="F62">
        <v>4279</v>
      </c>
      <c r="G62">
        <v>14999</v>
      </c>
      <c r="H62">
        <v>7.38</v>
      </c>
      <c r="I62" t="str">
        <f t="shared" si="1"/>
        <v/>
      </c>
      <c r="J62" t="str">
        <f t="shared" si="0"/>
        <v/>
      </c>
      <c r="K62" s="5" t="str">
        <f>IF(Table1[[#This Row],[Expected_Rent]]&lt;&gt;"", F62/Table1[[#This Row],[Expected_Rent]], "")</f>
        <v/>
      </c>
      <c r="L62" t="s">
        <v>16</v>
      </c>
      <c r="M62">
        <f ca="1">IF(Table1[[#This Row],[Renewal_Status]]="Expired",TODAY()-Table1[[#This Row],[Lease_End]],0)</f>
        <v>0</v>
      </c>
      <c r="N62" s="16">
        <f ca="1">Table1[[#This Row],[Lease_End]]-TODAY()</f>
        <v>-495</v>
      </c>
      <c r="O62" t="str">
        <f ca="1">IF(Table1[[#This Row],[Days_to_Expiry]]&lt;0,"Expired",
IF(Table1[[#This Row],[Days_to_Expiry]]&lt;30,"High Risk",
IF(Table1[[#This Row],[Days_to_Expiry]]&lt;=60,"Medium Risk",
"Safe")))</f>
        <v>Expired</v>
      </c>
    </row>
    <row r="63" spans="1:15" x14ac:dyDescent="0.35">
      <c r="A63" t="s">
        <v>387</v>
      </c>
      <c r="B63" t="s">
        <v>40</v>
      </c>
      <c r="C63" t="s">
        <v>388</v>
      </c>
      <c r="D63" s="1">
        <v>44993</v>
      </c>
      <c r="E63" s="1">
        <v>46088</v>
      </c>
      <c r="F63">
        <v>4011</v>
      </c>
      <c r="G63">
        <v>10131</v>
      </c>
      <c r="H63">
        <v>4.16</v>
      </c>
      <c r="I63" t="str">
        <f t="shared" si="1"/>
        <v/>
      </c>
      <c r="J63" t="str">
        <f t="shared" si="0"/>
        <v/>
      </c>
      <c r="K63" s="5" t="str">
        <f>IF(Table1[[#This Row],[Expected_Rent]]&lt;&gt;"", F63/Table1[[#This Row],[Expected_Rent]], "")</f>
        <v/>
      </c>
      <c r="L63" t="s">
        <v>20</v>
      </c>
      <c r="M63">
        <f ca="1">IF(Table1[[#This Row],[Renewal_Status]]="Expired",TODAY()-Table1[[#This Row],[Lease_End]],0)</f>
        <v>-21</v>
      </c>
      <c r="N63" s="16">
        <f ca="1">Table1[[#This Row],[Lease_End]]-TODAY()</f>
        <v>21</v>
      </c>
      <c r="O63" t="str">
        <f ca="1">IF(Table1[[#This Row],[Days_to_Expiry]]&lt;0,"Expired",
IF(Table1[[#This Row],[Days_to_Expiry]]&lt;30,"High Risk",
IF(Table1[[#This Row],[Days_to_Expiry]]&lt;=60,"Medium Risk",
"Safe")))</f>
        <v>High Risk</v>
      </c>
    </row>
    <row r="64" spans="1:15" x14ac:dyDescent="0.35">
      <c r="A64" t="s">
        <v>39</v>
      </c>
      <c r="B64" t="s">
        <v>40</v>
      </c>
      <c r="C64" t="s">
        <v>41</v>
      </c>
      <c r="D64" s="1">
        <v>45105</v>
      </c>
      <c r="E64" s="1">
        <v>45470</v>
      </c>
      <c r="F64">
        <v>3060</v>
      </c>
      <c r="G64">
        <v>10047</v>
      </c>
      <c r="H64">
        <v>7.6</v>
      </c>
      <c r="I64">
        <f t="shared" si="1"/>
        <v>4011</v>
      </c>
      <c r="J64">
        <f t="shared" si="0"/>
        <v>4315.8360000000002</v>
      </c>
      <c r="K64" s="5">
        <f>IF(Table1[[#This Row],[Expected_Rent]]&lt;&gt;"", F64/Table1[[#This Row],[Expected_Rent]], "")</f>
        <v>0.70901674669751114</v>
      </c>
      <c r="L64" t="s">
        <v>16</v>
      </c>
      <c r="M64">
        <f ca="1">IF(Table1[[#This Row],[Renewal_Status]]="Expired",TODAY()-Table1[[#This Row],[Lease_End]],0)</f>
        <v>0</v>
      </c>
      <c r="N64" s="16">
        <f ca="1">Table1[[#This Row],[Lease_End]]-TODAY()</f>
        <v>-597</v>
      </c>
      <c r="O64" t="str">
        <f ca="1">IF(Table1[[#This Row],[Days_to_Expiry]]&lt;0,"Expired",
IF(Table1[[#This Row],[Days_to_Expiry]]&lt;30,"High Risk",
IF(Table1[[#This Row],[Days_to_Expiry]]&lt;=60,"Medium Risk",
"Safe")))</f>
        <v>Expired</v>
      </c>
    </row>
    <row r="65" spans="1:15" x14ac:dyDescent="0.35">
      <c r="A65" t="s">
        <v>414</v>
      </c>
      <c r="B65" t="s">
        <v>198</v>
      </c>
      <c r="C65" t="s">
        <v>415</v>
      </c>
      <c r="D65" s="1">
        <v>44604</v>
      </c>
      <c r="E65" s="1">
        <v>44969</v>
      </c>
      <c r="F65">
        <v>6252</v>
      </c>
      <c r="G65">
        <v>11566</v>
      </c>
      <c r="H65">
        <v>4.4000000000000004</v>
      </c>
      <c r="I65" t="str">
        <f t="shared" si="1"/>
        <v/>
      </c>
      <c r="J65" t="str">
        <f t="shared" si="0"/>
        <v/>
      </c>
      <c r="K65" s="5" t="str">
        <f>IF(Table1[[#This Row],[Expected_Rent]]&lt;&gt;"", F65/Table1[[#This Row],[Expected_Rent]], "")</f>
        <v/>
      </c>
      <c r="L65" t="s">
        <v>16</v>
      </c>
      <c r="M65">
        <f ca="1">IF(Table1[[#This Row],[Renewal_Status]]="Expired",TODAY()-Table1[[#This Row],[Lease_End]],0)</f>
        <v>0</v>
      </c>
      <c r="N65" s="16">
        <f ca="1">Table1[[#This Row],[Lease_End]]-TODAY()</f>
        <v>-1098</v>
      </c>
      <c r="O65" t="str">
        <f ca="1">IF(Table1[[#This Row],[Days_to_Expiry]]&lt;0,"Expired",
IF(Table1[[#This Row],[Days_to_Expiry]]&lt;30,"High Risk",
IF(Table1[[#This Row],[Days_to_Expiry]]&lt;=60,"Medium Risk",
"Safe")))</f>
        <v>Expired</v>
      </c>
    </row>
    <row r="66" spans="1:15" x14ac:dyDescent="0.35">
      <c r="A66" t="s">
        <v>261</v>
      </c>
      <c r="B66" t="s">
        <v>198</v>
      </c>
      <c r="C66" t="s">
        <v>262</v>
      </c>
      <c r="D66" s="1">
        <v>44959</v>
      </c>
      <c r="E66" s="1">
        <v>45324</v>
      </c>
      <c r="F66">
        <v>2931</v>
      </c>
      <c r="G66">
        <v>18853</v>
      </c>
      <c r="H66">
        <v>4.76</v>
      </c>
      <c r="I66">
        <f t="shared" si="1"/>
        <v>6252</v>
      </c>
      <c r="J66">
        <f t="shared" ref="J66:J129" si="2">IF(I66&lt;&gt;"", I66*(1+H66/100), "")</f>
        <v>6549.5952000000007</v>
      </c>
      <c r="K66" s="5">
        <f>IF(Table1[[#This Row],[Expected_Rent]]&lt;&gt;"", F66/Table1[[#This Row],[Expected_Rent]], "")</f>
        <v>0.44750857274354905</v>
      </c>
      <c r="L66" t="s">
        <v>12</v>
      </c>
      <c r="M66">
        <f ca="1">IF(Table1[[#This Row],[Renewal_Status]]="Expired",TODAY()-Table1[[#This Row],[Lease_End]],0)</f>
        <v>0</v>
      </c>
      <c r="N66" s="16">
        <f ca="1">Table1[[#This Row],[Lease_End]]-TODAY()</f>
        <v>-743</v>
      </c>
      <c r="O66" t="str">
        <f ca="1">IF(Table1[[#This Row],[Days_to_Expiry]]&lt;0,"Expired",
IF(Table1[[#This Row],[Days_to_Expiry]]&lt;30,"High Risk",
IF(Table1[[#This Row],[Days_to_Expiry]]&lt;=60,"Medium Risk",
"Safe")))</f>
        <v>Expired</v>
      </c>
    </row>
    <row r="67" spans="1:15" x14ac:dyDescent="0.35">
      <c r="A67" t="s">
        <v>197</v>
      </c>
      <c r="B67" t="s">
        <v>198</v>
      </c>
      <c r="C67" t="s">
        <v>199</v>
      </c>
      <c r="D67" s="1">
        <v>44987</v>
      </c>
      <c r="E67" s="1">
        <v>45352</v>
      </c>
      <c r="F67">
        <v>6957</v>
      </c>
      <c r="G67">
        <v>8685</v>
      </c>
      <c r="H67">
        <v>7.3</v>
      </c>
      <c r="I67">
        <f t="shared" ref="I67:I130" si="3">IF(B67=B66, F66, "")</f>
        <v>2931</v>
      </c>
      <c r="J67">
        <f t="shared" si="2"/>
        <v>3144.9629999999997</v>
      </c>
      <c r="K67" s="5">
        <f>IF(Table1[[#This Row],[Expected_Rent]]&lt;&gt;"", F67/Table1[[#This Row],[Expected_Rent]], "")</f>
        <v>2.2121086957143854</v>
      </c>
      <c r="L67" t="s">
        <v>12</v>
      </c>
      <c r="M67">
        <f ca="1">IF(Table1[[#This Row],[Renewal_Status]]="Expired",TODAY()-Table1[[#This Row],[Lease_End]],0)</f>
        <v>0</v>
      </c>
      <c r="N67" s="16">
        <f ca="1">Table1[[#This Row],[Lease_End]]-TODAY()</f>
        <v>-715</v>
      </c>
      <c r="O67" t="str">
        <f ca="1">IF(Table1[[#This Row],[Days_to_Expiry]]&lt;0,"Expired",
IF(Table1[[#This Row],[Days_to_Expiry]]&lt;30,"High Risk",
IF(Table1[[#This Row],[Days_to_Expiry]]&lt;=60,"Medium Risk",
"Safe")))</f>
        <v>Expired</v>
      </c>
    </row>
    <row r="68" spans="1:15" x14ac:dyDescent="0.35">
      <c r="A68" t="s">
        <v>244</v>
      </c>
      <c r="B68" t="s">
        <v>198</v>
      </c>
      <c r="C68" t="s">
        <v>245</v>
      </c>
      <c r="D68" s="1">
        <v>45125</v>
      </c>
      <c r="E68" s="1">
        <v>45855</v>
      </c>
      <c r="F68">
        <v>3019</v>
      </c>
      <c r="G68">
        <v>13692</v>
      </c>
      <c r="H68">
        <v>7.63</v>
      </c>
      <c r="I68">
        <f t="shared" si="3"/>
        <v>6957</v>
      </c>
      <c r="J68">
        <f t="shared" si="2"/>
        <v>7487.8191000000006</v>
      </c>
      <c r="K68" s="5">
        <f>IF(Table1[[#This Row],[Expected_Rent]]&lt;&gt;"", F68/Table1[[#This Row],[Expected_Rent]], "")</f>
        <v>0.40318815928659385</v>
      </c>
      <c r="L68" t="s">
        <v>16</v>
      </c>
      <c r="M68">
        <f ca="1">IF(Table1[[#This Row],[Renewal_Status]]="Expired",TODAY()-Table1[[#This Row],[Lease_End]],0)</f>
        <v>0</v>
      </c>
      <c r="N68" s="16">
        <f ca="1">Table1[[#This Row],[Lease_End]]-TODAY()</f>
        <v>-212</v>
      </c>
      <c r="O68" t="str">
        <f ca="1">IF(Table1[[#This Row],[Days_to_Expiry]]&lt;0,"Expired",
IF(Table1[[#This Row],[Days_to_Expiry]]&lt;30,"High Risk",
IF(Table1[[#This Row],[Days_to_Expiry]]&lt;=60,"Medium Risk",
"Safe")))</f>
        <v>Expired</v>
      </c>
    </row>
    <row r="69" spans="1:15" x14ac:dyDescent="0.35">
      <c r="A69" t="s">
        <v>212</v>
      </c>
      <c r="B69" t="s">
        <v>213</v>
      </c>
      <c r="C69" t="s">
        <v>214</v>
      </c>
      <c r="D69" s="1">
        <v>44645</v>
      </c>
      <c r="E69" s="1">
        <v>45375</v>
      </c>
      <c r="F69">
        <v>2605</v>
      </c>
      <c r="G69">
        <v>15983</v>
      </c>
      <c r="H69">
        <v>5.83</v>
      </c>
      <c r="I69" t="str">
        <f t="shared" si="3"/>
        <v/>
      </c>
      <c r="J69" t="str">
        <f t="shared" si="2"/>
        <v/>
      </c>
      <c r="K69" s="5" t="str">
        <f>IF(Table1[[#This Row],[Expected_Rent]]&lt;&gt;"", F69/Table1[[#This Row],[Expected_Rent]], "")</f>
        <v/>
      </c>
      <c r="L69" t="s">
        <v>12</v>
      </c>
      <c r="M69">
        <f ca="1">IF(Table1[[#This Row],[Renewal_Status]]="Expired",TODAY()-Table1[[#This Row],[Lease_End]],0)</f>
        <v>0</v>
      </c>
      <c r="N69" s="16">
        <f ca="1">Table1[[#This Row],[Lease_End]]-TODAY()</f>
        <v>-692</v>
      </c>
      <c r="O69" t="str">
        <f ca="1">IF(Table1[[#This Row],[Days_to_Expiry]]&lt;0,"Expired",
IF(Table1[[#This Row],[Days_to_Expiry]]&lt;30,"High Risk",
IF(Table1[[#This Row],[Days_to_Expiry]]&lt;=60,"Medium Risk",
"Safe")))</f>
        <v>Expired</v>
      </c>
    </row>
    <row r="70" spans="1:15" x14ac:dyDescent="0.35">
      <c r="A70" t="s">
        <v>693</v>
      </c>
      <c r="B70" t="s">
        <v>213</v>
      </c>
      <c r="C70" t="s">
        <v>694</v>
      </c>
      <c r="D70" s="1">
        <v>44901</v>
      </c>
      <c r="E70" s="1">
        <v>45631</v>
      </c>
      <c r="F70">
        <v>4549</v>
      </c>
      <c r="G70">
        <v>12083</v>
      </c>
      <c r="H70">
        <v>4.42</v>
      </c>
      <c r="I70">
        <f t="shared" si="3"/>
        <v>2605</v>
      </c>
      <c r="J70">
        <f t="shared" si="2"/>
        <v>2720.1410000000001</v>
      </c>
      <c r="K70" s="5">
        <f>IF(Table1[[#This Row],[Expected_Rent]]&lt;&gt;"", F70/Table1[[#This Row],[Expected_Rent]], "")</f>
        <v>1.6723397794452566</v>
      </c>
      <c r="L70" t="s">
        <v>16</v>
      </c>
      <c r="M70">
        <f ca="1">IF(Table1[[#This Row],[Renewal_Status]]="Expired",TODAY()-Table1[[#This Row],[Lease_End]],0)</f>
        <v>0</v>
      </c>
      <c r="N70" s="16">
        <f ca="1">Table1[[#This Row],[Lease_End]]-TODAY()</f>
        <v>-436</v>
      </c>
      <c r="O70" t="str">
        <f ca="1">IF(Table1[[#This Row],[Days_to_Expiry]]&lt;0,"Expired",
IF(Table1[[#This Row],[Days_to_Expiry]]&lt;30,"High Risk",
IF(Table1[[#This Row],[Days_to_Expiry]]&lt;=60,"Medium Risk",
"Safe")))</f>
        <v>Expired</v>
      </c>
    </row>
    <row r="71" spans="1:15" x14ac:dyDescent="0.35">
      <c r="A71" t="s">
        <v>488</v>
      </c>
      <c r="B71" t="s">
        <v>489</v>
      </c>
      <c r="C71" t="s">
        <v>490</v>
      </c>
      <c r="D71" s="1">
        <v>44572</v>
      </c>
      <c r="E71" s="1">
        <v>45302</v>
      </c>
      <c r="F71">
        <v>2669</v>
      </c>
      <c r="G71">
        <v>15415</v>
      </c>
      <c r="H71">
        <v>6.24</v>
      </c>
      <c r="I71" t="str">
        <f t="shared" si="3"/>
        <v/>
      </c>
      <c r="J71" t="str">
        <f t="shared" si="2"/>
        <v/>
      </c>
      <c r="K71" s="5" t="str">
        <f>IF(Table1[[#This Row],[Expected_Rent]]&lt;&gt;"", F71/Table1[[#This Row],[Expected_Rent]], "")</f>
        <v/>
      </c>
      <c r="L71" t="s">
        <v>20</v>
      </c>
      <c r="M71">
        <f ca="1">IF(Table1[[#This Row],[Renewal_Status]]="Expired",TODAY()-Table1[[#This Row],[Lease_End]],0)</f>
        <v>765</v>
      </c>
      <c r="N71" s="16">
        <f ca="1">Table1[[#This Row],[Lease_End]]-TODAY()</f>
        <v>-765</v>
      </c>
      <c r="O71" t="str">
        <f ca="1">IF(Table1[[#This Row],[Days_to_Expiry]]&lt;0,"Expired",
IF(Table1[[#This Row],[Days_to_Expiry]]&lt;30,"High Risk",
IF(Table1[[#This Row],[Days_to_Expiry]]&lt;=60,"Medium Risk",
"Safe")))</f>
        <v>Expired</v>
      </c>
    </row>
    <row r="72" spans="1:15" x14ac:dyDescent="0.35">
      <c r="A72" t="s">
        <v>651</v>
      </c>
      <c r="B72" t="s">
        <v>489</v>
      </c>
      <c r="C72" t="s">
        <v>652</v>
      </c>
      <c r="D72" s="1">
        <v>44623</v>
      </c>
      <c r="E72" s="1">
        <v>45353</v>
      </c>
      <c r="F72">
        <v>2835</v>
      </c>
      <c r="G72">
        <v>10992</v>
      </c>
      <c r="H72">
        <v>5.46</v>
      </c>
      <c r="I72">
        <f t="shared" si="3"/>
        <v>2669</v>
      </c>
      <c r="J72">
        <f t="shared" si="2"/>
        <v>2814.7273999999998</v>
      </c>
      <c r="K72" s="5">
        <f>IF(Table1[[#This Row],[Expected_Rent]]&lt;&gt;"", F72/Table1[[#This Row],[Expected_Rent]], "")</f>
        <v>1.0072023315650391</v>
      </c>
      <c r="L72" t="s">
        <v>20</v>
      </c>
      <c r="M72">
        <f ca="1">IF(Table1[[#This Row],[Renewal_Status]]="Expired",TODAY()-Table1[[#This Row],[Lease_End]],0)</f>
        <v>714</v>
      </c>
      <c r="N72" s="16">
        <f ca="1">Table1[[#This Row],[Lease_End]]-TODAY()</f>
        <v>-714</v>
      </c>
      <c r="O72" t="str">
        <f ca="1">IF(Table1[[#This Row],[Days_to_Expiry]]&lt;0,"Expired",
IF(Table1[[#This Row],[Days_to_Expiry]]&lt;30,"High Risk",
IF(Table1[[#This Row],[Days_to_Expiry]]&lt;=60,"Medium Risk",
"Safe")))</f>
        <v>Expired</v>
      </c>
    </row>
    <row r="73" spans="1:15" x14ac:dyDescent="0.35">
      <c r="A73" t="s">
        <v>399</v>
      </c>
      <c r="B73" t="s">
        <v>400</v>
      </c>
      <c r="C73" t="s">
        <v>401</v>
      </c>
      <c r="D73" s="1">
        <v>44868</v>
      </c>
      <c r="E73" s="1">
        <v>45598</v>
      </c>
      <c r="F73">
        <v>6517</v>
      </c>
      <c r="G73">
        <v>6453</v>
      </c>
      <c r="H73">
        <v>7.7</v>
      </c>
      <c r="I73" t="str">
        <f t="shared" si="3"/>
        <v/>
      </c>
      <c r="J73" t="str">
        <f t="shared" si="2"/>
        <v/>
      </c>
      <c r="K73" s="5" t="str">
        <f>IF(Table1[[#This Row],[Expected_Rent]]&lt;&gt;"", F73/Table1[[#This Row],[Expected_Rent]], "")</f>
        <v/>
      </c>
      <c r="L73" t="s">
        <v>20</v>
      </c>
      <c r="M73">
        <f ca="1">IF(Table1[[#This Row],[Renewal_Status]]="Expired",TODAY()-Table1[[#This Row],[Lease_End]],0)</f>
        <v>469</v>
      </c>
      <c r="N73" s="16">
        <f ca="1">Table1[[#This Row],[Lease_End]]-TODAY()</f>
        <v>-469</v>
      </c>
      <c r="O73" t="str">
        <f ca="1">IF(Table1[[#This Row],[Days_to_Expiry]]&lt;0,"Expired",
IF(Table1[[#This Row],[Days_to_Expiry]]&lt;30,"High Risk",
IF(Table1[[#This Row],[Days_to_Expiry]]&lt;=60,"Medium Risk",
"Safe")))</f>
        <v>Expired</v>
      </c>
    </row>
    <row r="74" spans="1:15" x14ac:dyDescent="0.35">
      <c r="A74" t="s">
        <v>340</v>
      </c>
      <c r="B74" t="s">
        <v>119</v>
      </c>
      <c r="C74" t="s">
        <v>341</v>
      </c>
      <c r="D74" s="1">
        <v>45037</v>
      </c>
      <c r="E74" s="1">
        <v>45767</v>
      </c>
      <c r="F74">
        <v>2717</v>
      </c>
      <c r="G74">
        <v>19762</v>
      </c>
      <c r="H74">
        <v>5.12</v>
      </c>
      <c r="I74" t="str">
        <f t="shared" si="3"/>
        <v/>
      </c>
      <c r="J74" t="str">
        <f t="shared" si="2"/>
        <v/>
      </c>
      <c r="K74" s="5" t="str">
        <f>IF(Table1[[#This Row],[Expected_Rent]]&lt;&gt;"", F74/Table1[[#This Row],[Expected_Rent]], "")</f>
        <v/>
      </c>
      <c r="L74" t="s">
        <v>16</v>
      </c>
      <c r="M74">
        <f ca="1">IF(Table1[[#This Row],[Renewal_Status]]="Expired",TODAY()-Table1[[#This Row],[Lease_End]],0)</f>
        <v>0</v>
      </c>
      <c r="N74" s="16">
        <f ca="1">Table1[[#This Row],[Lease_End]]-TODAY()</f>
        <v>-300</v>
      </c>
      <c r="O74" t="str">
        <f ca="1">IF(Table1[[#This Row],[Days_to_Expiry]]&lt;0,"Expired",
IF(Table1[[#This Row],[Days_to_Expiry]]&lt;30,"High Risk",
IF(Table1[[#This Row],[Days_to_Expiry]]&lt;=60,"Medium Risk",
"Safe")))</f>
        <v>Expired</v>
      </c>
    </row>
    <row r="75" spans="1:15" x14ac:dyDescent="0.35">
      <c r="A75" t="s">
        <v>118</v>
      </c>
      <c r="B75" t="s">
        <v>119</v>
      </c>
      <c r="C75" t="s">
        <v>120</v>
      </c>
      <c r="D75" s="1">
        <v>45054</v>
      </c>
      <c r="E75" s="1">
        <v>45784</v>
      </c>
      <c r="F75">
        <v>2618</v>
      </c>
      <c r="G75">
        <v>8013</v>
      </c>
      <c r="H75">
        <v>5.45</v>
      </c>
      <c r="I75">
        <f t="shared" si="3"/>
        <v>2717</v>
      </c>
      <c r="J75">
        <f t="shared" si="2"/>
        <v>2865.0765000000001</v>
      </c>
      <c r="K75" s="5">
        <f>IF(Table1[[#This Row],[Expected_Rent]]&lt;&gt;"", F75/Table1[[#This Row],[Expected_Rent]], "")</f>
        <v>0.91376268661587212</v>
      </c>
      <c r="L75" t="s">
        <v>20</v>
      </c>
      <c r="M75">
        <f ca="1">IF(Table1[[#This Row],[Renewal_Status]]="Expired",TODAY()-Table1[[#This Row],[Lease_End]],0)</f>
        <v>283</v>
      </c>
      <c r="N75" s="16">
        <f ca="1">Table1[[#This Row],[Lease_End]]-TODAY()</f>
        <v>-283</v>
      </c>
      <c r="O75" t="str">
        <f ca="1">IF(Table1[[#This Row],[Days_to_Expiry]]&lt;0,"Expired",
IF(Table1[[#This Row],[Days_to_Expiry]]&lt;30,"High Risk",
IF(Table1[[#This Row],[Days_to_Expiry]]&lt;=60,"Medium Risk",
"Safe")))</f>
        <v>Expired</v>
      </c>
    </row>
    <row r="76" spans="1:15" x14ac:dyDescent="0.35">
      <c r="A76" t="s">
        <v>184</v>
      </c>
      <c r="B76" t="s">
        <v>119</v>
      </c>
      <c r="C76" t="s">
        <v>185</v>
      </c>
      <c r="D76" s="1">
        <v>45224</v>
      </c>
      <c r="E76" s="1">
        <v>46319</v>
      </c>
      <c r="F76">
        <v>3348</v>
      </c>
      <c r="G76">
        <v>10173</v>
      </c>
      <c r="H76">
        <v>6.08</v>
      </c>
      <c r="I76">
        <f t="shared" si="3"/>
        <v>2618</v>
      </c>
      <c r="J76">
        <f t="shared" si="2"/>
        <v>2777.1743999999999</v>
      </c>
      <c r="K76" s="5">
        <f>IF(Table1[[#This Row],[Expected_Rent]]&lt;&gt;"", F76/Table1[[#This Row],[Expected_Rent]], "")</f>
        <v>1.2055418629813095</v>
      </c>
      <c r="L76" t="s">
        <v>16</v>
      </c>
      <c r="M76">
        <f ca="1">IF(Table1[[#This Row],[Renewal_Status]]="Expired",TODAY()-Table1[[#This Row],[Lease_End]],0)</f>
        <v>0</v>
      </c>
      <c r="N76" s="16">
        <f ca="1">Table1[[#This Row],[Lease_End]]-TODAY()</f>
        <v>252</v>
      </c>
      <c r="O76" t="str">
        <f ca="1">IF(Table1[[#This Row],[Days_to_Expiry]]&lt;0,"Expired",
IF(Table1[[#This Row],[Days_to_Expiry]]&lt;30,"High Risk",
IF(Table1[[#This Row],[Days_to_Expiry]]&lt;=60,"Medium Risk",
"Safe")))</f>
        <v>Safe</v>
      </c>
    </row>
    <row r="77" spans="1:15" x14ac:dyDescent="0.35">
      <c r="A77" t="s">
        <v>453</v>
      </c>
      <c r="B77" t="s">
        <v>119</v>
      </c>
      <c r="C77" t="s">
        <v>454</v>
      </c>
      <c r="D77" s="1">
        <v>45252</v>
      </c>
      <c r="E77" s="1">
        <v>45617</v>
      </c>
      <c r="F77">
        <v>2931</v>
      </c>
      <c r="G77">
        <v>19693</v>
      </c>
      <c r="H77">
        <v>7.16</v>
      </c>
      <c r="I77">
        <f t="shared" si="3"/>
        <v>3348</v>
      </c>
      <c r="J77">
        <f t="shared" si="2"/>
        <v>3587.7168000000001</v>
      </c>
      <c r="K77" s="5">
        <f>IF(Table1[[#This Row],[Expected_Rent]]&lt;&gt;"", F77/Table1[[#This Row],[Expected_Rent]], "")</f>
        <v>0.81695411410398944</v>
      </c>
      <c r="L77" t="s">
        <v>16</v>
      </c>
      <c r="M77">
        <f ca="1">IF(Table1[[#This Row],[Renewal_Status]]="Expired",TODAY()-Table1[[#This Row],[Lease_End]],0)</f>
        <v>0</v>
      </c>
      <c r="N77" s="16">
        <f ca="1">Table1[[#This Row],[Lease_End]]-TODAY()</f>
        <v>-450</v>
      </c>
      <c r="O77" t="str">
        <f ca="1">IF(Table1[[#This Row],[Days_to_Expiry]]&lt;0,"Expired",
IF(Table1[[#This Row],[Days_to_Expiry]]&lt;30,"High Risk",
IF(Table1[[#This Row],[Days_to_Expiry]]&lt;=60,"Medium Risk",
"Safe")))</f>
        <v>Expired</v>
      </c>
    </row>
    <row r="78" spans="1:15" x14ac:dyDescent="0.35">
      <c r="A78" t="s">
        <v>520</v>
      </c>
      <c r="B78" t="s">
        <v>93</v>
      </c>
      <c r="C78" t="s">
        <v>521</v>
      </c>
      <c r="D78" s="1">
        <v>44688</v>
      </c>
      <c r="E78" s="1">
        <v>45418</v>
      </c>
      <c r="F78">
        <v>3391</v>
      </c>
      <c r="G78">
        <v>6837</v>
      </c>
      <c r="H78">
        <v>5.48</v>
      </c>
      <c r="I78" t="str">
        <f t="shared" si="3"/>
        <v/>
      </c>
      <c r="J78" t="str">
        <f t="shared" si="2"/>
        <v/>
      </c>
      <c r="K78" s="5" t="str">
        <f>IF(Table1[[#This Row],[Expected_Rent]]&lt;&gt;"", F78/Table1[[#This Row],[Expected_Rent]], "")</f>
        <v/>
      </c>
      <c r="L78" t="s">
        <v>16</v>
      </c>
      <c r="M78">
        <f ca="1">IF(Table1[[#This Row],[Renewal_Status]]="Expired",TODAY()-Table1[[#This Row],[Lease_End]],0)</f>
        <v>0</v>
      </c>
      <c r="N78" s="16">
        <f ca="1">Table1[[#This Row],[Lease_End]]-TODAY()</f>
        <v>-649</v>
      </c>
      <c r="O78" t="str">
        <f ca="1">IF(Table1[[#This Row],[Days_to_Expiry]]&lt;0,"Expired",
IF(Table1[[#This Row],[Days_to_Expiry]]&lt;30,"High Risk",
IF(Table1[[#This Row],[Days_to_Expiry]]&lt;=60,"Medium Risk",
"Safe")))</f>
        <v>Expired</v>
      </c>
    </row>
    <row r="79" spans="1:15" x14ac:dyDescent="0.35">
      <c r="A79" t="s">
        <v>92</v>
      </c>
      <c r="B79" t="s">
        <v>93</v>
      </c>
      <c r="C79" t="s">
        <v>94</v>
      </c>
      <c r="D79" s="1">
        <v>44720</v>
      </c>
      <c r="E79" s="1">
        <v>45085</v>
      </c>
      <c r="F79">
        <v>6486</v>
      </c>
      <c r="G79">
        <v>10925</v>
      </c>
      <c r="H79">
        <v>4.21</v>
      </c>
      <c r="I79">
        <f t="shared" si="3"/>
        <v>3391</v>
      </c>
      <c r="J79">
        <f t="shared" si="2"/>
        <v>3533.7611000000002</v>
      </c>
      <c r="K79" s="5">
        <f>IF(Table1[[#This Row],[Expected_Rent]]&lt;&gt;"", F79/Table1[[#This Row],[Expected_Rent]], "")</f>
        <v>1.8354381681319656</v>
      </c>
      <c r="L79" t="s">
        <v>16</v>
      </c>
      <c r="M79">
        <f ca="1">IF(Table1[[#This Row],[Renewal_Status]]="Expired",TODAY()-Table1[[#This Row],[Lease_End]],0)</f>
        <v>0</v>
      </c>
      <c r="N79" s="16">
        <f ca="1">Table1[[#This Row],[Lease_End]]-TODAY()</f>
        <v>-982</v>
      </c>
      <c r="O79" t="str">
        <f ca="1">IF(Table1[[#This Row],[Days_to_Expiry]]&lt;0,"Expired",
IF(Table1[[#This Row],[Days_to_Expiry]]&lt;30,"High Risk",
IF(Table1[[#This Row],[Days_to_Expiry]]&lt;=60,"Medium Risk",
"Safe")))</f>
        <v>Expired</v>
      </c>
    </row>
    <row r="80" spans="1:15" x14ac:dyDescent="0.35">
      <c r="A80" t="s">
        <v>679</v>
      </c>
      <c r="B80" t="s">
        <v>93</v>
      </c>
      <c r="C80" t="s">
        <v>680</v>
      </c>
      <c r="D80" s="1">
        <v>44769</v>
      </c>
      <c r="E80" s="1">
        <v>45134</v>
      </c>
      <c r="F80">
        <v>3656</v>
      </c>
      <c r="G80">
        <v>13134</v>
      </c>
      <c r="H80">
        <v>4.8600000000000003</v>
      </c>
      <c r="I80">
        <f t="shared" si="3"/>
        <v>6486</v>
      </c>
      <c r="J80">
        <f t="shared" si="2"/>
        <v>6801.2195999999994</v>
      </c>
      <c r="K80" s="5">
        <f>IF(Table1[[#This Row],[Expected_Rent]]&lt;&gt;"", F80/Table1[[#This Row],[Expected_Rent]], "")</f>
        <v>0.53755064753386295</v>
      </c>
      <c r="L80" t="s">
        <v>16</v>
      </c>
      <c r="M80">
        <f ca="1">IF(Table1[[#This Row],[Renewal_Status]]="Expired",TODAY()-Table1[[#This Row],[Lease_End]],0)</f>
        <v>0</v>
      </c>
      <c r="N80" s="16">
        <f ca="1">Table1[[#This Row],[Lease_End]]-TODAY()</f>
        <v>-933</v>
      </c>
      <c r="O80" t="str">
        <f ca="1">IF(Table1[[#This Row],[Days_to_Expiry]]&lt;0,"Expired",
IF(Table1[[#This Row],[Days_to_Expiry]]&lt;30,"High Risk",
IF(Table1[[#This Row],[Days_to_Expiry]]&lt;=60,"Medium Risk",
"Safe")))</f>
        <v>Expired</v>
      </c>
    </row>
    <row r="81" spans="1:15" x14ac:dyDescent="0.35">
      <c r="A81" t="s">
        <v>475</v>
      </c>
      <c r="B81" t="s">
        <v>93</v>
      </c>
      <c r="C81" t="s">
        <v>476</v>
      </c>
      <c r="D81" s="1">
        <v>45259</v>
      </c>
      <c r="E81" s="1">
        <v>45989</v>
      </c>
      <c r="F81">
        <v>5774</v>
      </c>
      <c r="G81">
        <v>7383</v>
      </c>
      <c r="H81">
        <v>7.55</v>
      </c>
      <c r="I81">
        <f t="shared" si="3"/>
        <v>3656</v>
      </c>
      <c r="J81">
        <f t="shared" si="2"/>
        <v>3932.0279999999998</v>
      </c>
      <c r="K81" s="5">
        <f>IF(Table1[[#This Row],[Expected_Rent]]&lt;&gt;"", F81/Table1[[#This Row],[Expected_Rent]], "")</f>
        <v>1.4684534291210543</v>
      </c>
      <c r="L81" t="s">
        <v>12</v>
      </c>
      <c r="M81">
        <f ca="1">IF(Table1[[#This Row],[Renewal_Status]]="Expired",TODAY()-Table1[[#This Row],[Lease_End]],0)</f>
        <v>0</v>
      </c>
      <c r="N81" s="16">
        <f ca="1">Table1[[#This Row],[Lease_End]]-TODAY()</f>
        <v>-78</v>
      </c>
      <c r="O81" t="str">
        <f ca="1">IF(Table1[[#This Row],[Days_to_Expiry]]&lt;0,"Expired",
IF(Table1[[#This Row],[Days_to_Expiry]]&lt;30,"High Risk",
IF(Table1[[#This Row],[Days_to_Expiry]]&lt;=60,"Medium Risk",
"Safe")))</f>
        <v>Expired</v>
      </c>
    </row>
    <row r="82" spans="1:15" x14ac:dyDescent="0.35">
      <c r="A82" t="s">
        <v>21</v>
      </c>
      <c r="B82" t="s">
        <v>22</v>
      </c>
      <c r="C82" t="s">
        <v>23</v>
      </c>
      <c r="D82" s="1">
        <v>44586</v>
      </c>
      <c r="E82" s="1">
        <v>44951</v>
      </c>
      <c r="F82">
        <v>2170</v>
      </c>
      <c r="G82">
        <v>8098</v>
      </c>
      <c r="H82">
        <v>4.38</v>
      </c>
      <c r="I82" t="str">
        <f t="shared" si="3"/>
        <v/>
      </c>
      <c r="J82" t="str">
        <f t="shared" si="2"/>
        <v/>
      </c>
      <c r="K82" s="5" t="str">
        <f>IF(Table1[[#This Row],[Expected_Rent]]&lt;&gt;"", F82/Table1[[#This Row],[Expected_Rent]], "")</f>
        <v/>
      </c>
      <c r="L82" t="s">
        <v>16</v>
      </c>
      <c r="M82">
        <f ca="1">IF(Table1[[#This Row],[Renewal_Status]]="Expired",TODAY()-Table1[[#This Row],[Lease_End]],0)</f>
        <v>0</v>
      </c>
      <c r="N82" s="16">
        <f ca="1">Table1[[#This Row],[Lease_End]]-TODAY()</f>
        <v>-1116</v>
      </c>
      <c r="O82" t="str">
        <f ca="1">IF(Table1[[#This Row],[Days_to_Expiry]]&lt;0,"Expired",
IF(Table1[[#This Row],[Days_to_Expiry]]&lt;30,"High Risk",
IF(Table1[[#This Row],[Days_to_Expiry]]&lt;=60,"Medium Risk",
"Safe")))</f>
        <v>Expired</v>
      </c>
    </row>
    <row r="83" spans="1:15" x14ac:dyDescent="0.35">
      <c r="A83" t="s">
        <v>447</v>
      </c>
      <c r="B83" t="s">
        <v>22</v>
      </c>
      <c r="C83" t="s">
        <v>448</v>
      </c>
      <c r="D83" s="1">
        <v>44881</v>
      </c>
      <c r="E83" s="1">
        <v>45976</v>
      </c>
      <c r="F83">
        <v>6936</v>
      </c>
      <c r="G83">
        <v>14466</v>
      </c>
      <c r="H83">
        <v>6.93</v>
      </c>
      <c r="I83">
        <f t="shared" si="3"/>
        <v>2170</v>
      </c>
      <c r="J83">
        <f t="shared" si="2"/>
        <v>2320.3809999999999</v>
      </c>
      <c r="K83" s="5">
        <f>IF(Table1[[#This Row],[Expected_Rent]]&lt;&gt;"", F83/Table1[[#This Row],[Expected_Rent]], "")</f>
        <v>2.9891642794868605</v>
      </c>
      <c r="L83" t="s">
        <v>20</v>
      </c>
      <c r="M83">
        <f ca="1">IF(Table1[[#This Row],[Renewal_Status]]="Expired",TODAY()-Table1[[#This Row],[Lease_End]],0)</f>
        <v>91</v>
      </c>
      <c r="N83" s="16">
        <f ca="1">Table1[[#This Row],[Lease_End]]-TODAY()</f>
        <v>-91</v>
      </c>
      <c r="O83" t="str">
        <f ca="1">IF(Table1[[#This Row],[Days_to_Expiry]]&lt;0,"Expired",
IF(Table1[[#This Row],[Days_to_Expiry]]&lt;30,"High Risk",
IF(Table1[[#This Row],[Days_to_Expiry]]&lt;=60,"Medium Risk",
"Safe")))</f>
        <v>Expired</v>
      </c>
    </row>
    <row r="84" spans="1:15" x14ac:dyDescent="0.35">
      <c r="A84" t="s">
        <v>445</v>
      </c>
      <c r="B84" t="s">
        <v>22</v>
      </c>
      <c r="C84" t="s">
        <v>446</v>
      </c>
      <c r="D84" s="1">
        <v>45041</v>
      </c>
      <c r="E84" s="1">
        <v>46136</v>
      </c>
      <c r="F84">
        <v>5878</v>
      </c>
      <c r="G84">
        <v>16626</v>
      </c>
      <c r="H84">
        <v>5.13</v>
      </c>
      <c r="I84">
        <f t="shared" si="3"/>
        <v>6936</v>
      </c>
      <c r="J84">
        <f t="shared" si="2"/>
        <v>7291.8167999999996</v>
      </c>
      <c r="K84" s="5">
        <f>IF(Table1[[#This Row],[Expected_Rent]]&lt;&gt;"", F84/Table1[[#This Row],[Expected_Rent]], "")</f>
        <v>0.80610911672931773</v>
      </c>
      <c r="L84" t="s">
        <v>20</v>
      </c>
      <c r="M84">
        <f ca="1">IF(Table1[[#This Row],[Renewal_Status]]="Expired",TODAY()-Table1[[#This Row],[Lease_End]],0)</f>
        <v>-69</v>
      </c>
      <c r="N84" s="16">
        <f ca="1">Table1[[#This Row],[Lease_End]]-TODAY()</f>
        <v>69</v>
      </c>
      <c r="O84" t="str">
        <f ca="1">IF(Table1[[#This Row],[Days_to_Expiry]]&lt;0,"Expired",
IF(Table1[[#This Row],[Days_to_Expiry]]&lt;30,"High Risk",
IF(Table1[[#This Row],[Days_to_Expiry]]&lt;=60,"Medium Risk",
"Safe")))</f>
        <v>Safe</v>
      </c>
    </row>
    <row r="85" spans="1:15" x14ac:dyDescent="0.35">
      <c r="A85" t="s">
        <v>297</v>
      </c>
      <c r="B85" t="s">
        <v>22</v>
      </c>
      <c r="C85" t="s">
        <v>298</v>
      </c>
      <c r="D85" s="1">
        <v>45139</v>
      </c>
      <c r="E85" s="1">
        <v>46234</v>
      </c>
      <c r="F85">
        <v>5728</v>
      </c>
      <c r="G85">
        <v>12238</v>
      </c>
      <c r="H85">
        <v>6.63</v>
      </c>
      <c r="I85">
        <f t="shared" si="3"/>
        <v>5878</v>
      </c>
      <c r="J85">
        <f t="shared" si="2"/>
        <v>6267.7114000000001</v>
      </c>
      <c r="K85" s="5">
        <f>IF(Table1[[#This Row],[Expected_Rent]]&lt;&gt;"", F85/Table1[[#This Row],[Expected_Rent]], "")</f>
        <v>0.91389019602912791</v>
      </c>
      <c r="L85" t="s">
        <v>16</v>
      </c>
      <c r="M85">
        <f ca="1">IF(Table1[[#This Row],[Renewal_Status]]="Expired",TODAY()-Table1[[#This Row],[Lease_End]],0)</f>
        <v>0</v>
      </c>
      <c r="N85" s="16">
        <f ca="1">Table1[[#This Row],[Lease_End]]-TODAY()</f>
        <v>167</v>
      </c>
      <c r="O85" t="str">
        <f ca="1">IF(Table1[[#This Row],[Days_to_Expiry]]&lt;0,"Expired",
IF(Table1[[#This Row],[Days_to_Expiry]]&lt;30,"High Risk",
IF(Table1[[#This Row],[Days_to_Expiry]]&lt;=60,"Medium Risk",
"Safe")))</f>
        <v>Safe</v>
      </c>
    </row>
    <row r="86" spans="1:15" x14ac:dyDescent="0.35">
      <c r="A86" t="s">
        <v>70</v>
      </c>
      <c r="B86" t="s">
        <v>71</v>
      </c>
      <c r="C86" t="s">
        <v>72</v>
      </c>
      <c r="D86" s="1">
        <v>44745</v>
      </c>
      <c r="E86" s="1">
        <v>45110</v>
      </c>
      <c r="F86">
        <v>3229</v>
      </c>
      <c r="G86">
        <v>6906</v>
      </c>
      <c r="H86">
        <v>5.7</v>
      </c>
      <c r="I86" t="str">
        <f t="shared" si="3"/>
        <v/>
      </c>
      <c r="J86" t="str">
        <f t="shared" si="2"/>
        <v/>
      </c>
      <c r="K86" s="5" t="str">
        <f>IF(Table1[[#This Row],[Expected_Rent]]&lt;&gt;"", F86/Table1[[#This Row],[Expected_Rent]], "")</f>
        <v/>
      </c>
      <c r="L86" t="s">
        <v>20</v>
      </c>
      <c r="M86">
        <f ca="1">IF(Table1[[#This Row],[Renewal_Status]]="Expired",TODAY()-Table1[[#This Row],[Lease_End]],0)</f>
        <v>957</v>
      </c>
      <c r="N86" s="16">
        <f ca="1">Table1[[#This Row],[Lease_End]]-TODAY()</f>
        <v>-957</v>
      </c>
      <c r="O86" t="str">
        <f ca="1">IF(Table1[[#This Row],[Days_to_Expiry]]&lt;0,"Expired",
IF(Table1[[#This Row],[Days_to_Expiry]]&lt;30,"High Risk",
IF(Table1[[#This Row],[Days_to_Expiry]]&lt;=60,"Medium Risk",
"Safe")))</f>
        <v>Expired</v>
      </c>
    </row>
    <row r="87" spans="1:15" x14ac:dyDescent="0.35">
      <c r="A87" t="s">
        <v>503</v>
      </c>
      <c r="B87" t="s">
        <v>375</v>
      </c>
      <c r="C87" t="s">
        <v>504</v>
      </c>
      <c r="D87" s="1">
        <v>44591</v>
      </c>
      <c r="E87" s="1">
        <v>45321</v>
      </c>
      <c r="F87">
        <v>2960</v>
      </c>
      <c r="G87">
        <v>7932</v>
      </c>
      <c r="H87">
        <v>3.68</v>
      </c>
      <c r="I87" t="str">
        <f t="shared" si="3"/>
        <v/>
      </c>
      <c r="J87" t="str">
        <f t="shared" si="2"/>
        <v/>
      </c>
      <c r="K87" s="5" t="str">
        <f>IF(Table1[[#This Row],[Expected_Rent]]&lt;&gt;"", F87/Table1[[#This Row],[Expected_Rent]], "")</f>
        <v/>
      </c>
      <c r="L87" t="s">
        <v>20</v>
      </c>
      <c r="M87">
        <f ca="1">IF(Table1[[#This Row],[Renewal_Status]]="Expired",TODAY()-Table1[[#This Row],[Lease_End]],0)</f>
        <v>746</v>
      </c>
      <c r="N87" s="16">
        <f ca="1">Table1[[#This Row],[Lease_End]]-TODAY()</f>
        <v>-746</v>
      </c>
      <c r="O87" t="str">
        <f ca="1">IF(Table1[[#This Row],[Days_to_Expiry]]&lt;0,"Expired",
IF(Table1[[#This Row],[Days_to_Expiry]]&lt;30,"High Risk",
IF(Table1[[#This Row],[Days_to_Expiry]]&lt;=60,"Medium Risk",
"Safe")))</f>
        <v>Expired</v>
      </c>
    </row>
    <row r="88" spans="1:15" x14ac:dyDescent="0.35">
      <c r="A88" t="s">
        <v>374</v>
      </c>
      <c r="B88" t="s">
        <v>375</v>
      </c>
      <c r="C88" t="s">
        <v>376</v>
      </c>
      <c r="D88" s="1">
        <v>44966</v>
      </c>
      <c r="E88" s="1">
        <v>45331</v>
      </c>
      <c r="F88">
        <v>5171</v>
      </c>
      <c r="G88">
        <v>5442</v>
      </c>
      <c r="H88">
        <v>6.21</v>
      </c>
      <c r="I88">
        <f t="shared" si="3"/>
        <v>2960</v>
      </c>
      <c r="J88">
        <f t="shared" si="2"/>
        <v>3143.8160000000003</v>
      </c>
      <c r="K88" s="5">
        <f>IF(Table1[[#This Row],[Expected_Rent]]&lt;&gt;"", F88/Table1[[#This Row],[Expected_Rent]], "")</f>
        <v>1.6448163632986152</v>
      </c>
      <c r="L88" t="s">
        <v>12</v>
      </c>
      <c r="M88">
        <f ca="1">IF(Table1[[#This Row],[Renewal_Status]]="Expired",TODAY()-Table1[[#This Row],[Lease_End]],0)</f>
        <v>0</v>
      </c>
      <c r="N88" s="16">
        <f ca="1">Table1[[#This Row],[Lease_End]]-TODAY()</f>
        <v>-736</v>
      </c>
      <c r="O88" t="str">
        <f ca="1">IF(Table1[[#This Row],[Days_to_Expiry]]&lt;0,"Expired",
IF(Table1[[#This Row],[Days_to_Expiry]]&lt;30,"High Risk",
IF(Table1[[#This Row],[Days_to_Expiry]]&lt;=60,"Medium Risk",
"Safe")))</f>
        <v>Expired</v>
      </c>
    </row>
    <row r="89" spans="1:15" x14ac:dyDescent="0.35">
      <c r="A89" t="s">
        <v>596</v>
      </c>
      <c r="B89" t="s">
        <v>597</v>
      </c>
      <c r="C89" t="s">
        <v>598</v>
      </c>
      <c r="D89" s="1">
        <v>44893</v>
      </c>
      <c r="E89" s="1">
        <v>45258</v>
      </c>
      <c r="F89">
        <v>3509</v>
      </c>
      <c r="G89">
        <v>13957</v>
      </c>
      <c r="H89">
        <v>5.48</v>
      </c>
      <c r="I89" t="str">
        <f t="shared" si="3"/>
        <v/>
      </c>
      <c r="J89" t="str">
        <f t="shared" si="2"/>
        <v/>
      </c>
      <c r="K89" s="5" t="str">
        <f>IF(Table1[[#This Row],[Expected_Rent]]&lt;&gt;"", F89/Table1[[#This Row],[Expected_Rent]], "")</f>
        <v/>
      </c>
      <c r="L89" t="s">
        <v>16</v>
      </c>
      <c r="M89">
        <f ca="1">IF(Table1[[#This Row],[Renewal_Status]]="Expired",TODAY()-Table1[[#This Row],[Lease_End]],0)</f>
        <v>0</v>
      </c>
      <c r="N89" s="16">
        <f ca="1">Table1[[#This Row],[Lease_End]]-TODAY()</f>
        <v>-809</v>
      </c>
      <c r="O89" t="str">
        <f ca="1">IF(Table1[[#This Row],[Days_to_Expiry]]&lt;0,"Expired",
IF(Table1[[#This Row],[Days_to_Expiry]]&lt;30,"High Risk",
IF(Table1[[#This Row],[Days_to_Expiry]]&lt;=60,"Medium Risk",
"Safe")))</f>
        <v>Expired</v>
      </c>
    </row>
    <row r="90" spans="1:15" x14ac:dyDescent="0.35">
      <c r="A90" t="s">
        <v>238</v>
      </c>
      <c r="B90" t="s">
        <v>239</v>
      </c>
      <c r="C90" t="s">
        <v>240</v>
      </c>
      <c r="D90" s="1">
        <v>45133</v>
      </c>
      <c r="E90" s="1">
        <v>46228</v>
      </c>
      <c r="F90">
        <v>2531</v>
      </c>
      <c r="G90">
        <v>11405</v>
      </c>
      <c r="H90">
        <v>6.82</v>
      </c>
      <c r="I90" t="str">
        <f t="shared" si="3"/>
        <v/>
      </c>
      <c r="J90" t="str">
        <f t="shared" si="2"/>
        <v/>
      </c>
      <c r="K90" s="5" t="str">
        <f>IF(Table1[[#This Row],[Expected_Rent]]&lt;&gt;"", F90/Table1[[#This Row],[Expected_Rent]], "")</f>
        <v/>
      </c>
      <c r="L90" t="s">
        <v>20</v>
      </c>
      <c r="M90">
        <f ca="1">IF(Table1[[#This Row],[Renewal_Status]]="Expired",TODAY()-Table1[[#This Row],[Lease_End]],0)</f>
        <v>-161</v>
      </c>
      <c r="N90" s="16">
        <f ca="1">Table1[[#This Row],[Lease_End]]-TODAY()</f>
        <v>161</v>
      </c>
      <c r="O90" t="str">
        <f ca="1">IF(Table1[[#This Row],[Days_to_Expiry]]&lt;0,"Expired",
IF(Table1[[#This Row],[Days_to_Expiry]]&lt;30,"High Risk",
IF(Table1[[#This Row],[Days_to_Expiry]]&lt;=60,"Medium Risk",
"Safe")))</f>
        <v>Safe</v>
      </c>
    </row>
    <row r="91" spans="1:15" x14ac:dyDescent="0.35">
      <c r="A91" t="s">
        <v>675</v>
      </c>
      <c r="B91" t="s">
        <v>105</v>
      </c>
      <c r="C91" t="s">
        <v>676</v>
      </c>
      <c r="D91" s="1">
        <v>44649</v>
      </c>
      <c r="E91" s="1">
        <v>45379</v>
      </c>
      <c r="F91">
        <v>5341</v>
      </c>
      <c r="G91">
        <v>9380</v>
      </c>
      <c r="H91">
        <v>7.35</v>
      </c>
      <c r="I91" t="str">
        <f t="shared" si="3"/>
        <v/>
      </c>
      <c r="J91" t="str">
        <f t="shared" si="2"/>
        <v/>
      </c>
      <c r="K91" s="5" t="str">
        <f>IF(Table1[[#This Row],[Expected_Rent]]&lt;&gt;"", F91/Table1[[#This Row],[Expected_Rent]], "")</f>
        <v/>
      </c>
      <c r="L91" t="s">
        <v>16</v>
      </c>
      <c r="M91">
        <f ca="1">IF(Table1[[#This Row],[Renewal_Status]]="Expired",TODAY()-Table1[[#This Row],[Lease_End]],0)</f>
        <v>0</v>
      </c>
      <c r="N91" s="16">
        <f ca="1">Table1[[#This Row],[Lease_End]]-TODAY()</f>
        <v>-688</v>
      </c>
      <c r="O91" t="str">
        <f ca="1">IF(Table1[[#This Row],[Days_to_Expiry]]&lt;0,"Expired",
IF(Table1[[#This Row],[Days_to_Expiry]]&lt;30,"High Risk",
IF(Table1[[#This Row],[Days_to_Expiry]]&lt;=60,"Medium Risk",
"Safe")))</f>
        <v>Expired</v>
      </c>
    </row>
    <row r="92" spans="1:15" x14ac:dyDescent="0.35">
      <c r="A92" t="s">
        <v>438</v>
      </c>
      <c r="B92" t="s">
        <v>105</v>
      </c>
      <c r="C92" t="s">
        <v>439</v>
      </c>
      <c r="D92" s="1">
        <v>44769</v>
      </c>
      <c r="E92" s="1">
        <v>45499</v>
      </c>
      <c r="F92">
        <v>2739</v>
      </c>
      <c r="G92">
        <v>18980</v>
      </c>
      <c r="H92">
        <v>4.6900000000000004</v>
      </c>
      <c r="I92">
        <f t="shared" si="3"/>
        <v>5341</v>
      </c>
      <c r="J92">
        <f t="shared" si="2"/>
        <v>5591.4928999999993</v>
      </c>
      <c r="K92" s="5">
        <f>IF(Table1[[#This Row],[Expected_Rent]]&lt;&gt;"", F92/Table1[[#This Row],[Expected_Rent]], "")</f>
        <v>0.48985128819532264</v>
      </c>
      <c r="L92" t="s">
        <v>20</v>
      </c>
      <c r="M92">
        <f ca="1">IF(Table1[[#This Row],[Renewal_Status]]="Expired",TODAY()-Table1[[#This Row],[Lease_End]],0)</f>
        <v>568</v>
      </c>
      <c r="N92" s="16">
        <f ca="1">Table1[[#This Row],[Lease_End]]-TODAY()</f>
        <v>-568</v>
      </c>
      <c r="O92" t="str">
        <f ca="1">IF(Table1[[#This Row],[Days_to_Expiry]]&lt;0,"Expired",
IF(Table1[[#This Row],[Days_to_Expiry]]&lt;30,"High Risk",
IF(Table1[[#This Row],[Days_to_Expiry]]&lt;=60,"Medium Risk",
"Safe")))</f>
        <v>Expired</v>
      </c>
    </row>
    <row r="93" spans="1:15" x14ac:dyDescent="0.35">
      <c r="A93" t="s">
        <v>104</v>
      </c>
      <c r="B93" t="s">
        <v>105</v>
      </c>
      <c r="C93" t="s">
        <v>106</v>
      </c>
      <c r="D93" s="1">
        <v>44804</v>
      </c>
      <c r="E93" s="1">
        <v>45534</v>
      </c>
      <c r="F93">
        <v>4342</v>
      </c>
      <c r="G93">
        <v>9033</v>
      </c>
      <c r="H93">
        <v>4.74</v>
      </c>
      <c r="I93">
        <f t="shared" si="3"/>
        <v>2739</v>
      </c>
      <c r="J93">
        <f t="shared" si="2"/>
        <v>2868.8286000000003</v>
      </c>
      <c r="K93" s="5">
        <f>IF(Table1[[#This Row],[Expected_Rent]]&lt;&gt;"", F93/Table1[[#This Row],[Expected_Rent]], "")</f>
        <v>1.5135097300689206</v>
      </c>
      <c r="L93" t="s">
        <v>20</v>
      </c>
      <c r="M93">
        <f ca="1">IF(Table1[[#This Row],[Renewal_Status]]="Expired",TODAY()-Table1[[#This Row],[Lease_End]],0)</f>
        <v>533</v>
      </c>
      <c r="N93" s="16">
        <f ca="1">Table1[[#This Row],[Lease_End]]-TODAY()</f>
        <v>-533</v>
      </c>
      <c r="O93" t="str">
        <f ca="1">IF(Table1[[#This Row],[Days_to_Expiry]]&lt;0,"Expired",
IF(Table1[[#This Row],[Days_to_Expiry]]&lt;30,"High Risk",
IF(Table1[[#This Row],[Days_to_Expiry]]&lt;=60,"Medium Risk",
"Safe")))</f>
        <v>Expired</v>
      </c>
    </row>
    <row r="94" spans="1:15" x14ac:dyDescent="0.35">
      <c r="A94" t="s">
        <v>333</v>
      </c>
      <c r="B94" t="s">
        <v>105</v>
      </c>
      <c r="C94" t="s">
        <v>334</v>
      </c>
      <c r="D94" s="1">
        <v>44833</v>
      </c>
      <c r="E94" s="1">
        <v>45198</v>
      </c>
      <c r="F94">
        <v>5399</v>
      </c>
      <c r="G94">
        <v>18507</v>
      </c>
      <c r="H94">
        <v>4.7</v>
      </c>
      <c r="I94">
        <f t="shared" si="3"/>
        <v>4342</v>
      </c>
      <c r="J94">
        <f t="shared" si="2"/>
        <v>4546.0739999999996</v>
      </c>
      <c r="K94" s="5">
        <f>IF(Table1[[#This Row],[Expected_Rent]]&lt;&gt;"", F94/Table1[[#This Row],[Expected_Rent]], "")</f>
        <v>1.1876181513983275</v>
      </c>
      <c r="L94" t="s">
        <v>20</v>
      </c>
      <c r="M94">
        <f ca="1">IF(Table1[[#This Row],[Renewal_Status]]="Expired",TODAY()-Table1[[#This Row],[Lease_End]],0)</f>
        <v>869</v>
      </c>
      <c r="N94" s="16">
        <f ca="1">Table1[[#This Row],[Lease_End]]-TODAY()</f>
        <v>-869</v>
      </c>
      <c r="O94" t="str">
        <f ca="1">IF(Table1[[#This Row],[Days_to_Expiry]]&lt;0,"Expired",
IF(Table1[[#This Row],[Days_to_Expiry]]&lt;30,"High Risk",
IF(Table1[[#This Row],[Days_to_Expiry]]&lt;=60,"Medium Risk",
"Safe")))</f>
        <v>Expired</v>
      </c>
    </row>
    <row r="95" spans="1:15" x14ac:dyDescent="0.35">
      <c r="A95" t="s">
        <v>594</v>
      </c>
      <c r="B95" t="s">
        <v>105</v>
      </c>
      <c r="C95" t="s">
        <v>595</v>
      </c>
      <c r="D95" s="1">
        <v>45060</v>
      </c>
      <c r="E95" s="1">
        <v>45425</v>
      </c>
      <c r="F95">
        <v>3295</v>
      </c>
      <c r="G95">
        <v>11163</v>
      </c>
      <c r="H95">
        <v>4.55</v>
      </c>
      <c r="I95">
        <f t="shared" si="3"/>
        <v>5399</v>
      </c>
      <c r="J95">
        <f t="shared" si="2"/>
        <v>5644.6545000000006</v>
      </c>
      <c r="K95" s="5">
        <f>IF(Table1[[#This Row],[Expected_Rent]]&lt;&gt;"", F95/Table1[[#This Row],[Expected_Rent]], "")</f>
        <v>0.5837381189583879</v>
      </c>
      <c r="L95" t="s">
        <v>12</v>
      </c>
      <c r="M95">
        <f ca="1">IF(Table1[[#This Row],[Renewal_Status]]="Expired",TODAY()-Table1[[#This Row],[Lease_End]],0)</f>
        <v>0</v>
      </c>
      <c r="N95" s="16">
        <f ca="1">Table1[[#This Row],[Lease_End]]-TODAY()</f>
        <v>-642</v>
      </c>
      <c r="O95" t="str">
        <f ca="1">IF(Table1[[#This Row],[Days_to_Expiry]]&lt;0,"Expired",
IF(Table1[[#This Row],[Days_to_Expiry]]&lt;30,"High Risk",
IF(Table1[[#This Row],[Days_to_Expiry]]&lt;=60,"Medium Risk",
"Safe")))</f>
        <v>Expired</v>
      </c>
    </row>
    <row r="96" spans="1:15" x14ac:dyDescent="0.35">
      <c r="A96" t="s">
        <v>470</v>
      </c>
      <c r="B96" t="s">
        <v>471</v>
      </c>
      <c r="C96" t="s">
        <v>472</v>
      </c>
      <c r="D96" s="1">
        <v>44719</v>
      </c>
      <c r="E96" s="1">
        <v>45449</v>
      </c>
      <c r="F96">
        <v>6463</v>
      </c>
      <c r="G96">
        <v>16728</v>
      </c>
      <c r="H96">
        <v>4.43</v>
      </c>
      <c r="I96" t="str">
        <f t="shared" si="3"/>
        <v/>
      </c>
      <c r="J96" t="str">
        <f t="shared" si="2"/>
        <v/>
      </c>
      <c r="K96" s="5" t="str">
        <f>IF(Table1[[#This Row],[Expected_Rent]]&lt;&gt;"", F96/Table1[[#This Row],[Expected_Rent]], "")</f>
        <v/>
      </c>
      <c r="L96" t="s">
        <v>16</v>
      </c>
      <c r="M96">
        <f ca="1">IF(Table1[[#This Row],[Renewal_Status]]="Expired",TODAY()-Table1[[#This Row],[Lease_End]],0)</f>
        <v>0</v>
      </c>
      <c r="N96" s="16">
        <f ca="1">Table1[[#This Row],[Lease_End]]-TODAY()</f>
        <v>-618</v>
      </c>
      <c r="O96" t="str">
        <f ca="1">IF(Table1[[#This Row],[Days_to_Expiry]]&lt;0,"Expired",
IF(Table1[[#This Row],[Days_to_Expiry]]&lt;30,"High Risk",
IF(Table1[[#This Row],[Days_to_Expiry]]&lt;=60,"Medium Risk",
"Safe")))</f>
        <v>Expired</v>
      </c>
    </row>
    <row r="97" spans="1:15" x14ac:dyDescent="0.35">
      <c r="A97" t="s">
        <v>574</v>
      </c>
      <c r="B97" t="s">
        <v>471</v>
      </c>
      <c r="C97" t="s">
        <v>575</v>
      </c>
      <c r="D97" s="1">
        <v>45184</v>
      </c>
      <c r="E97" s="1">
        <v>45549</v>
      </c>
      <c r="F97">
        <v>3164</v>
      </c>
      <c r="G97">
        <v>12600</v>
      </c>
      <c r="H97">
        <v>5.31</v>
      </c>
      <c r="I97">
        <f t="shared" si="3"/>
        <v>6463</v>
      </c>
      <c r="J97">
        <f t="shared" si="2"/>
        <v>6806.1852999999992</v>
      </c>
      <c r="K97" s="5">
        <f>IF(Table1[[#This Row],[Expected_Rent]]&lt;&gt;"", F97/Table1[[#This Row],[Expected_Rent]], "")</f>
        <v>0.46487126937316858</v>
      </c>
      <c r="L97" t="s">
        <v>16</v>
      </c>
      <c r="M97">
        <f ca="1">IF(Table1[[#This Row],[Renewal_Status]]="Expired",TODAY()-Table1[[#This Row],[Lease_End]],0)</f>
        <v>0</v>
      </c>
      <c r="N97" s="16">
        <f ca="1">Table1[[#This Row],[Lease_End]]-TODAY()</f>
        <v>-518</v>
      </c>
      <c r="O97" t="str">
        <f ca="1">IF(Table1[[#This Row],[Days_to_Expiry]]&lt;0,"Expired",
IF(Table1[[#This Row],[Days_to_Expiry]]&lt;30,"High Risk",
IF(Table1[[#This Row],[Days_to_Expiry]]&lt;=60,"Medium Risk",
"Safe")))</f>
        <v>Expired</v>
      </c>
    </row>
    <row r="98" spans="1:15" x14ac:dyDescent="0.35">
      <c r="A98" t="s">
        <v>342</v>
      </c>
      <c r="B98" t="s">
        <v>343</v>
      </c>
      <c r="C98" t="s">
        <v>344</v>
      </c>
      <c r="D98" s="1">
        <v>45038</v>
      </c>
      <c r="E98" s="1">
        <v>45768</v>
      </c>
      <c r="F98">
        <v>6190</v>
      </c>
      <c r="G98">
        <v>8544</v>
      </c>
      <c r="H98">
        <v>5.83</v>
      </c>
      <c r="I98" t="str">
        <f t="shared" si="3"/>
        <v/>
      </c>
      <c r="J98" t="str">
        <f t="shared" si="2"/>
        <v/>
      </c>
      <c r="K98" s="5" t="str">
        <f>IF(Table1[[#This Row],[Expected_Rent]]&lt;&gt;"", F98/Table1[[#This Row],[Expected_Rent]], "")</f>
        <v/>
      </c>
      <c r="L98" t="s">
        <v>20</v>
      </c>
      <c r="M98">
        <f ca="1">IF(Table1[[#This Row],[Renewal_Status]]="Expired",TODAY()-Table1[[#This Row],[Lease_End]],0)</f>
        <v>299</v>
      </c>
      <c r="N98" s="16">
        <f ca="1">Table1[[#This Row],[Lease_End]]-TODAY()</f>
        <v>-299</v>
      </c>
      <c r="O98" t="str">
        <f ca="1">IF(Table1[[#This Row],[Days_to_Expiry]]&lt;0,"Expired",
IF(Table1[[#This Row],[Days_to_Expiry]]&lt;30,"High Risk",
IF(Table1[[#This Row],[Days_to_Expiry]]&lt;=60,"Medium Risk",
"Safe")))</f>
        <v>Expired</v>
      </c>
    </row>
    <row r="99" spans="1:15" x14ac:dyDescent="0.35">
      <c r="A99" t="s">
        <v>443</v>
      </c>
      <c r="B99" t="s">
        <v>220</v>
      </c>
      <c r="C99" t="s">
        <v>444</v>
      </c>
      <c r="D99" s="1">
        <v>44568</v>
      </c>
      <c r="E99" s="1">
        <v>45298</v>
      </c>
      <c r="F99">
        <v>6608</v>
      </c>
      <c r="G99">
        <v>9609</v>
      </c>
      <c r="H99">
        <v>4.62</v>
      </c>
      <c r="I99" t="str">
        <f t="shared" si="3"/>
        <v/>
      </c>
      <c r="J99" t="str">
        <f t="shared" si="2"/>
        <v/>
      </c>
      <c r="K99" s="5" t="str">
        <f>IF(Table1[[#This Row],[Expected_Rent]]&lt;&gt;"", F99/Table1[[#This Row],[Expected_Rent]], "")</f>
        <v/>
      </c>
      <c r="L99" t="s">
        <v>20</v>
      </c>
      <c r="M99">
        <f ca="1">IF(Table1[[#This Row],[Renewal_Status]]="Expired",TODAY()-Table1[[#This Row],[Lease_End]],0)</f>
        <v>769</v>
      </c>
      <c r="N99" s="16">
        <f ca="1">Table1[[#This Row],[Lease_End]]-TODAY()</f>
        <v>-769</v>
      </c>
      <c r="O99" t="str">
        <f ca="1">IF(Table1[[#This Row],[Days_to_Expiry]]&lt;0,"Expired",
IF(Table1[[#This Row],[Days_to_Expiry]]&lt;30,"High Risk",
IF(Table1[[#This Row],[Days_to_Expiry]]&lt;=60,"Medium Risk",
"Safe")))</f>
        <v>Expired</v>
      </c>
    </row>
    <row r="100" spans="1:15" x14ac:dyDescent="0.35">
      <c r="A100" t="s">
        <v>707</v>
      </c>
      <c r="B100" t="s">
        <v>220</v>
      </c>
      <c r="C100" t="s">
        <v>708</v>
      </c>
      <c r="D100" s="1">
        <v>44637</v>
      </c>
      <c r="E100" s="1">
        <v>45002</v>
      </c>
      <c r="F100">
        <v>5807</v>
      </c>
      <c r="G100">
        <v>12964</v>
      </c>
      <c r="H100">
        <v>3.68</v>
      </c>
      <c r="I100">
        <f t="shared" si="3"/>
        <v>6608</v>
      </c>
      <c r="J100">
        <f t="shared" si="2"/>
        <v>6851.1743999999999</v>
      </c>
      <c r="K100" s="5">
        <f>IF(Table1[[#This Row],[Expected_Rent]]&lt;&gt;"", F100/Table1[[#This Row],[Expected_Rent]], "")</f>
        <v>0.84759191066571016</v>
      </c>
      <c r="L100" t="s">
        <v>20</v>
      </c>
      <c r="M100">
        <f ca="1">IF(Table1[[#This Row],[Renewal_Status]]="Expired",TODAY()-Table1[[#This Row],[Lease_End]],0)</f>
        <v>1065</v>
      </c>
      <c r="N100" s="16">
        <f ca="1">Table1[[#This Row],[Lease_End]]-TODAY()</f>
        <v>-1065</v>
      </c>
      <c r="O100" t="str">
        <f ca="1">IF(Table1[[#This Row],[Days_to_Expiry]]&lt;0,"Expired",
IF(Table1[[#This Row],[Days_to_Expiry]]&lt;30,"High Risk",
IF(Table1[[#This Row],[Days_to_Expiry]]&lt;=60,"Medium Risk",
"Safe")))</f>
        <v>Expired</v>
      </c>
    </row>
    <row r="101" spans="1:15" x14ac:dyDescent="0.35">
      <c r="A101" t="s">
        <v>219</v>
      </c>
      <c r="B101" t="s">
        <v>220</v>
      </c>
      <c r="C101" t="s">
        <v>221</v>
      </c>
      <c r="D101" s="1">
        <v>44759</v>
      </c>
      <c r="E101" s="1">
        <v>45489</v>
      </c>
      <c r="F101">
        <v>5363</v>
      </c>
      <c r="G101">
        <v>12394</v>
      </c>
      <c r="H101">
        <v>5.65</v>
      </c>
      <c r="I101">
        <f t="shared" si="3"/>
        <v>5807</v>
      </c>
      <c r="J101">
        <f t="shared" si="2"/>
        <v>6135.0955000000004</v>
      </c>
      <c r="K101" s="5">
        <f>IF(Table1[[#This Row],[Expected_Rent]]&lt;&gt;"", F101/Table1[[#This Row],[Expected_Rent]], "")</f>
        <v>0.87415102177301063</v>
      </c>
      <c r="L101" t="s">
        <v>12</v>
      </c>
      <c r="M101">
        <f ca="1">IF(Table1[[#This Row],[Renewal_Status]]="Expired",TODAY()-Table1[[#This Row],[Lease_End]],0)</f>
        <v>0</v>
      </c>
      <c r="N101" s="16">
        <f ca="1">Table1[[#This Row],[Lease_End]]-TODAY()</f>
        <v>-578</v>
      </c>
      <c r="O101" t="str">
        <f ca="1">IF(Table1[[#This Row],[Days_to_Expiry]]&lt;0,"Expired",
IF(Table1[[#This Row],[Days_to_Expiry]]&lt;30,"High Risk",
IF(Table1[[#This Row],[Days_to_Expiry]]&lt;=60,"Medium Risk",
"Safe")))</f>
        <v>Expired</v>
      </c>
    </row>
    <row r="102" spans="1:15" x14ac:dyDescent="0.35">
      <c r="A102" t="s">
        <v>557</v>
      </c>
      <c r="B102" t="s">
        <v>349</v>
      </c>
      <c r="C102" t="s">
        <v>558</v>
      </c>
      <c r="D102" s="1">
        <v>44947</v>
      </c>
      <c r="E102" s="1">
        <v>45312</v>
      </c>
      <c r="F102">
        <v>6437</v>
      </c>
      <c r="G102">
        <v>6073</v>
      </c>
      <c r="H102">
        <v>4.5199999999999996</v>
      </c>
      <c r="I102" t="str">
        <f t="shared" si="3"/>
        <v/>
      </c>
      <c r="J102" t="str">
        <f t="shared" si="2"/>
        <v/>
      </c>
      <c r="K102" s="5" t="str">
        <f>IF(Table1[[#This Row],[Expected_Rent]]&lt;&gt;"", F102/Table1[[#This Row],[Expected_Rent]], "")</f>
        <v/>
      </c>
      <c r="L102" t="s">
        <v>20</v>
      </c>
      <c r="M102">
        <f ca="1">IF(Table1[[#This Row],[Renewal_Status]]="Expired",TODAY()-Table1[[#This Row],[Lease_End]],0)</f>
        <v>755</v>
      </c>
      <c r="N102" s="16">
        <f ca="1">Table1[[#This Row],[Lease_End]]-TODAY()</f>
        <v>-755</v>
      </c>
      <c r="O102" t="str">
        <f ca="1">IF(Table1[[#This Row],[Days_to_Expiry]]&lt;0,"Expired",
IF(Table1[[#This Row],[Days_to_Expiry]]&lt;30,"High Risk",
IF(Table1[[#This Row],[Days_to_Expiry]]&lt;=60,"Medium Risk",
"Safe")))</f>
        <v>Expired</v>
      </c>
    </row>
    <row r="103" spans="1:15" x14ac:dyDescent="0.35">
      <c r="A103" t="s">
        <v>348</v>
      </c>
      <c r="B103" t="s">
        <v>349</v>
      </c>
      <c r="C103" t="s">
        <v>350</v>
      </c>
      <c r="D103" s="1">
        <v>45147</v>
      </c>
      <c r="E103" s="1">
        <v>46242</v>
      </c>
      <c r="F103">
        <v>6841</v>
      </c>
      <c r="G103">
        <v>18925</v>
      </c>
      <c r="H103">
        <v>6.85</v>
      </c>
      <c r="I103">
        <f t="shared" si="3"/>
        <v>6437</v>
      </c>
      <c r="J103">
        <f t="shared" si="2"/>
        <v>6877.9345000000003</v>
      </c>
      <c r="K103" s="5">
        <f>IF(Table1[[#This Row],[Expected_Rent]]&lt;&gt;"", F103/Table1[[#This Row],[Expected_Rent]], "")</f>
        <v>0.99463000120166889</v>
      </c>
      <c r="L103" t="s">
        <v>12</v>
      </c>
      <c r="M103">
        <f ca="1">IF(Table1[[#This Row],[Renewal_Status]]="Expired",TODAY()-Table1[[#This Row],[Lease_End]],0)</f>
        <v>0</v>
      </c>
      <c r="N103" s="16">
        <f ca="1">Table1[[#This Row],[Lease_End]]-TODAY()</f>
        <v>175</v>
      </c>
      <c r="O103" t="str">
        <f ca="1">IF(Table1[[#This Row],[Days_to_Expiry]]&lt;0,"Expired",
IF(Table1[[#This Row],[Days_to_Expiry]]&lt;30,"High Risk",
IF(Table1[[#This Row],[Days_to_Expiry]]&lt;=60,"Medium Risk",
"Safe")))</f>
        <v>Safe</v>
      </c>
    </row>
    <row r="104" spans="1:15" x14ac:dyDescent="0.35">
      <c r="A104" t="s">
        <v>335</v>
      </c>
      <c r="B104" t="s">
        <v>336</v>
      </c>
      <c r="C104" t="s">
        <v>337</v>
      </c>
      <c r="D104" s="1">
        <v>45138</v>
      </c>
      <c r="E104" s="1">
        <v>46233</v>
      </c>
      <c r="F104">
        <v>5313</v>
      </c>
      <c r="G104">
        <v>8577</v>
      </c>
      <c r="H104">
        <v>4.26</v>
      </c>
      <c r="I104" t="str">
        <f t="shared" si="3"/>
        <v/>
      </c>
      <c r="J104" t="str">
        <f t="shared" si="2"/>
        <v/>
      </c>
      <c r="K104" s="5" t="str">
        <f>IF(Table1[[#This Row],[Expected_Rent]]&lt;&gt;"", F104/Table1[[#This Row],[Expected_Rent]], "")</f>
        <v/>
      </c>
      <c r="L104" t="s">
        <v>12</v>
      </c>
      <c r="M104">
        <f ca="1">IF(Table1[[#This Row],[Renewal_Status]]="Expired",TODAY()-Table1[[#This Row],[Lease_End]],0)</f>
        <v>0</v>
      </c>
      <c r="N104" s="16">
        <f ca="1">Table1[[#This Row],[Lease_End]]-TODAY()</f>
        <v>166</v>
      </c>
      <c r="O104" t="str">
        <f ca="1">IF(Table1[[#This Row],[Days_to_Expiry]]&lt;0,"Expired",
IF(Table1[[#This Row],[Days_to_Expiry]]&lt;30,"High Risk",
IF(Table1[[#This Row],[Days_to_Expiry]]&lt;=60,"Medium Risk",
"Safe")))</f>
        <v>Safe</v>
      </c>
    </row>
    <row r="105" spans="1:15" x14ac:dyDescent="0.35">
      <c r="A105" t="s">
        <v>271</v>
      </c>
      <c r="B105" t="s">
        <v>272</v>
      </c>
      <c r="C105" t="s">
        <v>273</v>
      </c>
      <c r="D105" s="1">
        <v>44931</v>
      </c>
      <c r="E105" s="1">
        <v>46026</v>
      </c>
      <c r="F105">
        <v>4082</v>
      </c>
      <c r="G105">
        <v>19065</v>
      </c>
      <c r="H105">
        <v>4.08</v>
      </c>
      <c r="I105" t="str">
        <f t="shared" si="3"/>
        <v/>
      </c>
      <c r="J105" t="str">
        <f t="shared" si="2"/>
        <v/>
      </c>
      <c r="K105" s="5" t="str">
        <f>IF(Table1[[#This Row],[Expected_Rent]]&lt;&gt;"", F105/Table1[[#This Row],[Expected_Rent]], "")</f>
        <v/>
      </c>
      <c r="L105" t="s">
        <v>12</v>
      </c>
      <c r="M105">
        <f ca="1">IF(Table1[[#This Row],[Renewal_Status]]="Expired",TODAY()-Table1[[#This Row],[Lease_End]],0)</f>
        <v>0</v>
      </c>
      <c r="N105" s="16">
        <f ca="1">Table1[[#This Row],[Lease_End]]-TODAY()</f>
        <v>-41</v>
      </c>
      <c r="O105" t="str">
        <f ca="1">IF(Table1[[#This Row],[Days_to_Expiry]]&lt;0,"Expired",
IF(Table1[[#This Row],[Days_to_Expiry]]&lt;30,"High Risk",
IF(Table1[[#This Row],[Days_to_Expiry]]&lt;=60,"Medium Risk",
"Safe")))</f>
        <v>Expired</v>
      </c>
    </row>
    <row r="106" spans="1:15" x14ac:dyDescent="0.35">
      <c r="A106" t="s">
        <v>356</v>
      </c>
      <c r="B106" t="s">
        <v>272</v>
      </c>
      <c r="C106" t="s">
        <v>357</v>
      </c>
      <c r="D106" s="1">
        <v>45244</v>
      </c>
      <c r="E106" s="1">
        <v>46339</v>
      </c>
      <c r="F106">
        <v>3495</v>
      </c>
      <c r="G106">
        <v>14535</v>
      </c>
      <c r="H106">
        <v>5.52</v>
      </c>
      <c r="I106">
        <f t="shared" si="3"/>
        <v>4082</v>
      </c>
      <c r="J106">
        <f t="shared" si="2"/>
        <v>4307.3263999999999</v>
      </c>
      <c r="K106" s="5">
        <f>IF(Table1[[#This Row],[Expected_Rent]]&lt;&gt;"", F106/Table1[[#This Row],[Expected_Rent]], "")</f>
        <v>0.8114082090458713</v>
      </c>
      <c r="L106" t="s">
        <v>20</v>
      </c>
      <c r="M106">
        <f ca="1">IF(Table1[[#This Row],[Renewal_Status]]="Expired",TODAY()-Table1[[#This Row],[Lease_End]],0)</f>
        <v>-272</v>
      </c>
      <c r="N106" s="16">
        <f ca="1">Table1[[#This Row],[Lease_End]]-TODAY()</f>
        <v>272</v>
      </c>
      <c r="O106" t="str">
        <f ca="1">IF(Table1[[#This Row],[Days_to_Expiry]]&lt;0,"Expired",
IF(Table1[[#This Row],[Days_to_Expiry]]&lt;30,"High Risk",
IF(Table1[[#This Row],[Days_to_Expiry]]&lt;=60,"Medium Risk",
"Safe")))</f>
        <v>Safe</v>
      </c>
    </row>
    <row r="107" spans="1:15" x14ac:dyDescent="0.35">
      <c r="A107" t="s">
        <v>496</v>
      </c>
      <c r="B107" t="s">
        <v>84</v>
      </c>
      <c r="C107" t="s">
        <v>497</v>
      </c>
      <c r="D107" s="1">
        <v>44634</v>
      </c>
      <c r="E107" s="1">
        <v>44999</v>
      </c>
      <c r="F107">
        <v>2508</v>
      </c>
      <c r="G107">
        <v>10902</v>
      </c>
      <c r="H107">
        <v>5.74</v>
      </c>
      <c r="I107" t="str">
        <f t="shared" si="3"/>
        <v/>
      </c>
      <c r="J107" t="str">
        <f t="shared" si="2"/>
        <v/>
      </c>
      <c r="K107" s="5" t="str">
        <f>IF(Table1[[#This Row],[Expected_Rent]]&lt;&gt;"", F107/Table1[[#This Row],[Expected_Rent]], "")</f>
        <v/>
      </c>
      <c r="L107" t="s">
        <v>16</v>
      </c>
      <c r="M107">
        <f ca="1">IF(Table1[[#This Row],[Renewal_Status]]="Expired",TODAY()-Table1[[#This Row],[Lease_End]],0)</f>
        <v>0</v>
      </c>
      <c r="N107" s="16">
        <f ca="1">Table1[[#This Row],[Lease_End]]-TODAY()</f>
        <v>-1068</v>
      </c>
      <c r="O107" t="str">
        <f ca="1">IF(Table1[[#This Row],[Days_to_Expiry]]&lt;0,"Expired",
IF(Table1[[#This Row],[Days_to_Expiry]]&lt;30,"High Risk",
IF(Table1[[#This Row],[Days_to_Expiry]]&lt;=60,"Medium Risk",
"Safe")))</f>
        <v>Expired</v>
      </c>
    </row>
    <row r="108" spans="1:15" x14ac:dyDescent="0.35">
      <c r="A108" t="s">
        <v>83</v>
      </c>
      <c r="B108" t="s">
        <v>84</v>
      </c>
      <c r="C108" t="s">
        <v>85</v>
      </c>
      <c r="D108" s="1">
        <v>45136</v>
      </c>
      <c r="E108" s="1">
        <v>46231</v>
      </c>
      <c r="F108">
        <v>3077</v>
      </c>
      <c r="G108">
        <v>7051</v>
      </c>
      <c r="H108">
        <v>6.46</v>
      </c>
      <c r="I108">
        <f t="shared" si="3"/>
        <v>2508</v>
      </c>
      <c r="J108">
        <f t="shared" si="2"/>
        <v>2670.0167999999999</v>
      </c>
      <c r="K108" s="5">
        <f>IF(Table1[[#This Row],[Expected_Rent]]&lt;&gt;"", F108/Table1[[#This Row],[Expected_Rent]], "")</f>
        <v>1.1524272057014773</v>
      </c>
      <c r="L108" t="s">
        <v>12</v>
      </c>
      <c r="M108">
        <f ca="1">IF(Table1[[#This Row],[Renewal_Status]]="Expired",TODAY()-Table1[[#This Row],[Lease_End]],0)</f>
        <v>0</v>
      </c>
      <c r="N108" s="16">
        <f ca="1">Table1[[#This Row],[Lease_End]]-TODAY()</f>
        <v>164</v>
      </c>
      <c r="O108" t="str">
        <f ca="1">IF(Table1[[#This Row],[Days_to_Expiry]]&lt;0,"Expired",
IF(Table1[[#This Row],[Days_to_Expiry]]&lt;30,"High Risk",
IF(Table1[[#This Row],[Days_to_Expiry]]&lt;=60,"Medium Risk",
"Safe")))</f>
        <v>Safe</v>
      </c>
    </row>
    <row r="109" spans="1:15" x14ac:dyDescent="0.35">
      <c r="A109" t="s">
        <v>709</v>
      </c>
      <c r="B109" t="s">
        <v>25</v>
      </c>
      <c r="C109" t="s">
        <v>710</v>
      </c>
      <c r="D109" s="1">
        <v>44717</v>
      </c>
      <c r="E109" s="1">
        <v>45082</v>
      </c>
      <c r="F109">
        <v>6687</v>
      </c>
      <c r="G109">
        <v>7994</v>
      </c>
      <c r="H109">
        <v>3.43</v>
      </c>
      <c r="I109" t="str">
        <f t="shared" si="3"/>
        <v/>
      </c>
      <c r="J109" t="str">
        <f t="shared" si="2"/>
        <v/>
      </c>
      <c r="K109" s="5" t="str">
        <f>IF(Table1[[#This Row],[Expected_Rent]]&lt;&gt;"", F109/Table1[[#This Row],[Expected_Rent]], "")</f>
        <v/>
      </c>
      <c r="L109" t="s">
        <v>12</v>
      </c>
      <c r="M109">
        <f ca="1">IF(Table1[[#This Row],[Renewal_Status]]="Expired",TODAY()-Table1[[#This Row],[Lease_End]],0)</f>
        <v>0</v>
      </c>
      <c r="N109" s="16">
        <f ca="1">Table1[[#This Row],[Lease_End]]-TODAY()</f>
        <v>-985</v>
      </c>
      <c r="O109" t="str">
        <f ca="1">IF(Table1[[#This Row],[Days_to_Expiry]]&lt;0,"Expired",
IF(Table1[[#This Row],[Days_to_Expiry]]&lt;30,"High Risk",
IF(Table1[[#This Row],[Days_to_Expiry]]&lt;=60,"Medium Risk",
"Safe")))</f>
        <v>Expired</v>
      </c>
    </row>
    <row r="110" spans="1:15" x14ac:dyDescent="0.35">
      <c r="A110" t="s">
        <v>551</v>
      </c>
      <c r="B110" t="s">
        <v>25</v>
      </c>
      <c r="C110" t="s">
        <v>552</v>
      </c>
      <c r="D110" s="1">
        <v>44964</v>
      </c>
      <c r="E110" s="1">
        <v>45694</v>
      </c>
      <c r="F110">
        <v>4348</v>
      </c>
      <c r="G110">
        <v>17687</v>
      </c>
      <c r="H110">
        <v>3.63</v>
      </c>
      <c r="I110">
        <f t="shared" si="3"/>
        <v>6687</v>
      </c>
      <c r="J110">
        <f t="shared" si="2"/>
        <v>6929.7380999999996</v>
      </c>
      <c r="K110" s="5">
        <f>IF(Table1[[#This Row],[Expected_Rent]]&lt;&gt;"", F110/Table1[[#This Row],[Expected_Rent]], "")</f>
        <v>0.62744073978784276</v>
      </c>
      <c r="L110" t="s">
        <v>20</v>
      </c>
      <c r="M110">
        <f ca="1">IF(Table1[[#This Row],[Renewal_Status]]="Expired",TODAY()-Table1[[#This Row],[Lease_End]],0)</f>
        <v>373</v>
      </c>
      <c r="N110" s="16">
        <f ca="1">Table1[[#This Row],[Lease_End]]-TODAY()</f>
        <v>-373</v>
      </c>
      <c r="O110" t="str">
        <f ca="1">IF(Table1[[#This Row],[Days_to_Expiry]]&lt;0,"Expired",
IF(Table1[[#This Row],[Days_to_Expiry]]&lt;30,"High Risk",
IF(Table1[[#This Row],[Days_to_Expiry]]&lt;=60,"Medium Risk",
"Safe")))</f>
        <v>Expired</v>
      </c>
    </row>
    <row r="111" spans="1:15" x14ac:dyDescent="0.35">
      <c r="A111" t="s">
        <v>59</v>
      </c>
      <c r="B111" t="s">
        <v>25</v>
      </c>
      <c r="C111" t="s">
        <v>60</v>
      </c>
      <c r="D111" s="1">
        <v>45010</v>
      </c>
      <c r="E111" s="1">
        <v>46105</v>
      </c>
      <c r="F111">
        <v>6676</v>
      </c>
      <c r="G111">
        <v>11146</v>
      </c>
      <c r="H111">
        <v>4.1399999999999997</v>
      </c>
      <c r="I111">
        <f t="shared" si="3"/>
        <v>4348</v>
      </c>
      <c r="J111">
        <f t="shared" si="2"/>
        <v>4528.0072</v>
      </c>
      <c r="K111" s="5">
        <f>IF(Table1[[#This Row],[Expected_Rent]]&lt;&gt;"", F111/Table1[[#This Row],[Expected_Rent]], "")</f>
        <v>1.4743792810223446</v>
      </c>
      <c r="L111" t="s">
        <v>20</v>
      </c>
      <c r="M111">
        <f ca="1">IF(Table1[[#This Row],[Renewal_Status]]="Expired",TODAY()-Table1[[#This Row],[Lease_End]],0)</f>
        <v>-38</v>
      </c>
      <c r="N111" s="16">
        <f ca="1">Table1[[#This Row],[Lease_End]]-TODAY()</f>
        <v>38</v>
      </c>
      <c r="O111" t="str">
        <f ca="1">IF(Table1[[#This Row],[Days_to_Expiry]]&lt;0,"Expired",
IF(Table1[[#This Row],[Days_to_Expiry]]&lt;30,"High Risk",
IF(Table1[[#This Row],[Days_to_Expiry]]&lt;=60,"Medium Risk",
"Safe")))</f>
        <v>Medium Risk</v>
      </c>
    </row>
    <row r="112" spans="1:15" x14ac:dyDescent="0.35">
      <c r="A112" t="s">
        <v>24</v>
      </c>
      <c r="B112" t="s">
        <v>25</v>
      </c>
      <c r="C112" t="s">
        <v>26</v>
      </c>
      <c r="D112" s="1">
        <v>45199</v>
      </c>
      <c r="E112" s="1">
        <v>46294</v>
      </c>
      <c r="F112">
        <v>5102</v>
      </c>
      <c r="G112">
        <v>7331</v>
      </c>
      <c r="H112">
        <v>4.37</v>
      </c>
      <c r="I112">
        <f t="shared" si="3"/>
        <v>6676</v>
      </c>
      <c r="J112">
        <f t="shared" si="2"/>
        <v>6967.7412000000004</v>
      </c>
      <c r="K112" s="5">
        <f>IF(Table1[[#This Row],[Expected_Rent]]&lt;&gt;"", F112/Table1[[#This Row],[Expected_Rent]], "")</f>
        <v>0.73223155877259039</v>
      </c>
      <c r="L112" t="s">
        <v>12</v>
      </c>
      <c r="M112">
        <f ca="1">IF(Table1[[#This Row],[Renewal_Status]]="Expired",TODAY()-Table1[[#This Row],[Lease_End]],0)</f>
        <v>0</v>
      </c>
      <c r="N112" s="16">
        <f ca="1">Table1[[#This Row],[Lease_End]]-TODAY()</f>
        <v>227</v>
      </c>
      <c r="O112" t="str">
        <f ca="1">IF(Table1[[#This Row],[Days_to_Expiry]]&lt;0,"Expired",
IF(Table1[[#This Row],[Days_to_Expiry]]&lt;30,"High Risk",
IF(Table1[[#This Row],[Days_to_Expiry]]&lt;=60,"Medium Risk",
"Safe")))</f>
        <v>Safe</v>
      </c>
    </row>
    <row r="113" spans="1:15" x14ac:dyDescent="0.35">
      <c r="A113" t="s">
        <v>493</v>
      </c>
      <c r="B113" t="s">
        <v>494</v>
      </c>
      <c r="C113" t="s">
        <v>495</v>
      </c>
      <c r="D113" s="1">
        <v>45156</v>
      </c>
      <c r="E113" s="1">
        <v>46251</v>
      </c>
      <c r="F113">
        <v>3261</v>
      </c>
      <c r="G113">
        <v>15047</v>
      </c>
      <c r="H113">
        <v>5.81</v>
      </c>
      <c r="I113" t="str">
        <f t="shared" si="3"/>
        <v/>
      </c>
      <c r="J113" t="str">
        <f t="shared" si="2"/>
        <v/>
      </c>
      <c r="K113" s="5" t="str">
        <f>IF(Table1[[#This Row],[Expected_Rent]]&lt;&gt;"", F113/Table1[[#This Row],[Expected_Rent]], "")</f>
        <v/>
      </c>
      <c r="L113" t="s">
        <v>16</v>
      </c>
      <c r="M113">
        <f ca="1">IF(Table1[[#This Row],[Renewal_Status]]="Expired",TODAY()-Table1[[#This Row],[Lease_End]],0)</f>
        <v>0</v>
      </c>
      <c r="N113" s="16">
        <f ca="1">Table1[[#This Row],[Lease_End]]-TODAY()</f>
        <v>184</v>
      </c>
      <c r="O113" t="str">
        <f ca="1">IF(Table1[[#This Row],[Days_to_Expiry]]&lt;0,"Expired",
IF(Table1[[#This Row],[Days_to_Expiry]]&lt;30,"High Risk",
IF(Table1[[#This Row],[Days_to_Expiry]]&lt;=60,"Medium Risk",
"Safe")))</f>
        <v>Safe</v>
      </c>
    </row>
    <row r="114" spans="1:15" x14ac:dyDescent="0.35">
      <c r="A114" t="s">
        <v>579</v>
      </c>
      <c r="B114" t="s">
        <v>494</v>
      </c>
      <c r="C114" t="s">
        <v>580</v>
      </c>
      <c r="D114" s="1">
        <v>45189</v>
      </c>
      <c r="E114" s="1">
        <v>46284</v>
      </c>
      <c r="F114">
        <v>2218</v>
      </c>
      <c r="G114">
        <v>18399</v>
      </c>
      <c r="H114">
        <v>5.53</v>
      </c>
      <c r="I114">
        <f t="shared" si="3"/>
        <v>3261</v>
      </c>
      <c r="J114">
        <f t="shared" si="2"/>
        <v>3441.3332999999998</v>
      </c>
      <c r="K114" s="5">
        <f>IF(Table1[[#This Row],[Expected_Rent]]&lt;&gt;"", F114/Table1[[#This Row],[Expected_Rent]], "")</f>
        <v>0.64451763506894266</v>
      </c>
      <c r="L114" t="s">
        <v>12</v>
      </c>
      <c r="M114">
        <f ca="1">IF(Table1[[#This Row],[Renewal_Status]]="Expired",TODAY()-Table1[[#This Row],[Lease_End]],0)</f>
        <v>0</v>
      </c>
      <c r="N114" s="16">
        <f ca="1">Table1[[#This Row],[Lease_End]]-TODAY()</f>
        <v>217</v>
      </c>
      <c r="O114" t="str">
        <f ca="1">IF(Table1[[#This Row],[Days_to_Expiry]]&lt;0,"Expired",
IF(Table1[[#This Row],[Days_to_Expiry]]&lt;30,"High Risk",
IF(Table1[[#This Row],[Days_to_Expiry]]&lt;=60,"Medium Risk",
"Safe")))</f>
        <v>Safe</v>
      </c>
    </row>
    <row r="115" spans="1:15" x14ac:dyDescent="0.35">
      <c r="A115" t="s">
        <v>81</v>
      </c>
      <c r="B115" t="s">
        <v>62</v>
      </c>
      <c r="C115" t="s">
        <v>82</v>
      </c>
      <c r="D115" s="1">
        <v>44641</v>
      </c>
      <c r="E115" s="1">
        <v>45371</v>
      </c>
      <c r="F115">
        <v>6604</v>
      </c>
      <c r="G115">
        <v>15188</v>
      </c>
      <c r="H115">
        <v>4.34</v>
      </c>
      <c r="I115" t="str">
        <f t="shared" si="3"/>
        <v/>
      </c>
      <c r="J115" t="str">
        <f t="shared" si="2"/>
        <v/>
      </c>
      <c r="K115" s="5" t="str">
        <f>IF(Table1[[#This Row],[Expected_Rent]]&lt;&gt;"", F115/Table1[[#This Row],[Expected_Rent]], "")</f>
        <v/>
      </c>
      <c r="L115" t="s">
        <v>12</v>
      </c>
      <c r="M115">
        <f ca="1">IF(Table1[[#This Row],[Renewal_Status]]="Expired",TODAY()-Table1[[#This Row],[Lease_End]],0)</f>
        <v>0</v>
      </c>
      <c r="N115" s="16">
        <f ca="1">Table1[[#This Row],[Lease_End]]-TODAY()</f>
        <v>-696</v>
      </c>
      <c r="O115" t="str">
        <f ca="1">IF(Table1[[#This Row],[Days_to_Expiry]]&lt;0,"Expired",
IF(Table1[[#This Row],[Days_to_Expiry]]&lt;30,"High Risk",
IF(Table1[[#This Row],[Days_to_Expiry]]&lt;=60,"Medium Risk",
"Safe")))</f>
        <v>Expired</v>
      </c>
    </row>
    <row r="116" spans="1:15" x14ac:dyDescent="0.35">
      <c r="A116" t="s">
        <v>581</v>
      </c>
      <c r="B116" t="s">
        <v>62</v>
      </c>
      <c r="C116" t="s">
        <v>582</v>
      </c>
      <c r="D116" s="1">
        <v>44641</v>
      </c>
      <c r="E116" s="1">
        <v>45736</v>
      </c>
      <c r="F116">
        <v>2453</v>
      </c>
      <c r="G116">
        <v>16178</v>
      </c>
      <c r="H116">
        <v>5.64</v>
      </c>
      <c r="I116">
        <f t="shared" si="3"/>
        <v>6604</v>
      </c>
      <c r="J116">
        <f t="shared" si="2"/>
        <v>6976.4656000000004</v>
      </c>
      <c r="K116" s="5">
        <f>IF(Table1[[#This Row],[Expected_Rent]]&lt;&gt;"", F116/Table1[[#This Row],[Expected_Rent]], "")</f>
        <v>0.351610706716593</v>
      </c>
      <c r="L116" t="s">
        <v>16</v>
      </c>
      <c r="M116">
        <f ca="1">IF(Table1[[#This Row],[Renewal_Status]]="Expired",TODAY()-Table1[[#This Row],[Lease_End]],0)</f>
        <v>0</v>
      </c>
      <c r="N116" s="16">
        <f ca="1">Table1[[#This Row],[Lease_End]]-TODAY()</f>
        <v>-331</v>
      </c>
      <c r="O116" t="str">
        <f ca="1">IF(Table1[[#This Row],[Days_to_Expiry]]&lt;0,"Expired",
IF(Table1[[#This Row],[Days_to_Expiry]]&lt;30,"High Risk",
IF(Table1[[#This Row],[Days_to_Expiry]]&lt;=60,"Medium Risk",
"Safe")))</f>
        <v>Expired</v>
      </c>
    </row>
    <row r="117" spans="1:15" x14ac:dyDescent="0.35">
      <c r="A117" t="s">
        <v>505</v>
      </c>
      <c r="B117" t="s">
        <v>62</v>
      </c>
      <c r="C117" t="s">
        <v>506</v>
      </c>
      <c r="D117" s="1">
        <v>44797</v>
      </c>
      <c r="E117" s="1">
        <v>45527</v>
      </c>
      <c r="F117">
        <v>6800</v>
      </c>
      <c r="G117">
        <v>11071</v>
      </c>
      <c r="H117">
        <v>6.75</v>
      </c>
      <c r="I117">
        <f t="shared" si="3"/>
        <v>2453</v>
      </c>
      <c r="J117">
        <f t="shared" si="2"/>
        <v>2618.5774999999999</v>
      </c>
      <c r="K117" s="5">
        <f>IF(Table1[[#This Row],[Expected_Rent]]&lt;&gt;"", F117/Table1[[#This Row],[Expected_Rent]], "")</f>
        <v>2.5968297673068679</v>
      </c>
      <c r="L117" t="s">
        <v>16</v>
      </c>
      <c r="M117">
        <f ca="1">IF(Table1[[#This Row],[Renewal_Status]]="Expired",TODAY()-Table1[[#This Row],[Lease_End]],0)</f>
        <v>0</v>
      </c>
      <c r="N117" s="16">
        <f ca="1">Table1[[#This Row],[Lease_End]]-TODAY()</f>
        <v>-540</v>
      </c>
      <c r="O117" t="str">
        <f ca="1">IF(Table1[[#This Row],[Days_to_Expiry]]&lt;0,"Expired",
IF(Table1[[#This Row],[Days_to_Expiry]]&lt;30,"High Risk",
IF(Table1[[#This Row],[Days_to_Expiry]]&lt;=60,"Medium Risk",
"Safe")))</f>
        <v>Expired</v>
      </c>
    </row>
    <row r="118" spans="1:15" x14ac:dyDescent="0.35">
      <c r="A118" t="s">
        <v>610</v>
      </c>
      <c r="B118" t="s">
        <v>62</v>
      </c>
      <c r="C118" t="s">
        <v>611</v>
      </c>
      <c r="D118" s="1">
        <v>44880</v>
      </c>
      <c r="E118" s="1">
        <v>45610</v>
      </c>
      <c r="F118">
        <v>6481</v>
      </c>
      <c r="G118">
        <v>7087</v>
      </c>
      <c r="H118">
        <v>4.83</v>
      </c>
      <c r="I118">
        <f t="shared" si="3"/>
        <v>6800</v>
      </c>
      <c r="J118">
        <f t="shared" si="2"/>
        <v>7128.4400000000005</v>
      </c>
      <c r="K118" s="5">
        <f>IF(Table1[[#This Row],[Expected_Rent]]&lt;&gt;"", F118/Table1[[#This Row],[Expected_Rent]], "")</f>
        <v>0.90917507897941197</v>
      </c>
      <c r="L118" t="s">
        <v>20</v>
      </c>
      <c r="M118">
        <f ca="1">IF(Table1[[#This Row],[Renewal_Status]]="Expired",TODAY()-Table1[[#This Row],[Lease_End]],0)</f>
        <v>457</v>
      </c>
      <c r="N118" s="16">
        <f ca="1">Table1[[#This Row],[Lease_End]]-TODAY()</f>
        <v>-457</v>
      </c>
      <c r="O118" t="str">
        <f ca="1">IF(Table1[[#This Row],[Days_to_Expiry]]&lt;0,"Expired",
IF(Table1[[#This Row],[Days_to_Expiry]]&lt;30,"High Risk",
IF(Table1[[#This Row],[Days_to_Expiry]]&lt;=60,"Medium Risk",
"Safe")))</f>
        <v>Expired</v>
      </c>
    </row>
    <row r="119" spans="1:15" x14ac:dyDescent="0.35">
      <c r="A119" t="s">
        <v>61</v>
      </c>
      <c r="B119" t="s">
        <v>62</v>
      </c>
      <c r="C119" t="s">
        <v>63</v>
      </c>
      <c r="D119" s="1">
        <v>45202</v>
      </c>
      <c r="E119" s="1">
        <v>46297</v>
      </c>
      <c r="F119">
        <v>2554</v>
      </c>
      <c r="G119">
        <v>10648</v>
      </c>
      <c r="H119">
        <v>6.37</v>
      </c>
      <c r="I119">
        <f t="shared" si="3"/>
        <v>6481</v>
      </c>
      <c r="J119">
        <f t="shared" si="2"/>
        <v>6893.8397000000004</v>
      </c>
      <c r="K119" s="5">
        <f>IF(Table1[[#This Row],[Expected_Rent]]&lt;&gt;"", F119/Table1[[#This Row],[Expected_Rent]], "")</f>
        <v>0.37047568715588208</v>
      </c>
      <c r="L119" t="s">
        <v>16</v>
      </c>
      <c r="M119">
        <f ca="1">IF(Table1[[#This Row],[Renewal_Status]]="Expired",TODAY()-Table1[[#This Row],[Lease_End]],0)</f>
        <v>0</v>
      </c>
      <c r="N119" s="16">
        <f ca="1">Table1[[#This Row],[Lease_End]]-TODAY()</f>
        <v>230</v>
      </c>
      <c r="O119" t="str">
        <f ca="1">IF(Table1[[#This Row],[Days_to_Expiry]]&lt;0,"Expired",
IF(Table1[[#This Row],[Days_to_Expiry]]&lt;30,"High Risk",
IF(Table1[[#This Row],[Days_to_Expiry]]&lt;=60,"Medium Risk",
"Safe")))</f>
        <v>Safe</v>
      </c>
    </row>
    <row r="120" spans="1:15" x14ac:dyDescent="0.35">
      <c r="A120" t="s">
        <v>215</v>
      </c>
      <c r="B120" t="s">
        <v>210</v>
      </c>
      <c r="C120" t="s">
        <v>216</v>
      </c>
      <c r="D120" s="1">
        <v>44630</v>
      </c>
      <c r="E120" s="1">
        <v>45360</v>
      </c>
      <c r="F120">
        <v>6450</v>
      </c>
      <c r="G120">
        <v>11711</v>
      </c>
      <c r="H120">
        <v>5.23</v>
      </c>
      <c r="I120" t="str">
        <f t="shared" si="3"/>
        <v/>
      </c>
      <c r="J120" t="str">
        <f t="shared" si="2"/>
        <v/>
      </c>
      <c r="K120" s="5" t="str">
        <f>IF(Table1[[#This Row],[Expected_Rent]]&lt;&gt;"", F120/Table1[[#This Row],[Expected_Rent]], "")</f>
        <v/>
      </c>
      <c r="L120" t="s">
        <v>20</v>
      </c>
      <c r="M120">
        <f ca="1">IF(Table1[[#This Row],[Renewal_Status]]="Expired",TODAY()-Table1[[#This Row],[Lease_End]],0)</f>
        <v>707</v>
      </c>
      <c r="N120" s="16">
        <f ca="1">Table1[[#This Row],[Lease_End]]-TODAY()</f>
        <v>-707</v>
      </c>
      <c r="O120" t="str">
        <f ca="1">IF(Table1[[#This Row],[Days_to_Expiry]]&lt;0,"Expired",
IF(Table1[[#This Row],[Days_to_Expiry]]&lt;30,"High Risk",
IF(Table1[[#This Row],[Days_to_Expiry]]&lt;=60,"Medium Risk",
"Safe")))</f>
        <v>Expired</v>
      </c>
    </row>
    <row r="121" spans="1:15" x14ac:dyDescent="0.35">
      <c r="A121" t="s">
        <v>263</v>
      </c>
      <c r="B121" t="s">
        <v>210</v>
      </c>
      <c r="C121" t="s">
        <v>264</v>
      </c>
      <c r="D121" s="1">
        <v>44674</v>
      </c>
      <c r="E121" s="1">
        <v>45039</v>
      </c>
      <c r="F121">
        <v>6285</v>
      </c>
      <c r="G121">
        <v>6609</v>
      </c>
      <c r="H121">
        <v>5.25</v>
      </c>
      <c r="I121">
        <f t="shared" si="3"/>
        <v>6450</v>
      </c>
      <c r="J121">
        <f t="shared" si="2"/>
        <v>6788.625</v>
      </c>
      <c r="K121" s="5">
        <f>IF(Table1[[#This Row],[Expected_Rent]]&lt;&gt;"", F121/Table1[[#This Row],[Expected_Rent]], "")</f>
        <v>0.92581340109374133</v>
      </c>
      <c r="L121" t="s">
        <v>16</v>
      </c>
      <c r="M121">
        <f ca="1">IF(Table1[[#This Row],[Renewal_Status]]="Expired",TODAY()-Table1[[#This Row],[Lease_End]],0)</f>
        <v>0</v>
      </c>
      <c r="N121" s="16">
        <f ca="1">Table1[[#This Row],[Lease_End]]-TODAY()</f>
        <v>-1028</v>
      </c>
      <c r="O121" t="str">
        <f ca="1">IF(Table1[[#This Row],[Days_to_Expiry]]&lt;0,"Expired",
IF(Table1[[#This Row],[Days_to_Expiry]]&lt;30,"High Risk",
IF(Table1[[#This Row],[Days_to_Expiry]]&lt;=60,"Medium Risk",
"Safe")))</f>
        <v>Expired</v>
      </c>
    </row>
    <row r="122" spans="1:15" x14ac:dyDescent="0.35">
      <c r="A122" t="s">
        <v>653</v>
      </c>
      <c r="B122" t="s">
        <v>210</v>
      </c>
      <c r="C122" t="s">
        <v>654</v>
      </c>
      <c r="D122" s="1">
        <v>44736</v>
      </c>
      <c r="E122" s="1">
        <v>45101</v>
      </c>
      <c r="F122">
        <v>6819</v>
      </c>
      <c r="G122">
        <v>16068</v>
      </c>
      <c r="H122">
        <v>3.01</v>
      </c>
      <c r="I122">
        <f t="shared" si="3"/>
        <v>6285</v>
      </c>
      <c r="J122">
        <f t="shared" si="2"/>
        <v>6474.1785</v>
      </c>
      <c r="K122" s="5">
        <f>IF(Table1[[#This Row],[Expected_Rent]]&lt;&gt;"", F122/Table1[[#This Row],[Expected_Rent]], "")</f>
        <v>1.0532610430806009</v>
      </c>
      <c r="L122" t="s">
        <v>20</v>
      </c>
      <c r="M122">
        <f ca="1">IF(Table1[[#This Row],[Renewal_Status]]="Expired",TODAY()-Table1[[#This Row],[Lease_End]],0)</f>
        <v>966</v>
      </c>
      <c r="N122" s="16">
        <f ca="1">Table1[[#This Row],[Lease_End]]-TODAY()</f>
        <v>-966</v>
      </c>
      <c r="O122" t="str">
        <f ca="1">IF(Table1[[#This Row],[Days_to_Expiry]]&lt;0,"Expired",
IF(Table1[[#This Row],[Days_to_Expiry]]&lt;30,"High Risk",
IF(Table1[[#This Row],[Days_to_Expiry]]&lt;=60,"Medium Risk",
"Safe")))</f>
        <v>Expired</v>
      </c>
    </row>
    <row r="123" spans="1:15" x14ac:dyDescent="0.35">
      <c r="A123" t="s">
        <v>276</v>
      </c>
      <c r="B123" t="s">
        <v>210</v>
      </c>
      <c r="C123" t="s">
        <v>277</v>
      </c>
      <c r="D123" s="1">
        <v>44747</v>
      </c>
      <c r="E123" s="1">
        <v>45842</v>
      </c>
      <c r="F123">
        <v>5397</v>
      </c>
      <c r="G123">
        <v>9086</v>
      </c>
      <c r="H123">
        <v>6.81</v>
      </c>
      <c r="I123">
        <f t="shared" si="3"/>
        <v>6819</v>
      </c>
      <c r="J123">
        <f t="shared" si="2"/>
        <v>7283.3739000000005</v>
      </c>
      <c r="K123" s="5">
        <f>IF(Table1[[#This Row],[Expected_Rent]]&lt;&gt;"", F123/Table1[[#This Row],[Expected_Rent]], "")</f>
        <v>0.74100273775591829</v>
      </c>
      <c r="L123" t="s">
        <v>12</v>
      </c>
      <c r="M123">
        <f ca="1">IF(Table1[[#This Row],[Renewal_Status]]="Expired",TODAY()-Table1[[#This Row],[Lease_End]],0)</f>
        <v>0</v>
      </c>
      <c r="N123" s="16">
        <f ca="1">Table1[[#This Row],[Lease_End]]-TODAY()</f>
        <v>-225</v>
      </c>
      <c r="O123" t="str">
        <f ca="1">IF(Table1[[#This Row],[Days_to_Expiry]]&lt;0,"Expired",
IF(Table1[[#This Row],[Days_to_Expiry]]&lt;30,"High Risk",
IF(Table1[[#This Row],[Days_to_Expiry]]&lt;=60,"Medium Risk",
"Safe")))</f>
        <v>Expired</v>
      </c>
    </row>
    <row r="124" spans="1:15" x14ac:dyDescent="0.35">
      <c r="A124" t="s">
        <v>209</v>
      </c>
      <c r="B124" t="s">
        <v>210</v>
      </c>
      <c r="C124" t="s">
        <v>211</v>
      </c>
      <c r="D124" s="1">
        <v>44958</v>
      </c>
      <c r="E124" s="1">
        <v>46053</v>
      </c>
      <c r="F124">
        <v>2706</v>
      </c>
      <c r="G124">
        <v>8961</v>
      </c>
      <c r="H124">
        <v>3.93</v>
      </c>
      <c r="I124">
        <f t="shared" si="3"/>
        <v>5397</v>
      </c>
      <c r="J124">
        <f t="shared" si="2"/>
        <v>5609.1020999999992</v>
      </c>
      <c r="K124" s="5">
        <f>IF(Table1[[#This Row],[Expected_Rent]]&lt;&gt;"", F124/Table1[[#This Row],[Expected_Rent]], "")</f>
        <v>0.4824301557998027</v>
      </c>
      <c r="L124" t="s">
        <v>20</v>
      </c>
      <c r="M124">
        <f ca="1">IF(Table1[[#This Row],[Renewal_Status]]="Expired",TODAY()-Table1[[#This Row],[Lease_End]],0)</f>
        <v>14</v>
      </c>
      <c r="N124" s="16">
        <f ca="1">Table1[[#This Row],[Lease_End]]-TODAY()</f>
        <v>-14</v>
      </c>
      <c r="O124" t="str">
        <f ca="1">IF(Table1[[#This Row],[Days_to_Expiry]]&lt;0,"Expired",
IF(Table1[[#This Row],[Days_to_Expiry]]&lt;30,"High Risk",
IF(Table1[[#This Row],[Days_to_Expiry]]&lt;=60,"Medium Risk",
"Safe")))</f>
        <v>Expired</v>
      </c>
    </row>
    <row r="125" spans="1:15" x14ac:dyDescent="0.35">
      <c r="A125" t="s">
        <v>402</v>
      </c>
      <c r="B125" t="s">
        <v>51</v>
      </c>
      <c r="C125" t="s">
        <v>403</v>
      </c>
      <c r="D125" s="1">
        <v>44570</v>
      </c>
      <c r="E125" s="1">
        <v>45300</v>
      </c>
      <c r="F125">
        <v>4986</v>
      </c>
      <c r="G125">
        <v>16334</v>
      </c>
      <c r="H125">
        <v>7.16</v>
      </c>
      <c r="I125" t="str">
        <f t="shared" si="3"/>
        <v/>
      </c>
      <c r="J125" t="str">
        <f t="shared" si="2"/>
        <v/>
      </c>
      <c r="K125" s="5" t="str">
        <f>IF(Table1[[#This Row],[Expected_Rent]]&lt;&gt;"", F125/Table1[[#This Row],[Expected_Rent]], "")</f>
        <v/>
      </c>
      <c r="L125" t="s">
        <v>20</v>
      </c>
      <c r="M125">
        <f ca="1">IF(Table1[[#This Row],[Renewal_Status]]="Expired",TODAY()-Table1[[#This Row],[Lease_End]],0)</f>
        <v>767</v>
      </c>
      <c r="N125" s="16">
        <f ca="1">Table1[[#This Row],[Lease_End]]-TODAY()</f>
        <v>-767</v>
      </c>
      <c r="O125" t="str">
        <f ca="1">IF(Table1[[#This Row],[Days_to_Expiry]]&lt;0,"Expired",
IF(Table1[[#This Row],[Days_to_Expiry]]&lt;30,"High Risk",
IF(Table1[[#This Row],[Days_to_Expiry]]&lt;=60,"Medium Risk",
"Safe")))</f>
        <v>Expired</v>
      </c>
    </row>
    <row r="126" spans="1:15" x14ac:dyDescent="0.35">
      <c r="A126" t="s">
        <v>110</v>
      </c>
      <c r="B126" t="s">
        <v>51</v>
      </c>
      <c r="C126" t="s">
        <v>111</v>
      </c>
      <c r="D126" s="1">
        <v>44822</v>
      </c>
      <c r="E126" s="1">
        <v>45187</v>
      </c>
      <c r="F126">
        <v>5204</v>
      </c>
      <c r="G126">
        <v>16175</v>
      </c>
      <c r="H126">
        <v>6.17</v>
      </c>
      <c r="I126">
        <f t="shared" si="3"/>
        <v>4986</v>
      </c>
      <c r="J126">
        <f t="shared" si="2"/>
        <v>5293.6362000000008</v>
      </c>
      <c r="K126" s="5">
        <f>IF(Table1[[#This Row],[Expected_Rent]]&lt;&gt;"", F126/Table1[[#This Row],[Expected_Rent]], "")</f>
        <v>0.98306717790693643</v>
      </c>
      <c r="L126" t="s">
        <v>20</v>
      </c>
      <c r="M126">
        <f ca="1">IF(Table1[[#This Row],[Renewal_Status]]="Expired",TODAY()-Table1[[#This Row],[Lease_End]],0)</f>
        <v>880</v>
      </c>
      <c r="N126" s="16">
        <f ca="1">Table1[[#This Row],[Lease_End]]-TODAY()</f>
        <v>-880</v>
      </c>
      <c r="O126" t="str">
        <f ca="1">IF(Table1[[#This Row],[Days_to_Expiry]]&lt;0,"Expired",
IF(Table1[[#This Row],[Days_to_Expiry]]&lt;30,"High Risk",
IF(Table1[[#This Row],[Days_to_Expiry]]&lt;=60,"Medium Risk",
"Safe")))</f>
        <v>Expired</v>
      </c>
    </row>
    <row r="127" spans="1:15" x14ac:dyDescent="0.35">
      <c r="A127" t="s">
        <v>50</v>
      </c>
      <c r="B127" t="s">
        <v>51</v>
      </c>
      <c r="C127" t="s">
        <v>52</v>
      </c>
      <c r="D127" s="1">
        <v>44824</v>
      </c>
      <c r="E127" s="1">
        <v>45554</v>
      </c>
      <c r="F127">
        <v>6535</v>
      </c>
      <c r="G127">
        <v>19140</v>
      </c>
      <c r="H127">
        <v>5.74</v>
      </c>
      <c r="I127">
        <f t="shared" si="3"/>
        <v>5204</v>
      </c>
      <c r="J127">
        <f t="shared" si="2"/>
        <v>5502.7095999999992</v>
      </c>
      <c r="K127" s="5">
        <f>IF(Table1[[#This Row],[Expected_Rent]]&lt;&gt;"", F127/Table1[[#This Row],[Expected_Rent]], "")</f>
        <v>1.1875967432480901</v>
      </c>
      <c r="L127" t="s">
        <v>20</v>
      </c>
      <c r="M127">
        <f ca="1">IF(Table1[[#This Row],[Renewal_Status]]="Expired",TODAY()-Table1[[#This Row],[Lease_End]],0)</f>
        <v>513</v>
      </c>
      <c r="N127" s="16">
        <f ca="1">Table1[[#This Row],[Lease_End]]-TODAY()</f>
        <v>-513</v>
      </c>
      <c r="O127" t="str">
        <f ca="1">IF(Table1[[#This Row],[Days_to_Expiry]]&lt;0,"Expired",
IF(Table1[[#This Row],[Days_to_Expiry]]&lt;30,"High Risk",
IF(Table1[[#This Row],[Days_to_Expiry]]&lt;=60,"Medium Risk",
"Safe")))</f>
        <v>Expired</v>
      </c>
    </row>
    <row r="128" spans="1:15" x14ac:dyDescent="0.35">
      <c r="A128" t="s">
        <v>171</v>
      </c>
      <c r="B128" t="s">
        <v>51</v>
      </c>
      <c r="C128" t="s">
        <v>172</v>
      </c>
      <c r="D128" s="1">
        <v>44935</v>
      </c>
      <c r="E128" s="1">
        <v>46030</v>
      </c>
      <c r="F128">
        <v>4398</v>
      </c>
      <c r="G128">
        <v>17112</v>
      </c>
      <c r="H128">
        <v>6.2</v>
      </c>
      <c r="I128">
        <f t="shared" si="3"/>
        <v>6535</v>
      </c>
      <c r="J128">
        <f t="shared" si="2"/>
        <v>6940.17</v>
      </c>
      <c r="K128" s="5">
        <f>IF(Table1[[#This Row],[Expected_Rent]]&lt;&gt;"", F128/Table1[[#This Row],[Expected_Rent]], "")</f>
        <v>0.63370205628968745</v>
      </c>
      <c r="L128" t="s">
        <v>12</v>
      </c>
      <c r="M128">
        <f ca="1">IF(Table1[[#This Row],[Renewal_Status]]="Expired",TODAY()-Table1[[#This Row],[Lease_End]],0)</f>
        <v>0</v>
      </c>
      <c r="N128" s="16">
        <f ca="1">Table1[[#This Row],[Lease_End]]-TODAY()</f>
        <v>-37</v>
      </c>
      <c r="O128" t="str">
        <f ca="1">IF(Table1[[#This Row],[Days_to_Expiry]]&lt;0,"Expired",
IF(Table1[[#This Row],[Days_to_Expiry]]&lt;30,"High Risk",
IF(Table1[[#This Row],[Days_to_Expiry]]&lt;=60,"Medium Risk",
"Safe")))</f>
        <v>Expired</v>
      </c>
    </row>
    <row r="129" spans="1:15" x14ac:dyDescent="0.35">
      <c r="A129" t="s">
        <v>290</v>
      </c>
      <c r="B129" t="s">
        <v>51</v>
      </c>
      <c r="C129" t="s">
        <v>291</v>
      </c>
      <c r="D129" s="1">
        <v>45035</v>
      </c>
      <c r="E129" s="1">
        <v>46130</v>
      </c>
      <c r="F129">
        <v>2779</v>
      </c>
      <c r="G129">
        <v>9200</v>
      </c>
      <c r="H129">
        <v>4.93</v>
      </c>
      <c r="I129">
        <f t="shared" si="3"/>
        <v>4398</v>
      </c>
      <c r="J129">
        <f t="shared" si="2"/>
        <v>4614.8213999999998</v>
      </c>
      <c r="K129" s="5">
        <f>IF(Table1[[#This Row],[Expected_Rent]]&lt;&gt;"", F129/Table1[[#This Row],[Expected_Rent]], "")</f>
        <v>0.60219015193090686</v>
      </c>
      <c r="L129" t="s">
        <v>20</v>
      </c>
      <c r="M129">
        <f ca="1">IF(Table1[[#This Row],[Renewal_Status]]="Expired",TODAY()-Table1[[#This Row],[Lease_End]],0)</f>
        <v>-63</v>
      </c>
      <c r="N129" s="16">
        <f ca="1">Table1[[#This Row],[Lease_End]]-TODAY()</f>
        <v>63</v>
      </c>
      <c r="O129" t="str">
        <f ca="1">IF(Table1[[#This Row],[Days_to_Expiry]]&lt;0,"Expired",
IF(Table1[[#This Row],[Days_to_Expiry]]&lt;30,"High Risk",
IF(Table1[[#This Row],[Days_to_Expiry]]&lt;=60,"Medium Risk",
"Safe")))</f>
        <v>Safe</v>
      </c>
    </row>
    <row r="130" spans="1:15" x14ac:dyDescent="0.35">
      <c r="A130" t="s">
        <v>555</v>
      </c>
      <c r="B130" t="s">
        <v>346</v>
      </c>
      <c r="C130" t="s">
        <v>556</v>
      </c>
      <c r="D130" s="1">
        <v>44824</v>
      </c>
      <c r="E130" s="1">
        <v>45919</v>
      </c>
      <c r="F130">
        <v>5529</v>
      </c>
      <c r="G130">
        <v>18666</v>
      </c>
      <c r="H130">
        <v>5.05</v>
      </c>
      <c r="I130" t="str">
        <f t="shared" si="3"/>
        <v/>
      </c>
      <c r="J130" t="str">
        <f t="shared" ref="J130:J193" si="4">IF(I130&lt;&gt;"", I130*(1+H130/100), "")</f>
        <v/>
      </c>
      <c r="K130" s="5" t="str">
        <f>IF(Table1[[#This Row],[Expected_Rent]]&lt;&gt;"", F130/Table1[[#This Row],[Expected_Rent]], "")</f>
        <v/>
      </c>
      <c r="L130" t="s">
        <v>20</v>
      </c>
      <c r="M130">
        <f ca="1">IF(Table1[[#This Row],[Renewal_Status]]="Expired",TODAY()-Table1[[#This Row],[Lease_End]],0)</f>
        <v>148</v>
      </c>
      <c r="N130" s="16">
        <f ca="1">Table1[[#This Row],[Lease_End]]-TODAY()</f>
        <v>-148</v>
      </c>
      <c r="O130" t="str">
        <f ca="1">IF(Table1[[#This Row],[Days_to_Expiry]]&lt;0,"Expired",
IF(Table1[[#This Row],[Days_to_Expiry]]&lt;30,"High Risk",
IF(Table1[[#This Row],[Days_to_Expiry]]&lt;=60,"Medium Risk",
"Safe")))</f>
        <v>Expired</v>
      </c>
    </row>
    <row r="131" spans="1:15" x14ac:dyDescent="0.35">
      <c r="A131" t="s">
        <v>345</v>
      </c>
      <c r="B131" t="s">
        <v>346</v>
      </c>
      <c r="C131" t="s">
        <v>347</v>
      </c>
      <c r="D131" s="1">
        <v>44870</v>
      </c>
      <c r="E131" s="1">
        <v>45600</v>
      </c>
      <c r="F131">
        <v>3110</v>
      </c>
      <c r="G131">
        <v>6176</v>
      </c>
      <c r="H131">
        <v>7.69</v>
      </c>
      <c r="I131">
        <f t="shared" ref="I131:I194" si="5">IF(B131=B130, F130, "")</f>
        <v>5529</v>
      </c>
      <c r="J131">
        <f t="shared" si="4"/>
        <v>5954.1800999999996</v>
      </c>
      <c r="K131" s="5">
        <f>IF(Table1[[#This Row],[Expected_Rent]]&lt;&gt;"", F131/Table1[[#This Row],[Expected_Rent]], "")</f>
        <v>0.52232212458605343</v>
      </c>
      <c r="L131" t="s">
        <v>16</v>
      </c>
      <c r="M131">
        <f ca="1">IF(Table1[[#This Row],[Renewal_Status]]="Expired",TODAY()-Table1[[#This Row],[Lease_End]],0)</f>
        <v>0</v>
      </c>
      <c r="N131" s="16">
        <f ca="1">Table1[[#This Row],[Lease_End]]-TODAY()</f>
        <v>-467</v>
      </c>
      <c r="O131" t="str">
        <f ca="1">IF(Table1[[#This Row],[Days_to_Expiry]]&lt;0,"Expired",
IF(Table1[[#This Row],[Days_to_Expiry]]&lt;30,"High Risk",
IF(Table1[[#This Row],[Days_to_Expiry]]&lt;=60,"Medium Risk",
"Safe")))</f>
        <v>Expired</v>
      </c>
    </row>
    <row r="132" spans="1:15" x14ac:dyDescent="0.35">
      <c r="A132" t="s">
        <v>700</v>
      </c>
      <c r="B132" t="s">
        <v>346</v>
      </c>
      <c r="C132" t="s">
        <v>701</v>
      </c>
      <c r="D132" s="1">
        <v>44956</v>
      </c>
      <c r="E132" s="1">
        <v>46051</v>
      </c>
      <c r="F132">
        <v>2819</v>
      </c>
      <c r="G132">
        <v>6889</v>
      </c>
      <c r="H132">
        <v>4.8099999999999996</v>
      </c>
      <c r="I132">
        <f t="shared" si="5"/>
        <v>3110</v>
      </c>
      <c r="J132">
        <f t="shared" si="4"/>
        <v>3259.5909999999999</v>
      </c>
      <c r="K132" s="5">
        <f>IF(Table1[[#This Row],[Expected_Rent]]&lt;&gt;"", F132/Table1[[#This Row],[Expected_Rent]], "")</f>
        <v>0.86483242836294494</v>
      </c>
      <c r="L132" t="s">
        <v>12</v>
      </c>
      <c r="M132">
        <f ca="1">IF(Table1[[#This Row],[Renewal_Status]]="Expired",TODAY()-Table1[[#This Row],[Lease_End]],0)</f>
        <v>0</v>
      </c>
      <c r="N132" s="16">
        <f ca="1">Table1[[#This Row],[Lease_End]]-TODAY()</f>
        <v>-16</v>
      </c>
      <c r="O132" t="str">
        <f ca="1">IF(Table1[[#This Row],[Days_to_Expiry]]&lt;0,"Expired",
IF(Table1[[#This Row],[Days_to_Expiry]]&lt;30,"High Risk",
IF(Table1[[#This Row],[Days_to_Expiry]]&lt;=60,"Medium Risk",
"Safe")))</f>
        <v>Expired</v>
      </c>
    </row>
    <row r="133" spans="1:15" x14ac:dyDescent="0.35">
      <c r="A133" t="s">
        <v>614</v>
      </c>
      <c r="B133" t="s">
        <v>303</v>
      </c>
      <c r="C133" t="s">
        <v>615</v>
      </c>
      <c r="D133" s="1">
        <v>44670</v>
      </c>
      <c r="E133" s="1">
        <v>45400</v>
      </c>
      <c r="F133">
        <v>3003</v>
      </c>
      <c r="G133">
        <v>5605</v>
      </c>
      <c r="H133">
        <v>3.99</v>
      </c>
      <c r="I133" t="str">
        <f t="shared" si="5"/>
        <v/>
      </c>
      <c r="J133" t="str">
        <f t="shared" si="4"/>
        <v/>
      </c>
      <c r="K133" s="5" t="str">
        <f>IF(Table1[[#This Row],[Expected_Rent]]&lt;&gt;"", F133/Table1[[#This Row],[Expected_Rent]], "")</f>
        <v/>
      </c>
      <c r="L133" t="s">
        <v>12</v>
      </c>
      <c r="M133">
        <f ca="1">IF(Table1[[#This Row],[Renewal_Status]]="Expired",TODAY()-Table1[[#This Row],[Lease_End]],0)</f>
        <v>0</v>
      </c>
      <c r="N133" s="16">
        <f ca="1">Table1[[#This Row],[Lease_End]]-TODAY()</f>
        <v>-667</v>
      </c>
      <c r="O133" t="str">
        <f ca="1">IF(Table1[[#This Row],[Days_to_Expiry]]&lt;0,"Expired",
IF(Table1[[#This Row],[Days_to_Expiry]]&lt;30,"High Risk",
IF(Table1[[#This Row],[Days_to_Expiry]]&lt;=60,"Medium Risk",
"Safe")))</f>
        <v>Expired</v>
      </c>
    </row>
    <row r="134" spans="1:15" x14ac:dyDescent="0.35">
      <c r="A134" t="s">
        <v>302</v>
      </c>
      <c r="B134" t="s">
        <v>303</v>
      </c>
      <c r="C134" t="s">
        <v>304</v>
      </c>
      <c r="D134" s="1">
        <v>45116</v>
      </c>
      <c r="E134" s="1">
        <v>45481</v>
      </c>
      <c r="F134">
        <v>3922</v>
      </c>
      <c r="G134">
        <v>9172</v>
      </c>
      <c r="H134">
        <v>7.37</v>
      </c>
      <c r="I134">
        <f t="shared" si="5"/>
        <v>3003</v>
      </c>
      <c r="J134">
        <f t="shared" si="4"/>
        <v>3224.3211000000001</v>
      </c>
      <c r="K134" s="5">
        <f>IF(Table1[[#This Row],[Expected_Rent]]&lt;&gt;"", F134/Table1[[#This Row],[Expected_Rent]], "")</f>
        <v>1.2163800931613169</v>
      </c>
      <c r="L134" t="s">
        <v>16</v>
      </c>
      <c r="M134">
        <f ca="1">IF(Table1[[#This Row],[Renewal_Status]]="Expired",TODAY()-Table1[[#This Row],[Lease_End]],0)</f>
        <v>0</v>
      </c>
      <c r="N134" s="16">
        <f ca="1">Table1[[#This Row],[Lease_End]]-TODAY()</f>
        <v>-586</v>
      </c>
      <c r="O134" t="str">
        <f ca="1">IF(Table1[[#This Row],[Days_to_Expiry]]&lt;0,"Expired",
IF(Table1[[#This Row],[Days_to_Expiry]]&lt;30,"High Risk",
IF(Table1[[#This Row],[Days_to_Expiry]]&lt;=60,"Medium Risk",
"Safe")))</f>
        <v>Expired</v>
      </c>
    </row>
    <row r="135" spans="1:15" x14ac:dyDescent="0.35">
      <c r="A135" t="s">
        <v>637</v>
      </c>
      <c r="B135" t="s">
        <v>169</v>
      </c>
      <c r="C135" t="s">
        <v>638</v>
      </c>
      <c r="D135" s="1">
        <v>44919</v>
      </c>
      <c r="E135" s="1">
        <v>45284</v>
      </c>
      <c r="F135">
        <v>5191</v>
      </c>
      <c r="G135">
        <v>12724</v>
      </c>
      <c r="H135">
        <v>4.28</v>
      </c>
      <c r="I135" t="str">
        <f t="shared" si="5"/>
        <v/>
      </c>
      <c r="J135" t="str">
        <f t="shared" si="4"/>
        <v/>
      </c>
      <c r="K135" s="5" t="str">
        <f>IF(Table1[[#This Row],[Expected_Rent]]&lt;&gt;"", F135/Table1[[#This Row],[Expected_Rent]], "")</f>
        <v/>
      </c>
      <c r="L135" t="s">
        <v>20</v>
      </c>
      <c r="M135">
        <f ca="1">IF(Table1[[#This Row],[Renewal_Status]]="Expired",TODAY()-Table1[[#This Row],[Lease_End]],0)</f>
        <v>783</v>
      </c>
      <c r="N135" s="16">
        <f ca="1">Table1[[#This Row],[Lease_End]]-TODAY()</f>
        <v>-783</v>
      </c>
      <c r="O135" t="str">
        <f ca="1">IF(Table1[[#This Row],[Days_to_Expiry]]&lt;0,"Expired",
IF(Table1[[#This Row],[Days_to_Expiry]]&lt;30,"High Risk",
IF(Table1[[#This Row],[Days_to_Expiry]]&lt;=60,"Medium Risk",
"Safe")))</f>
        <v>Expired</v>
      </c>
    </row>
    <row r="136" spans="1:15" x14ac:dyDescent="0.35">
      <c r="A136" t="s">
        <v>486</v>
      </c>
      <c r="B136" t="s">
        <v>169</v>
      </c>
      <c r="C136" t="s">
        <v>487</v>
      </c>
      <c r="D136" s="1">
        <v>44944</v>
      </c>
      <c r="E136" s="1">
        <v>46039</v>
      </c>
      <c r="F136">
        <v>5512</v>
      </c>
      <c r="G136">
        <v>6660</v>
      </c>
      <c r="H136">
        <v>7.24</v>
      </c>
      <c r="I136">
        <f t="shared" si="5"/>
        <v>5191</v>
      </c>
      <c r="J136">
        <f t="shared" si="4"/>
        <v>5566.8284000000003</v>
      </c>
      <c r="K136" s="5">
        <f>IF(Table1[[#This Row],[Expected_Rent]]&lt;&gt;"", F136/Table1[[#This Row],[Expected_Rent]], "")</f>
        <v>0.99015087298182203</v>
      </c>
      <c r="L136" t="s">
        <v>12</v>
      </c>
      <c r="M136">
        <f ca="1">IF(Table1[[#This Row],[Renewal_Status]]="Expired",TODAY()-Table1[[#This Row],[Lease_End]],0)</f>
        <v>0</v>
      </c>
      <c r="N136" s="16">
        <f ca="1">Table1[[#This Row],[Lease_End]]-TODAY()</f>
        <v>-28</v>
      </c>
      <c r="O136" t="str">
        <f ca="1">IF(Table1[[#This Row],[Days_to_Expiry]]&lt;0,"Expired",
IF(Table1[[#This Row],[Days_to_Expiry]]&lt;30,"High Risk",
IF(Table1[[#This Row],[Days_to_Expiry]]&lt;=60,"Medium Risk",
"Safe")))</f>
        <v>Expired</v>
      </c>
    </row>
    <row r="137" spans="1:15" x14ac:dyDescent="0.35">
      <c r="A137" t="s">
        <v>168</v>
      </c>
      <c r="B137" t="s">
        <v>169</v>
      </c>
      <c r="C137" t="s">
        <v>170</v>
      </c>
      <c r="D137" s="1">
        <v>45230</v>
      </c>
      <c r="E137" s="1">
        <v>45595</v>
      </c>
      <c r="F137">
        <v>4008</v>
      </c>
      <c r="G137">
        <v>18620</v>
      </c>
      <c r="H137">
        <v>4.67</v>
      </c>
      <c r="I137">
        <f t="shared" si="5"/>
        <v>5512</v>
      </c>
      <c r="J137">
        <f t="shared" si="4"/>
        <v>5769.4103999999998</v>
      </c>
      <c r="K137" s="5">
        <f>IF(Table1[[#This Row],[Expected_Rent]]&lt;&gt;"", F137/Table1[[#This Row],[Expected_Rent]], "")</f>
        <v>0.69469836987155575</v>
      </c>
      <c r="L137" t="s">
        <v>16</v>
      </c>
      <c r="M137">
        <f ca="1">IF(Table1[[#This Row],[Renewal_Status]]="Expired",TODAY()-Table1[[#This Row],[Lease_End]],0)</f>
        <v>0</v>
      </c>
      <c r="N137" s="16">
        <f ca="1">Table1[[#This Row],[Lease_End]]-TODAY()</f>
        <v>-472</v>
      </c>
      <c r="O137" t="str">
        <f ca="1">IF(Table1[[#This Row],[Days_to_Expiry]]&lt;0,"Expired",
IF(Table1[[#This Row],[Days_to_Expiry]]&lt;30,"High Risk",
IF(Table1[[#This Row],[Days_to_Expiry]]&lt;=60,"Medium Risk",
"Safe")))</f>
        <v>Expired</v>
      </c>
    </row>
    <row r="138" spans="1:15" x14ac:dyDescent="0.35">
      <c r="A138" t="s">
        <v>659</v>
      </c>
      <c r="B138" t="s">
        <v>660</v>
      </c>
      <c r="C138" t="s">
        <v>661</v>
      </c>
      <c r="D138" s="1">
        <v>44573</v>
      </c>
      <c r="E138" s="1">
        <v>45668</v>
      </c>
      <c r="F138">
        <v>2803</v>
      </c>
      <c r="G138">
        <v>5895</v>
      </c>
      <c r="H138">
        <v>5.09</v>
      </c>
      <c r="I138" t="str">
        <f t="shared" si="5"/>
        <v/>
      </c>
      <c r="J138" t="str">
        <f t="shared" si="4"/>
        <v/>
      </c>
      <c r="K138" s="5" t="str">
        <f>IF(Table1[[#This Row],[Expected_Rent]]&lt;&gt;"", F138/Table1[[#This Row],[Expected_Rent]], "")</f>
        <v/>
      </c>
      <c r="L138" t="s">
        <v>16</v>
      </c>
      <c r="M138">
        <f ca="1">IF(Table1[[#This Row],[Renewal_Status]]="Expired",TODAY()-Table1[[#This Row],[Lease_End]],0)</f>
        <v>0</v>
      </c>
      <c r="N138" s="16">
        <f ca="1">Table1[[#This Row],[Lease_End]]-TODAY()</f>
        <v>-399</v>
      </c>
      <c r="O138" t="str">
        <f ca="1">IF(Table1[[#This Row],[Days_to_Expiry]]&lt;0,"Expired",
IF(Table1[[#This Row],[Days_to_Expiry]]&lt;30,"High Risk",
IF(Table1[[#This Row],[Days_to_Expiry]]&lt;=60,"Medium Risk",
"Safe")))</f>
        <v>Expired</v>
      </c>
    </row>
    <row r="139" spans="1:15" x14ac:dyDescent="0.35">
      <c r="A139" t="s">
        <v>543</v>
      </c>
      <c r="B139" t="s">
        <v>544</v>
      </c>
      <c r="C139" t="s">
        <v>545</v>
      </c>
      <c r="D139" s="1">
        <v>44817</v>
      </c>
      <c r="E139" s="1">
        <v>45182</v>
      </c>
      <c r="F139">
        <v>4616</v>
      </c>
      <c r="G139">
        <v>16014</v>
      </c>
      <c r="H139">
        <v>6.57</v>
      </c>
      <c r="I139" t="str">
        <f t="shared" si="5"/>
        <v/>
      </c>
      <c r="J139" t="str">
        <f t="shared" si="4"/>
        <v/>
      </c>
      <c r="K139" s="5" t="str">
        <f>IF(Table1[[#This Row],[Expected_Rent]]&lt;&gt;"", F139/Table1[[#This Row],[Expected_Rent]], "")</f>
        <v/>
      </c>
      <c r="L139" t="s">
        <v>20</v>
      </c>
      <c r="M139">
        <f ca="1">IF(Table1[[#This Row],[Renewal_Status]]="Expired",TODAY()-Table1[[#This Row],[Lease_End]],0)</f>
        <v>885</v>
      </c>
      <c r="N139" s="16">
        <f ca="1">Table1[[#This Row],[Lease_End]]-TODAY()</f>
        <v>-885</v>
      </c>
      <c r="O139" t="str">
        <f ca="1">IF(Table1[[#This Row],[Days_to_Expiry]]&lt;0,"Expired",
IF(Table1[[#This Row],[Days_to_Expiry]]&lt;30,"High Risk",
IF(Table1[[#This Row],[Days_to_Expiry]]&lt;=60,"Medium Risk",
"Safe")))</f>
        <v>Expired</v>
      </c>
    </row>
    <row r="140" spans="1:15" x14ac:dyDescent="0.35">
      <c r="A140" t="s">
        <v>134</v>
      </c>
      <c r="B140" t="s">
        <v>135</v>
      </c>
      <c r="C140" t="s">
        <v>136</v>
      </c>
      <c r="D140" s="1">
        <v>44907</v>
      </c>
      <c r="E140" s="1">
        <v>46002</v>
      </c>
      <c r="F140">
        <v>5007</v>
      </c>
      <c r="G140">
        <v>14733</v>
      </c>
      <c r="H140">
        <v>4.38</v>
      </c>
      <c r="I140" t="str">
        <f t="shared" si="5"/>
        <v/>
      </c>
      <c r="J140" t="str">
        <f t="shared" si="4"/>
        <v/>
      </c>
      <c r="K140" s="5" t="str">
        <f>IF(Table1[[#This Row],[Expected_Rent]]&lt;&gt;"", F140/Table1[[#This Row],[Expected_Rent]], "")</f>
        <v/>
      </c>
      <c r="L140" t="s">
        <v>16</v>
      </c>
      <c r="M140">
        <f ca="1">IF(Table1[[#This Row],[Renewal_Status]]="Expired",TODAY()-Table1[[#This Row],[Lease_End]],0)</f>
        <v>0</v>
      </c>
      <c r="N140" s="16">
        <f ca="1">Table1[[#This Row],[Lease_End]]-TODAY()</f>
        <v>-65</v>
      </c>
      <c r="O140" t="str">
        <f ca="1">IF(Table1[[#This Row],[Days_to_Expiry]]&lt;0,"Expired",
IF(Table1[[#This Row],[Days_to_Expiry]]&lt;30,"High Risk",
IF(Table1[[#This Row],[Days_to_Expiry]]&lt;=60,"Medium Risk",
"Safe")))</f>
        <v>Expired</v>
      </c>
    </row>
    <row r="141" spans="1:15" x14ac:dyDescent="0.35">
      <c r="A141" t="s">
        <v>436</v>
      </c>
      <c r="B141" t="s">
        <v>135</v>
      </c>
      <c r="C141" t="s">
        <v>437</v>
      </c>
      <c r="D141" s="1">
        <v>45043</v>
      </c>
      <c r="E141" s="1">
        <v>45408</v>
      </c>
      <c r="F141">
        <v>6852</v>
      </c>
      <c r="G141">
        <v>15438</v>
      </c>
      <c r="H141">
        <v>7.22</v>
      </c>
      <c r="I141">
        <f t="shared" si="5"/>
        <v>5007</v>
      </c>
      <c r="J141">
        <f t="shared" si="4"/>
        <v>5368.5054</v>
      </c>
      <c r="K141" s="5">
        <f>IF(Table1[[#This Row],[Expected_Rent]]&lt;&gt;"", F141/Table1[[#This Row],[Expected_Rent]], "")</f>
        <v>1.2763328877344522</v>
      </c>
      <c r="L141" t="s">
        <v>20</v>
      </c>
      <c r="M141">
        <f ca="1">IF(Table1[[#This Row],[Renewal_Status]]="Expired",TODAY()-Table1[[#This Row],[Lease_End]],0)</f>
        <v>659</v>
      </c>
      <c r="N141" s="16">
        <f ca="1">Table1[[#This Row],[Lease_End]]-TODAY()</f>
        <v>-659</v>
      </c>
      <c r="O141" t="str">
        <f ca="1">IF(Table1[[#This Row],[Days_to_Expiry]]&lt;0,"Expired",
IF(Table1[[#This Row],[Days_to_Expiry]]&lt;30,"High Risk",
IF(Table1[[#This Row],[Days_to_Expiry]]&lt;=60,"Medium Risk",
"Safe")))</f>
        <v>Expired</v>
      </c>
    </row>
    <row r="142" spans="1:15" x14ac:dyDescent="0.35">
      <c r="A142" t="s">
        <v>392</v>
      </c>
      <c r="B142" t="s">
        <v>393</v>
      </c>
      <c r="C142" t="s">
        <v>394</v>
      </c>
      <c r="D142" s="1">
        <v>45138</v>
      </c>
      <c r="E142" s="1">
        <v>45868</v>
      </c>
      <c r="F142">
        <v>2861</v>
      </c>
      <c r="G142">
        <v>13817</v>
      </c>
      <c r="H142">
        <v>5.18</v>
      </c>
      <c r="I142" t="str">
        <f t="shared" si="5"/>
        <v/>
      </c>
      <c r="J142" t="str">
        <f t="shared" si="4"/>
        <v/>
      </c>
      <c r="K142" s="5" t="str">
        <f>IF(Table1[[#This Row],[Expected_Rent]]&lt;&gt;"", F142/Table1[[#This Row],[Expected_Rent]], "")</f>
        <v/>
      </c>
      <c r="L142" t="s">
        <v>16</v>
      </c>
      <c r="M142">
        <f ca="1">IF(Table1[[#This Row],[Renewal_Status]]="Expired",TODAY()-Table1[[#This Row],[Lease_End]],0)</f>
        <v>0</v>
      </c>
      <c r="N142" s="16">
        <f ca="1">Table1[[#This Row],[Lease_End]]-TODAY()</f>
        <v>-199</v>
      </c>
      <c r="O142" t="str">
        <f ca="1">IF(Table1[[#This Row],[Days_to_Expiry]]&lt;0,"Expired",
IF(Table1[[#This Row],[Days_to_Expiry]]&lt;30,"High Risk",
IF(Table1[[#This Row],[Days_to_Expiry]]&lt;=60,"Medium Risk",
"Safe")))</f>
        <v>Expired</v>
      </c>
    </row>
    <row r="143" spans="1:15" x14ac:dyDescent="0.35">
      <c r="A143" t="s">
        <v>705</v>
      </c>
      <c r="B143" t="s">
        <v>18</v>
      </c>
      <c r="C143" t="s">
        <v>706</v>
      </c>
      <c r="D143" s="1">
        <v>44652</v>
      </c>
      <c r="E143" s="1">
        <v>45382</v>
      </c>
      <c r="F143">
        <v>3043</v>
      </c>
      <c r="G143">
        <v>7843</v>
      </c>
      <c r="H143">
        <v>4.55</v>
      </c>
      <c r="I143" t="str">
        <f t="shared" si="5"/>
        <v/>
      </c>
      <c r="J143" t="str">
        <f t="shared" si="4"/>
        <v/>
      </c>
      <c r="K143" s="5" t="str">
        <f>IF(Table1[[#This Row],[Expected_Rent]]&lt;&gt;"", F143/Table1[[#This Row],[Expected_Rent]], "")</f>
        <v/>
      </c>
      <c r="L143" t="s">
        <v>16</v>
      </c>
      <c r="M143">
        <f ca="1">IF(Table1[[#This Row],[Renewal_Status]]="Expired",TODAY()-Table1[[#This Row],[Lease_End]],0)</f>
        <v>0</v>
      </c>
      <c r="N143" s="16">
        <f ca="1">Table1[[#This Row],[Lease_End]]-TODAY()</f>
        <v>-685</v>
      </c>
      <c r="O143" t="str">
        <f ca="1">IF(Table1[[#This Row],[Days_to_Expiry]]&lt;0,"Expired",
IF(Table1[[#This Row],[Days_to_Expiry]]&lt;30,"High Risk",
IF(Table1[[#This Row],[Days_to_Expiry]]&lt;=60,"Medium Risk",
"Safe")))</f>
        <v>Expired</v>
      </c>
    </row>
    <row r="144" spans="1:15" x14ac:dyDescent="0.35">
      <c r="A144" t="s">
        <v>719</v>
      </c>
      <c r="B144" t="s">
        <v>18</v>
      </c>
      <c r="C144" t="s">
        <v>720</v>
      </c>
      <c r="D144" s="1">
        <v>44893</v>
      </c>
      <c r="E144" s="1">
        <v>45988</v>
      </c>
      <c r="F144">
        <v>3786</v>
      </c>
      <c r="G144">
        <v>10771</v>
      </c>
      <c r="H144">
        <v>6.98</v>
      </c>
      <c r="I144">
        <f t="shared" si="5"/>
        <v>3043</v>
      </c>
      <c r="J144">
        <f t="shared" si="4"/>
        <v>3255.4014000000002</v>
      </c>
      <c r="K144" s="5">
        <f>IF(Table1[[#This Row],[Expected_Rent]]&lt;&gt;"", F144/Table1[[#This Row],[Expected_Rent]], "")</f>
        <v>1.1629902229568372</v>
      </c>
      <c r="L144" t="s">
        <v>12</v>
      </c>
      <c r="M144">
        <f ca="1">IF(Table1[[#This Row],[Renewal_Status]]="Expired",TODAY()-Table1[[#This Row],[Lease_End]],0)</f>
        <v>0</v>
      </c>
      <c r="N144" s="16">
        <f ca="1">Table1[[#This Row],[Lease_End]]-TODAY()</f>
        <v>-79</v>
      </c>
      <c r="O144" t="str">
        <f ca="1">IF(Table1[[#This Row],[Days_to_Expiry]]&lt;0,"Expired",
IF(Table1[[#This Row],[Days_to_Expiry]]&lt;30,"High Risk",
IF(Table1[[#This Row],[Days_to_Expiry]]&lt;=60,"Medium Risk",
"Safe")))</f>
        <v>Expired</v>
      </c>
    </row>
    <row r="145" spans="1:15" x14ac:dyDescent="0.35">
      <c r="A145" t="s">
        <v>711</v>
      </c>
      <c r="B145" t="s">
        <v>18</v>
      </c>
      <c r="C145" t="s">
        <v>712</v>
      </c>
      <c r="D145" s="1">
        <v>44954</v>
      </c>
      <c r="E145" s="1">
        <v>45684</v>
      </c>
      <c r="F145">
        <v>6197</v>
      </c>
      <c r="G145">
        <v>8795</v>
      </c>
      <c r="H145">
        <v>4.79</v>
      </c>
      <c r="I145">
        <f t="shared" si="5"/>
        <v>3786</v>
      </c>
      <c r="J145">
        <f t="shared" si="4"/>
        <v>3967.3494000000001</v>
      </c>
      <c r="K145" s="5">
        <f>IF(Table1[[#This Row],[Expected_Rent]]&lt;&gt;"", F145/Table1[[#This Row],[Expected_Rent]], "")</f>
        <v>1.5620000597880288</v>
      </c>
      <c r="L145" t="s">
        <v>20</v>
      </c>
      <c r="M145">
        <f ca="1">IF(Table1[[#This Row],[Renewal_Status]]="Expired",TODAY()-Table1[[#This Row],[Lease_End]],0)</f>
        <v>383</v>
      </c>
      <c r="N145" s="16">
        <f ca="1">Table1[[#This Row],[Lease_End]]-TODAY()</f>
        <v>-383</v>
      </c>
      <c r="O145" t="str">
        <f ca="1">IF(Table1[[#This Row],[Days_to_Expiry]]&lt;0,"Expired",
IF(Table1[[#This Row],[Days_to_Expiry]]&lt;30,"High Risk",
IF(Table1[[#This Row],[Days_to_Expiry]]&lt;=60,"Medium Risk",
"Safe")))</f>
        <v>Expired</v>
      </c>
    </row>
    <row r="146" spans="1:15" x14ac:dyDescent="0.35">
      <c r="A146" t="s">
        <v>45</v>
      </c>
      <c r="B146" t="s">
        <v>18</v>
      </c>
      <c r="C146" t="s">
        <v>46</v>
      </c>
      <c r="D146" s="1">
        <v>45215</v>
      </c>
      <c r="E146" s="1">
        <v>45580</v>
      </c>
      <c r="F146">
        <v>3656</v>
      </c>
      <c r="G146">
        <v>8631</v>
      </c>
      <c r="H146">
        <v>7.31</v>
      </c>
      <c r="I146">
        <f t="shared" si="5"/>
        <v>6197</v>
      </c>
      <c r="J146">
        <f t="shared" si="4"/>
        <v>6650.0006999999996</v>
      </c>
      <c r="K146" s="5">
        <f>IF(Table1[[#This Row],[Expected_Rent]]&lt;&gt;"", F146/Table1[[#This Row],[Expected_Rent]], "")</f>
        <v>0.54977437821923847</v>
      </c>
      <c r="L146" t="s">
        <v>16</v>
      </c>
      <c r="M146">
        <f ca="1">IF(Table1[[#This Row],[Renewal_Status]]="Expired",TODAY()-Table1[[#This Row],[Lease_End]],0)</f>
        <v>0</v>
      </c>
      <c r="N146" s="16">
        <f ca="1">Table1[[#This Row],[Lease_End]]-TODAY()</f>
        <v>-487</v>
      </c>
      <c r="O146" t="str">
        <f ca="1">IF(Table1[[#This Row],[Days_to_Expiry]]&lt;0,"Expired",
IF(Table1[[#This Row],[Days_to_Expiry]]&lt;30,"High Risk",
IF(Table1[[#This Row],[Days_to_Expiry]]&lt;=60,"Medium Risk",
"Safe")))</f>
        <v>Expired</v>
      </c>
    </row>
    <row r="147" spans="1:15" x14ac:dyDescent="0.35">
      <c r="A147" t="s">
        <v>17</v>
      </c>
      <c r="B147" t="s">
        <v>18</v>
      </c>
      <c r="C147" t="s">
        <v>19</v>
      </c>
      <c r="D147" s="1">
        <v>45233</v>
      </c>
      <c r="E147" s="1">
        <v>45598</v>
      </c>
      <c r="F147">
        <v>2127</v>
      </c>
      <c r="G147">
        <v>12162</v>
      </c>
      <c r="H147">
        <v>6.55</v>
      </c>
      <c r="I147">
        <f t="shared" si="5"/>
        <v>3656</v>
      </c>
      <c r="J147">
        <f t="shared" si="4"/>
        <v>3895.4680000000003</v>
      </c>
      <c r="K147" s="5">
        <f>IF(Table1[[#This Row],[Expected_Rent]]&lt;&gt;"", F147/Table1[[#This Row],[Expected_Rent]], "")</f>
        <v>0.54601911760024724</v>
      </c>
      <c r="L147" t="s">
        <v>20</v>
      </c>
      <c r="M147">
        <f ca="1">IF(Table1[[#This Row],[Renewal_Status]]="Expired",TODAY()-Table1[[#This Row],[Lease_End]],0)</f>
        <v>469</v>
      </c>
      <c r="N147" s="16">
        <f ca="1">Table1[[#This Row],[Lease_End]]-TODAY()</f>
        <v>-469</v>
      </c>
      <c r="O147" t="str">
        <f ca="1">IF(Table1[[#This Row],[Days_to_Expiry]]&lt;0,"Expired",
IF(Table1[[#This Row],[Days_to_Expiry]]&lt;30,"High Risk",
IF(Table1[[#This Row],[Days_to_Expiry]]&lt;=60,"Medium Risk",
"Safe")))</f>
        <v>Expired</v>
      </c>
    </row>
    <row r="148" spans="1:15" x14ac:dyDescent="0.35">
      <c r="A148" t="s">
        <v>154</v>
      </c>
      <c r="B148" t="s">
        <v>77</v>
      </c>
      <c r="C148" t="s">
        <v>155</v>
      </c>
      <c r="D148" s="1">
        <v>44745</v>
      </c>
      <c r="E148" s="1">
        <v>45110</v>
      </c>
      <c r="F148">
        <v>2213</v>
      </c>
      <c r="G148">
        <v>5471</v>
      </c>
      <c r="H148">
        <v>3.08</v>
      </c>
      <c r="I148" t="str">
        <f t="shared" si="5"/>
        <v/>
      </c>
      <c r="J148" t="str">
        <f t="shared" si="4"/>
        <v/>
      </c>
      <c r="K148" s="5" t="str">
        <f>IF(Table1[[#This Row],[Expected_Rent]]&lt;&gt;"", F148/Table1[[#This Row],[Expected_Rent]], "")</f>
        <v/>
      </c>
      <c r="L148" t="s">
        <v>20</v>
      </c>
      <c r="M148">
        <f ca="1">IF(Table1[[#This Row],[Renewal_Status]]="Expired",TODAY()-Table1[[#This Row],[Lease_End]],0)</f>
        <v>957</v>
      </c>
      <c r="N148" s="16">
        <f ca="1">Table1[[#This Row],[Lease_End]]-TODAY()</f>
        <v>-957</v>
      </c>
      <c r="O148" t="str">
        <f ca="1">IF(Table1[[#This Row],[Days_to_Expiry]]&lt;0,"Expired",
IF(Table1[[#This Row],[Days_to_Expiry]]&lt;30,"High Risk",
IF(Table1[[#This Row],[Days_to_Expiry]]&lt;=60,"Medium Risk",
"Safe")))</f>
        <v>Expired</v>
      </c>
    </row>
    <row r="149" spans="1:15" x14ac:dyDescent="0.35">
      <c r="A149" t="s">
        <v>76</v>
      </c>
      <c r="B149" t="s">
        <v>77</v>
      </c>
      <c r="C149" t="s">
        <v>78</v>
      </c>
      <c r="D149" s="1">
        <v>44944</v>
      </c>
      <c r="E149" s="1">
        <v>46039</v>
      </c>
      <c r="F149">
        <v>3441</v>
      </c>
      <c r="G149">
        <v>18508</v>
      </c>
      <c r="H149">
        <v>4.96</v>
      </c>
      <c r="I149">
        <f t="shared" si="5"/>
        <v>2213</v>
      </c>
      <c r="J149">
        <f t="shared" si="4"/>
        <v>2322.7648000000004</v>
      </c>
      <c r="K149" s="5">
        <f>IF(Table1[[#This Row],[Expected_Rent]]&lt;&gt;"", F149/Table1[[#This Row],[Expected_Rent]], "")</f>
        <v>1.4814242061873848</v>
      </c>
      <c r="L149" t="s">
        <v>16</v>
      </c>
      <c r="M149">
        <f ca="1">IF(Table1[[#This Row],[Renewal_Status]]="Expired",TODAY()-Table1[[#This Row],[Lease_End]],0)</f>
        <v>0</v>
      </c>
      <c r="N149" s="16">
        <f ca="1">Table1[[#This Row],[Lease_End]]-TODAY()</f>
        <v>-28</v>
      </c>
      <c r="O149" t="str">
        <f ca="1">IF(Table1[[#This Row],[Days_to_Expiry]]&lt;0,"Expired",
IF(Table1[[#This Row],[Days_to_Expiry]]&lt;30,"High Risk",
IF(Table1[[#This Row],[Days_to_Expiry]]&lt;=60,"Medium Risk",
"Safe")))</f>
        <v>Expired</v>
      </c>
    </row>
    <row r="150" spans="1:15" x14ac:dyDescent="0.35">
      <c r="A150" t="s">
        <v>715</v>
      </c>
      <c r="B150" t="s">
        <v>77</v>
      </c>
      <c r="C150" t="s">
        <v>716</v>
      </c>
      <c r="D150" s="1">
        <v>45033</v>
      </c>
      <c r="E150" s="1">
        <v>45398</v>
      </c>
      <c r="F150">
        <v>6632</v>
      </c>
      <c r="G150">
        <v>14617</v>
      </c>
      <c r="H150">
        <v>5.9</v>
      </c>
      <c r="I150">
        <f t="shared" si="5"/>
        <v>3441</v>
      </c>
      <c r="J150">
        <f t="shared" si="4"/>
        <v>3644.0189999999998</v>
      </c>
      <c r="K150" s="5">
        <f>IF(Table1[[#This Row],[Expected_Rent]]&lt;&gt;"", F150/Table1[[#This Row],[Expected_Rent]], "")</f>
        <v>1.8199685566952315</v>
      </c>
      <c r="L150" t="s">
        <v>20</v>
      </c>
      <c r="M150">
        <f ca="1">IF(Table1[[#This Row],[Renewal_Status]]="Expired",TODAY()-Table1[[#This Row],[Lease_End]],0)</f>
        <v>669</v>
      </c>
      <c r="N150" s="16">
        <f ca="1">Table1[[#This Row],[Lease_End]]-TODAY()</f>
        <v>-669</v>
      </c>
      <c r="O150" t="str">
        <f ca="1">IF(Table1[[#This Row],[Days_to_Expiry]]&lt;0,"Expired",
IF(Table1[[#This Row],[Days_to_Expiry]]&lt;30,"High Risk",
IF(Table1[[#This Row],[Days_to_Expiry]]&lt;=60,"Medium Risk",
"Safe")))</f>
        <v>Expired</v>
      </c>
    </row>
    <row r="151" spans="1:15" x14ac:dyDescent="0.35">
      <c r="A151" t="s">
        <v>664</v>
      </c>
      <c r="B151" t="s">
        <v>166</v>
      </c>
      <c r="C151" t="s">
        <v>665</v>
      </c>
      <c r="D151" s="1">
        <v>44586</v>
      </c>
      <c r="E151" s="1">
        <v>45316</v>
      </c>
      <c r="F151">
        <v>5891</v>
      </c>
      <c r="G151">
        <v>19740</v>
      </c>
      <c r="H151">
        <v>6.08</v>
      </c>
      <c r="I151" t="str">
        <f t="shared" si="5"/>
        <v/>
      </c>
      <c r="J151" t="str">
        <f t="shared" si="4"/>
        <v/>
      </c>
      <c r="K151" s="5" t="str">
        <f>IF(Table1[[#This Row],[Expected_Rent]]&lt;&gt;"", F151/Table1[[#This Row],[Expected_Rent]], "")</f>
        <v/>
      </c>
      <c r="L151" t="s">
        <v>16</v>
      </c>
      <c r="M151">
        <f ca="1">IF(Table1[[#This Row],[Renewal_Status]]="Expired",TODAY()-Table1[[#This Row],[Lease_End]],0)</f>
        <v>0</v>
      </c>
      <c r="N151" s="16">
        <f ca="1">Table1[[#This Row],[Lease_End]]-TODAY()</f>
        <v>-751</v>
      </c>
      <c r="O151" t="str">
        <f ca="1">IF(Table1[[#This Row],[Days_to_Expiry]]&lt;0,"Expired",
IF(Table1[[#This Row],[Days_to_Expiry]]&lt;30,"High Risk",
IF(Table1[[#This Row],[Days_to_Expiry]]&lt;=60,"Medium Risk",
"Safe")))</f>
        <v>Expired</v>
      </c>
    </row>
    <row r="152" spans="1:15" x14ac:dyDescent="0.35">
      <c r="A152" t="s">
        <v>269</v>
      </c>
      <c r="B152" t="s">
        <v>166</v>
      </c>
      <c r="C152" t="s">
        <v>270</v>
      </c>
      <c r="D152" s="1">
        <v>45013</v>
      </c>
      <c r="E152" s="1">
        <v>45743</v>
      </c>
      <c r="F152">
        <v>6996</v>
      </c>
      <c r="G152">
        <v>11620</v>
      </c>
      <c r="H152">
        <v>4.3499999999999996</v>
      </c>
      <c r="I152">
        <f t="shared" si="5"/>
        <v>5891</v>
      </c>
      <c r="J152">
        <f t="shared" si="4"/>
        <v>6147.2585000000008</v>
      </c>
      <c r="K152" s="5">
        <f>IF(Table1[[#This Row],[Expected_Rent]]&lt;&gt;"", F152/Table1[[#This Row],[Expected_Rent]], "")</f>
        <v>1.1380682949968672</v>
      </c>
      <c r="L152" t="s">
        <v>20</v>
      </c>
      <c r="M152">
        <f ca="1">IF(Table1[[#This Row],[Renewal_Status]]="Expired",TODAY()-Table1[[#This Row],[Lease_End]],0)</f>
        <v>324</v>
      </c>
      <c r="N152" s="16">
        <f ca="1">Table1[[#This Row],[Lease_End]]-TODAY()</f>
        <v>-324</v>
      </c>
      <c r="O152" t="str">
        <f ca="1">IF(Table1[[#This Row],[Days_to_Expiry]]&lt;0,"Expired",
IF(Table1[[#This Row],[Days_to_Expiry]]&lt;30,"High Risk",
IF(Table1[[#This Row],[Days_to_Expiry]]&lt;=60,"Medium Risk",
"Safe")))</f>
        <v>Expired</v>
      </c>
    </row>
    <row r="153" spans="1:15" x14ac:dyDescent="0.35">
      <c r="A153" t="s">
        <v>165</v>
      </c>
      <c r="B153" t="s">
        <v>166</v>
      </c>
      <c r="C153" t="s">
        <v>167</v>
      </c>
      <c r="D153" s="1">
        <v>45213</v>
      </c>
      <c r="E153" s="1">
        <v>46308</v>
      </c>
      <c r="F153">
        <v>5653</v>
      </c>
      <c r="G153">
        <v>6933</v>
      </c>
      <c r="H153">
        <v>4.1100000000000003</v>
      </c>
      <c r="I153">
        <f t="shared" si="5"/>
        <v>6996</v>
      </c>
      <c r="J153">
        <f t="shared" si="4"/>
        <v>7283.5355999999992</v>
      </c>
      <c r="K153" s="5">
        <f>IF(Table1[[#This Row],[Expected_Rent]]&lt;&gt;"", F153/Table1[[#This Row],[Expected_Rent]], "")</f>
        <v>0.77613405225890575</v>
      </c>
      <c r="L153" t="s">
        <v>12</v>
      </c>
      <c r="M153">
        <f ca="1">IF(Table1[[#This Row],[Renewal_Status]]="Expired",TODAY()-Table1[[#This Row],[Lease_End]],0)</f>
        <v>0</v>
      </c>
      <c r="N153" s="16">
        <f ca="1">Table1[[#This Row],[Lease_End]]-TODAY()</f>
        <v>241</v>
      </c>
      <c r="O153" t="str">
        <f ca="1">IF(Table1[[#This Row],[Days_to_Expiry]]&lt;0,"Expired",
IF(Table1[[#This Row],[Days_to_Expiry]]&lt;30,"High Risk",
IF(Table1[[#This Row],[Days_to_Expiry]]&lt;=60,"Medium Risk",
"Safe")))</f>
        <v>Safe</v>
      </c>
    </row>
    <row r="154" spans="1:15" x14ac:dyDescent="0.35">
      <c r="A154" t="s">
        <v>697</v>
      </c>
      <c r="B154" t="s">
        <v>698</v>
      </c>
      <c r="C154" t="s">
        <v>699</v>
      </c>
      <c r="D154" s="1">
        <v>44842</v>
      </c>
      <c r="E154" s="1">
        <v>45207</v>
      </c>
      <c r="F154">
        <v>5077</v>
      </c>
      <c r="G154">
        <v>5399</v>
      </c>
      <c r="H154">
        <v>4.1900000000000004</v>
      </c>
      <c r="I154" t="str">
        <f t="shared" si="5"/>
        <v/>
      </c>
      <c r="J154" t="str">
        <f t="shared" si="4"/>
        <v/>
      </c>
      <c r="K154" s="5" t="str">
        <f>IF(Table1[[#This Row],[Expected_Rent]]&lt;&gt;"", F154/Table1[[#This Row],[Expected_Rent]], "")</f>
        <v/>
      </c>
      <c r="L154" t="s">
        <v>20</v>
      </c>
      <c r="M154">
        <f ca="1">IF(Table1[[#This Row],[Renewal_Status]]="Expired",TODAY()-Table1[[#This Row],[Lease_End]],0)</f>
        <v>860</v>
      </c>
      <c r="N154" s="16">
        <f ca="1">Table1[[#This Row],[Lease_End]]-TODAY()</f>
        <v>-860</v>
      </c>
      <c r="O154" t="str">
        <f ca="1">IF(Table1[[#This Row],[Days_to_Expiry]]&lt;0,"Expired",
IF(Table1[[#This Row],[Days_to_Expiry]]&lt;30,"High Risk",
IF(Table1[[#This Row],[Days_to_Expiry]]&lt;=60,"Medium Risk",
"Safe")))</f>
        <v>Expired</v>
      </c>
    </row>
    <row r="155" spans="1:15" x14ac:dyDescent="0.35">
      <c r="A155" t="s">
        <v>256</v>
      </c>
      <c r="B155" t="s">
        <v>257</v>
      </c>
      <c r="C155" t="s">
        <v>258</v>
      </c>
      <c r="D155" s="1">
        <v>45125</v>
      </c>
      <c r="E155" s="1">
        <v>45855</v>
      </c>
      <c r="F155">
        <v>3585</v>
      </c>
      <c r="G155">
        <v>9250</v>
      </c>
      <c r="H155">
        <v>3.5</v>
      </c>
      <c r="I155" t="str">
        <f t="shared" si="5"/>
        <v/>
      </c>
      <c r="J155" t="str">
        <f t="shared" si="4"/>
        <v/>
      </c>
      <c r="K155" s="5" t="str">
        <f>IF(Table1[[#This Row],[Expected_Rent]]&lt;&gt;"", F155/Table1[[#This Row],[Expected_Rent]], "")</f>
        <v/>
      </c>
      <c r="L155" t="s">
        <v>20</v>
      </c>
      <c r="M155">
        <f ca="1">IF(Table1[[#This Row],[Renewal_Status]]="Expired",TODAY()-Table1[[#This Row],[Lease_End]],0)</f>
        <v>212</v>
      </c>
      <c r="N155" s="16">
        <f ca="1">Table1[[#This Row],[Lease_End]]-TODAY()</f>
        <v>-212</v>
      </c>
      <c r="O155" t="str">
        <f ca="1">IF(Table1[[#This Row],[Days_to_Expiry]]&lt;0,"Expired",
IF(Table1[[#This Row],[Days_to_Expiry]]&lt;30,"High Risk",
IF(Table1[[#This Row],[Days_to_Expiry]]&lt;=60,"Medium Risk",
"Safe")))</f>
        <v>Expired</v>
      </c>
    </row>
    <row r="156" spans="1:15" x14ac:dyDescent="0.35">
      <c r="A156" t="s">
        <v>451</v>
      </c>
      <c r="B156" t="s">
        <v>257</v>
      </c>
      <c r="C156" t="s">
        <v>452</v>
      </c>
      <c r="D156" s="1">
        <v>45129</v>
      </c>
      <c r="E156" s="1">
        <v>45494</v>
      </c>
      <c r="F156">
        <v>4117</v>
      </c>
      <c r="G156">
        <v>15672</v>
      </c>
      <c r="H156">
        <v>5.05</v>
      </c>
      <c r="I156">
        <f t="shared" si="5"/>
        <v>3585</v>
      </c>
      <c r="J156">
        <f t="shared" si="4"/>
        <v>3766.0425</v>
      </c>
      <c r="K156" s="5">
        <f>IF(Table1[[#This Row],[Expected_Rent]]&lt;&gt;"", F156/Table1[[#This Row],[Expected_Rent]], "")</f>
        <v>1.0931899998473198</v>
      </c>
      <c r="L156" t="s">
        <v>16</v>
      </c>
      <c r="M156">
        <f ca="1">IF(Table1[[#This Row],[Renewal_Status]]="Expired",TODAY()-Table1[[#This Row],[Lease_End]],0)</f>
        <v>0</v>
      </c>
      <c r="N156" s="16">
        <f ca="1">Table1[[#This Row],[Lease_End]]-TODAY()</f>
        <v>-573</v>
      </c>
      <c r="O156" t="str">
        <f ca="1">IF(Table1[[#This Row],[Days_to_Expiry]]&lt;0,"Expired",
IF(Table1[[#This Row],[Days_to_Expiry]]&lt;30,"High Risk",
IF(Table1[[#This Row],[Days_to_Expiry]]&lt;=60,"Medium Risk",
"Safe")))</f>
        <v>Expired</v>
      </c>
    </row>
    <row r="157" spans="1:15" x14ac:dyDescent="0.35">
      <c r="A157" t="s">
        <v>13</v>
      </c>
      <c r="B157" t="s">
        <v>14</v>
      </c>
      <c r="C157" t="s">
        <v>15</v>
      </c>
      <c r="D157" s="1">
        <v>44658</v>
      </c>
      <c r="E157" s="1">
        <v>45023</v>
      </c>
      <c r="F157">
        <v>2007</v>
      </c>
      <c r="G157">
        <v>16299</v>
      </c>
      <c r="H157">
        <v>6.49</v>
      </c>
      <c r="I157" t="str">
        <f t="shared" si="5"/>
        <v/>
      </c>
      <c r="J157" t="str">
        <f t="shared" si="4"/>
        <v/>
      </c>
      <c r="K157" s="5" t="str">
        <f>IF(Table1[[#This Row],[Expected_Rent]]&lt;&gt;"", F157/Table1[[#This Row],[Expected_Rent]], "")</f>
        <v/>
      </c>
      <c r="L157" t="s">
        <v>16</v>
      </c>
      <c r="M157">
        <f ca="1">IF(Table1[[#This Row],[Renewal_Status]]="Expired",TODAY()-Table1[[#This Row],[Lease_End]],0)</f>
        <v>0</v>
      </c>
      <c r="N157" s="16">
        <f ca="1">Table1[[#This Row],[Lease_End]]-TODAY()</f>
        <v>-1044</v>
      </c>
      <c r="O157" t="str">
        <f ca="1">IF(Table1[[#This Row],[Days_to_Expiry]]&lt;0,"Expired",
IF(Table1[[#This Row],[Days_to_Expiry]]&lt;30,"High Risk",
IF(Table1[[#This Row],[Days_to_Expiry]]&lt;=60,"Medium Risk",
"Safe")))</f>
        <v>Expired</v>
      </c>
    </row>
    <row r="158" spans="1:15" x14ac:dyDescent="0.35">
      <c r="A158" t="s">
        <v>721</v>
      </c>
      <c r="B158" t="s">
        <v>14</v>
      </c>
      <c r="C158" t="s">
        <v>722</v>
      </c>
      <c r="D158" s="1">
        <v>44718</v>
      </c>
      <c r="E158" s="1">
        <v>45448</v>
      </c>
      <c r="F158">
        <v>4650</v>
      </c>
      <c r="G158">
        <v>6618</v>
      </c>
      <c r="H158">
        <v>6.41</v>
      </c>
      <c r="I158">
        <f t="shared" si="5"/>
        <v>2007</v>
      </c>
      <c r="J158">
        <f t="shared" si="4"/>
        <v>2135.6487000000002</v>
      </c>
      <c r="K158" s="5">
        <f>IF(Table1[[#This Row],[Expected_Rent]]&lt;&gt;"", F158/Table1[[#This Row],[Expected_Rent]], "")</f>
        <v>2.1773243886037998</v>
      </c>
      <c r="L158" t="s">
        <v>16</v>
      </c>
      <c r="M158">
        <f ca="1">IF(Table1[[#This Row],[Renewal_Status]]="Expired",TODAY()-Table1[[#This Row],[Lease_End]],0)</f>
        <v>0</v>
      </c>
      <c r="N158" s="16">
        <f ca="1">Table1[[#This Row],[Lease_End]]-TODAY()</f>
        <v>-619</v>
      </c>
      <c r="O158" t="str">
        <f ca="1">IF(Table1[[#This Row],[Days_to_Expiry]]&lt;0,"Expired",
IF(Table1[[#This Row],[Days_to_Expiry]]&lt;30,"High Risk",
IF(Table1[[#This Row],[Days_to_Expiry]]&lt;=60,"Medium Risk",
"Safe")))</f>
        <v>Expired</v>
      </c>
    </row>
    <row r="159" spans="1:15" x14ac:dyDescent="0.35">
      <c r="A159" t="s">
        <v>548</v>
      </c>
      <c r="B159" t="s">
        <v>549</v>
      </c>
      <c r="C159" t="s">
        <v>550</v>
      </c>
      <c r="D159" s="1">
        <v>45070</v>
      </c>
      <c r="E159" s="1">
        <v>45800</v>
      </c>
      <c r="F159">
        <v>5330</v>
      </c>
      <c r="G159">
        <v>18372</v>
      </c>
      <c r="H159">
        <v>4.01</v>
      </c>
      <c r="I159" t="str">
        <f t="shared" si="5"/>
        <v/>
      </c>
      <c r="J159" t="str">
        <f t="shared" si="4"/>
        <v/>
      </c>
      <c r="K159" s="5" t="str">
        <f>IF(Table1[[#This Row],[Expected_Rent]]&lt;&gt;"", F159/Table1[[#This Row],[Expected_Rent]], "")</f>
        <v/>
      </c>
      <c r="L159" t="s">
        <v>16</v>
      </c>
      <c r="M159">
        <f ca="1">IF(Table1[[#This Row],[Renewal_Status]]="Expired",TODAY()-Table1[[#This Row],[Lease_End]],0)</f>
        <v>0</v>
      </c>
      <c r="N159" s="16">
        <f ca="1">Table1[[#This Row],[Lease_End]]-TODAY()</f>
        <v>-267</v>
      </c>
      <c r="O159" t="str">
        <f ca="1">IF(Table1[[#This Row],[Days_to_Expiry]]&lt;0,"Expired",
IF(Table1[[#This Row],[Days_to_Expiry]]&lt;30,"High Risk",
IF(Table1[[#This Row],[Days_to_Expiry]]&lt;=60,"Medium Risk",
"Safe")))</f>
        <v>Expired</v>
      </c>
    </row>
    <row r="160" spans="1:15" x14ac:dyDescent="0.35">
      <c r="A160" t="s">
        <v>522</v>
      </c>
      <c r="B160" t="s">
        <v>523</v>
      </c>
      <c r="C160" t="s">
        <v>524</v>
      </c>
      <c r="D160" s="1">
        <v>44589</v>
      </c>
      <c r="E160" s="1">
        <v>45319</v>
      </c>
      <c r="F160">
        <v>2865</v>
      </c>
      <c r="G160">
        <v>10251</v>
      </c>
      <c r="H160">
        <v>5.05</v>
      </c>
      <c r="I160" t="str">
        <f t="shared" si="5"/>
        <v/>
      </c>
      <c r="J160" t="str">
        <f t="shared" si="4"/>
        <v/>
      </c>
      <c r="K160" s="5" t="str">
        <f>IF(Table1[[#This Row],[Expected_Rent]]&lt;&gt;"", F160/Table1[[#This Row],[Expected_Rent]], "")</f>
        <v/>
      </c>
      <c r="L160" t="s">
        <v>12</v>
      </c>
      <c r="M160">
        <f ca="1">IF(Table1[[#This Row],[Renewal_Status]]="Expired",TODAY()-Table1[[#This Row],[Lease_End]],0)</f>
        <v>0</v>
      </c>
      <c r="N160" s="16">
        <f ca="1">Table1[[#This Row],[Lease_End]]-TODAY()</f>
        <v>-748</v>
      </c>
      <c r="O160" t="str">
        <f ca="1">IF(Table1[[#This Row],[Days_to_Expiry]]&lt;0,"Expired",
IF(Table1[[#This Row],[Days_to_Expiry]]&lt;30,"High Risk",
IF(Table1[[#This Row],[Days_to_Expiry]]&lt;=60,"Medium Risk",
"Safe")))</f>
        <v>Expired</v>
      </c>
    </row>
    <row r="161" spans="1:15" x14ac:dyDescent="0.35">
      <c r="A161" t="s">
        <v>627</v>
      </c>
      <c r="B161" t="s">
        <v>523</v>
      </c>
      <c r="C161" t="s">
        <v>628</v>
      </c>
      <c r="D161" s="1">
        <v>44981</v>
      </c>
      <c r="E161" s="1">
        <v>46076</v>
      </c>
      <c r="F161">
        <v>3867</v>
      </c>
      <c r="G161">
        <v>15349</v>
      </c>
      <c r="H161">
        <v>5.67</v>
      </c>
      <c r="I161">
        <f t="shared" si="5"/>
        <v>2865</v>
      </c>
      <c r="J161">
        <f t="shared" si="4"/>
        <v>3027.4454999999998</v>
      </c>
      <c r="K161" s="5">
        <f>IF(Table1[[#This Row],[Expected_Rent]]&lt;&gt;"", F161/Table1[[#This Row],[Expected_Rent]], "")</f>
        <v>1.2773144884028467</v>
      </c>
      <c r="L161" t="s">
        <v>16</v>
      </c>
      <c r="M161">
        <f ca="1">IF(Table1[[#This Row],[Renewal_Status]]="Expired",TODAY()-Table1[[#This Row],[Lease_End]],0)</f>
        <v>0</v>
      </c>
      <c r="N161" s="16">
        <f ca="1">Table1[[#This Row],[Lease_End]]-TODAY()</f>
        <v>9</v>
      </c>
      <c r="O161" t="str">
        <f ca="1">IF(Table1[[#This Row],[Days_to_Expiry]]&lt;0,"Expired",
IF(Table1[[#This Row],[Days_to_Expiry]]&lt;30,"High Risk",
IF(Table1[[#This Row],[Days_to_Expiry]]&lt;=60,"Medium Risk",
"Safe")))</f>
        <v>High Risk</v>
      </c>
    </row>
    <row r="162" spans="1:15" x14ac:dyDescent="0.35">
      <c r="A162" t="s">
        <v>367</v>
      </c>
      <c r="B162" t="s">
        <v>230</v>
      </c>
      <c r="C162" t="s">
        <v>368</v>
      </c>
      <c r="D162" s="1">
        <v>44759</v>
      </c>
      <c r="E162" s="1">
        <v>45124</v>
      </c>
      <c r="F162">
        <v>5935</v>
      </c>
      <c r="G162">
        <v>7530</v>
      </c>
      <c r="H162">
        <v>5.54</v>
      </c>
      <c r="I162" t="str">
        <f t="shared" si="5"/>
        <v/>
      </c>
      <c r="J162" t="str">
        <f t="shared" si="4"/>
        <v/>
      </c>
      <c r="K162" s="5" t="str">
        <f>IF(Table1[[#This Row],[Expected_Rent]]&lt;&gt;"", F162/Table1[[#This Row],[Expected_Rent]], "")</f>
        <v/>
      </c>
      <c r="L162" t="s">
        <v>20</v>
      </c>
      <c r="M162">
        <f ca="1">IF(Table1[[#This Row],[Renewal_Status]]="Expired",TODAY()-Table1[[#This Row],[Lease_End]],0)</f>
        <v>943</v>
      </c>
      <c r="N162" s="16">
        <f ca="1">Table1[[#This Row],[Lease_End]]-TODAY()</f>
        <v>-943</v>
      </c>
      <c r="O162" t="str">
        <f ca="1">IF(Table1[[#This Row],[Days_to_Expiry]]&lt;0,"Expired",
IF(Table1[[#This Row],[Days_to_Expiry]]&lt;30,"High Risk",
IF(Table1[[#This Row],[Days_to_Expiry]]&lt;=60,"Medium Risk",
"Safe")))</f>
        <v>Expired</v>
      </c>
    </row>
    <row r="163" spans="1:15" x14ac:dyDescent="0.35">
      <c r="A163" t="s">
        <v>292</v>
      </c>
      <c r="B163" t="s">
        <v>230</v>
      </c>
      <c r="C163" t="s">
        <v>293</v>
      </c>
      <c r="D163" s="1">
        <v>44906</v>
      </c>
      <c r="E163" s="1">
        <v>46001</v>
      </c>
      <c r="F163">
        <v>2945</v>
      </c>
      <c r="G163">
        <v>7029</v>
      </c>
      <c r="H163">
        <v>6.9</v>
      </c>
      <c r="I163">
        <f t="shared" si="5"/>
        <v>5935</v>
      </c>
      <c r="J163">
        <f t="shared" si="4"/>
        <v>6344.5149999999994</v>
      </c>
      <c r="K163" s="5">
        <f>IF(Table1[[#This Row],[Expected_Rent]]&lt;&gt;"", F163/Table1[[#This Row],[Expected_Rent]], "")</f>
        <v>0.46418047715231192</v>
      </c>
      <c r="L163" t="s">
        <v>12</v>
      </c>
      <c r="M163">
        <f ca="1">IF(Table1[[#This Row],[Renewal_Status]]="Expired",TODAY()-Table1[[#This Row],[Lease_End]],0)</f>
        <v>0</v>
      </c>
      <c r="N163" s="16">
        <f ca="1">Table1[[#This Row],[Lease_End]]-TODAY()</f>
        <v>-66</v>
      </c>
      <c r="O163" t="str">
        <f ca="1">IF(Table1[[#This Row],[Days_to_Expiry]]&lt;0,"Expired",
IF(Table1[[#This Row],[Days_to_Expiry]]&lt;30,"High Risk",
IF(Table1[[#This Row],[Days_to_Expiry]]&lt;=60,"Medium Risk",
"Safe")))</f>
        <v>Expired</v>
      </c>
    </row>
    <row r="164" spans="1:15" x14ac:dyDescent="0.35">
      <c r="A164" t="s">
        <v>267</v>
      </c>
      <c r="B164" t="s">
        <v>230</v>
      </c>
      <c r="C164" t="s">
        <v>268</v>
      </c>
      <c r="D164" s="1">
        <v>44928</v>
      </c>
      <c r="E164" s="1">
        <v>45293</v>
      </c>
      <c r="F164">
        <v>2426</v>
      </c>
      <c r="G164">
        <v>14055</v>
      </c>
      <c r="H164">
        <v>7.27</v>
      </c>
      <c r="I164">
        <f t="shared" si="5"/>
        <v>2945</v>
      </c>
      <c r="J164">
        <f t="shared" si="4"/>
        <v>3159.1014999999998</v>
      </c>
      <c r="K164" s="5">
        <f>IF(Table1[[#This Row],[Expected_Rent]]&lt;&gt;"", F164/Table1[[#This Row],[Expected_Rent]], "")</f>
        <v>0.76793987151093446</v>
      </c>
      <c r="L164" t="s">
        <v>12</v>
      </c>
      <c r="M164">
        <f ca="1">IF(Table1[[#This Row],[Renewal_Status]]="Expired",TODAY()-Table1[[#This Row],[Lease_End]],0)</f>
        <v>0</v>
      </c>
      <c r="N164" s="16">
        <f ca="1">Table1[[#This Row],[Lease_End]]-TODAY()</f>
        <v>-774</v>
      </c>
      <c r="O164" t="str">
        <f ca="1">IF(Table1[[#This Row],[Days_to_Expiry]]&lt;0,"Expired",
IF(Table1[[#This Row],[Days_to_Expiry]]&lt;30,"High Risk",
IF(Table1[[#This Row],[Days_to_Expiry]]&lt;=60,"Medium Risk",
"Safe")))</f>
        <v>Expired</v>
      </c>
    </row>
    <row r="165" spans="1:15" x14ac:dyDescent="0.35">
      <c r="A165" t="s">
        <v>397</v>
      </c>
      <c r="B165" t="s">
        <v>230</v>
      </c>
      <c r="C165" t="s">
        <v>398</v>
      </c>
      <c r="D165" s="1">
        <v>45006</v>
      </c>
      <c r="E165" s="1">
        <v>46101</v>
      </c>
      <c r="F165">
        <v>6934</v>
      </c>
      <c r="G165">
        <v>15880</v>
      </c>
      <c r="H165">
        <v>4.63</v>
      </c>
      <c r="I165">
        <f t="shared" si="5"/>
        <v>2426</v>
      </c>
      <c r="J165">
        <f t="shared" si="4"/>
        <v>2538.3238000000001</v>
      </c>
      <c r="K165" s="5">
        <f>IF(Table1[[#This Row],[Expected_Rent]]&lt;&gt;"", F165/Table1[[#This Row],[Expected_Rent]], "")</f>
        <v>2.7317239825746422</v>
      </c>
      <c r="L165" t="s">
        <v>12</v>
      </c>
      <c r="M165">
        <f ca="1">IF(Table1[[#This Row],[Renewal_Status]]="Expired",TODAY()-Table1[[#This Row],[Lease_End]],0)</f>
        <v>0</v>
      </c>
      <c r="N165" s="16">
        <f ca="1">Table1[[#This Row],[Lease_End]]-TODAY()</f>
        <v>34</v>
      </c>
      <c r="O165" t="str">
        <f ca="1">IF(Table1[[#This Row],[Days_to_Expiry]]&lt;0,"Expired",
IF(Table1[[#This Row],[Days_to_Expiry]]&lt;30,"High Risk",
IF(Table1[[#This Row],[Days_to_Expiry]]&lt;=60,"Medium Risk",
"Safe")))</f>
        <v>Medium Risk</v>
      </c>
    </row>
    <row r="166" spans="1:15" x14ac:dyDescent="0.35">
      <c r="A166" t="s">
        <v>229</v>
      </c>
      <c r="B166" t="s">
        <v>230</v>
      </c>
      <c r="C166" t="s">
        <v>231</v>
      </c>
      <c r="D166" s="1">
        <v>45130</v>
      </c>
      <c r="E166" s="1">
        <v>46225</v>
      </c>
      <c r="F166">
        <v>3196</v>
      </c>
      <c r="G166">
        <v>17317</v>
      </c>
      <c r="H166">
        <v>3.72</v>
      </c>
      <c r="I166">
        <f t="shared" si="5"/>
        <v>6934</v>
      </c>
      <c r="J166">
        <f t="shared" si="4"/>
        <v>7191.9447999999993</v>
      </c>
      <c r="K166" s="5">
        <f>IF(Table1[[#This Row],[Expected_Rent]]&lt;&gt;"", F166/Table1[[#This Row],[Expected_Rent]], "")</f>
        <v>0.44438605813548515</v>
      </c>
      <c r="L166" t="s">
        <v>12</v>
      </c>
      <c r="M166">
        <f ca="1">IF(Table1[[#This Row],[Renewal_Status]]="Expired",TODAY()-Table1[[#This Row],[Lease_End]],0)</f>
        <v>0</v>
      </c>
      <c r="N166" s="16">
        <f ca="1">Table1[[#This Row],[Lease_End]]-TODAY()</f>
        <v>158</v>
      </c>
      <c r="O166" t="str">
        <f ca="1">IF(Table1[[#This Row],[Days_to_Expiry]]&lt;0,"Expired",
IF(Table1[[#This Row],[Days_to_Expiry]]&lt;30,"High Risk",
IF(Table1[[#This Row],[Days_to_Expiry]]&lt;=60,"Medium Risk",
"Safe")))</f>
        <v>Safe</v>
      </c>
    </row>
    <row r="167" spans="1:15" x14ac:dyDescent="0.35">
      <c r="A167" t="s">
        <v>507</v>
      </c>
      <c r="B167" t="s">
        <v>230</v>
      </c>
      <c r="C167" t="s">
        <v>508</v>
      </c>
      <c r="D167" s="1">
        <v>45245</v>
      </c>
      <c r="E167" s="1">
        <v>46340</v>
      </c>
      <c r="F167">
        <v>5145</v>
      </c>
      <c r="G167">
        <v>15382</v>
      </c>
      <c r="H167">
        <v>3.72</v>
      </c>
      <c r="I167">
        <f t="shared" si="5"/>
        <v>3196</v>
      </c>
      <c r="J167">
        <f t="shared" si="4"/>
        <v>3314.8911999999996</v>
      </c>
      <c r="K167" s="5">
        <f>IF(Table1[[#This Row],[Expected_Rent]]&lt;&gt;"", F167/Table1[[#This Row],[Expected_Rent]], "")</f>
        <v>1.5520871393908797</v>
      </c>
      <c r="L167" t="s">
        <v>12</v>
      </c>
      <c r="M167">
        <f ca="1">IF(Table1[[#This Row],[Renewal_Status]]="Expired",TODAY()-Table1[[#This Row],[Lease_End]],0)</f>
        <v>0</v>
      </c>
      <c r="N167" s="16">
        <f ca="1">Table1[[#This Row],[Lease_End]]-TODAY()</f>
        <v>273</v>
      </c>
      <c r="O167" t="str">
        <f ca="1">IF(Table1[[#This Row],[Days_to_Expiry]]&lt;0,"Expired",
IF(Table1[[#This Row],[Days_to_Expiry]]&lt;30,"High Risk",
IF(Table1[[#This Row],[Days_to_Expiry]]&lt;=60,"Medium Risk",
"Safe")))</f>
        <v>Safe</v>
      </c>
    </row>
    <row r="168" spans="1:15" x14ac:dyDescent="0.35">
      <c r="A168" t="s">
        <v>424</v>
      </c>
      <c r="B168" t="s">
        <v>157</v>
      </c>
      <c r="C168" t="s">
        <v>425</v>
      </c>
      <c r="D168" s="1">
        <v>44611</v>
      </c>
      <c r="E168" s="1">
        <v>44976</v>
      </c>
      <c r="F168">
        <v>2512</v>
      </c>
      <c r="G168">
        <v>15515</v>
      </c>
      <c r="H168">
        <v>3.62</v>
      </c>
      <c r="I168" t="str">
        <f t="shared" si="5"/>
        <v/>
      </c>
      <c r="J168" t="str">
        <f t="shared" si="4"/>
        <v/>
      </c>
      <c r="K168" s="5" t="str">
        <f>IF(Table1[[#This Row],[Expected_Rent]]&lt;&gt;"", F168/Table1[[#This Row],[Expected_Rent]], "")</f>
        <v/>
      </c>
      <c r="L168" t="s">
        <v>20</v>
      </c>
      <c r="M168">
        <f ca="1">IF(Table1[[#This Row],[Renewal_Status]]="Expired",TODAY()-Table1[[#This Row],[Lease_End]],0)</f>
        <v>1091</v>
      </c>
      <c r="N168" s="16">
        <f ca="1">Table1[[#This Row],[Lease_End]]-TODAY()</f>
        <v>-1091</v>
      </c>
      <c r="O168" t="str">
        <f ca="1">IF(Table1[[#This Row],[Days_to_Expiry]]&lt;0,"Expired",
IF(Table1[[#This Row],[Days_to_Expiry]]&lt;30,"High Risk",
IF(Table1[[#This Row],[Days_to_Expiry]]&lt;=60,"Medium Risk",
"Safe")))</f>
        <v>Expired</v>
      </c>
    </row>
    <row r="169" spans="1:15" x14ac:dyDescent="0.35">
      <c r="A169" t="s">
        <v>254</v>
      </c>
      <c r="B169" t="s">
        <v>157</v>
      </c>
      <c r="C169" t="s">
        <v>255</v>
      </c>
      <c r="D169" s="1">
        <v>44694</v>
      </c>
      <c r="E169" s="1">
        <v>45789</v>
      </c>
      <c r="F169">
        <v>3572</v>
      </c>
      <c r="G169">
        <v>8615</v>
      </c>
      <c r="H169">
        <v>5.38</v>
      </c>
      <c r="I169">
        <f t="shared" si="5"/>
        <v>2512</v>
      </c>
      <c r="J169">
        <f t="shared" si="4"/>
        <v>2647.1456000000003</v>
      </c>
      <c r="K169" s="5">
        <f>IF(Table1[[#This Row],[Expected_Rent]]&lt;&gt;"", F169/Table1[[#This Row],[Expected_Rent]], "")</f>
        <v>1.3493779866132032</v>
      </c>
      <c r="L169" t="s">
        <v>12</v>
      </c>
      <c r="M169">
        <f ca="1">IF(Table1[[#This Row],[Renewal_Status]]="Expired",TODAY()-Table1[[#This Row],[Lease_End]],0)</f>
        <v>0</v>
      </c>
      <c r="N169" s="16">
        <f ca="1">Table1[[#This Row],[Lease_End]]-TODAY()</f>
        <v>-278</v>
      </c>
      <c r="O169" t="str">
        <f ca="1">IF(Table1[[#This Row],[Days_to_Expiry]]&lt;0,"Expired",
IF(Table1[[#This Row],[Days_to_Expiry]]&lt;30,"High Risk",
IF(Table1[[#This Row],[Days_to_Expiry]]&lt;=60,"Medium Risk",
"Safe")))</f>
        <v>Expired</v>
      </c>
    </row>
    <row r="170" spans="1:15" x14ac:dyDescent="0.35">
      <c r="A170" t="s">
        <v>156</v>
      </c>
      <c r="B170" t="s">
        <v>157</v>
      </c>
      <c r="C170" t="s">
        <v>158</v>
      </c>
      <c r="D170" s="1">
        <v>44774</v>
      </c>
      <c r="E170" s="1">
        <v>45869</v>
      </c>
      <c r="F170">
        <v>3793</v>
      </c>
      <c r="G170">
        <v>9883</v>
      </c>
      <c r="H170">
        <v>3.36</v>
      </c>
      <c r="I170">
        <f t="shared" si="5"/>
        <v>3572</v>
      </c>
      <c r="J170">
        <f t="shared" si="4"/>
        <v>3692.0192000000002</v>
      </c>
      <c r="K170" s="5">
        <f>IF(Table1[[#This Row],[Expected_Rent]]&lt;&gt;"", F170/Table1[[#This Row],[Expected_Rent]], "")</f>
        <v>1.0273511036995691</v>
      </c>
      <c r="L170" t="s">
        <v>20</v>
      </c>
      <c r="M170">
        <f ca="1">IF(Table1[[#This Row],[Renewal_Status]]="Expired",TODAY()-Table1[[#This Row],[Lease_End]],0)</f>
        <v>198</v>
      </c>
      <c r="N170" s="16">
        <f ca="1">Table1[[#This Row],[Lease_End]]-TODAY()</f>
        <v>-198</v>
      </c>
      <c r="O170" t="str">
        <f ca="1">IF(Table1[[#This Row],[Days_to_Expiry]]&lt;0,"Expired",
IF(Table1[[#This Row],[Days_to_Expiry]]&lt;30,"High Risk",
IF(Table1[[#This Row],[Days_to_Expiry]]&lt;=60,"Medium Risk",
"Safe")))</f>
        <v>Expired</v>
      </c>
    </row>
    <row r="171" spans="1:15" x14ac:dyDescent="0.35">
      <c r="A171" t="s">
        <v>449</v>
      </c>
      <c r="B171" t="s">
        <v>429</v>
      </c>
      <c r="C171" t="s">
        <v>450</v>
      </c>
      <c r="D171" s="1">
        <v>44708</v>
      </c>
      <c r="E171" s="1">
        <v>45438</v>
      </c>
      <c r="F171">
        <v>3082</v>
      </c>
      <c r="G171">
        <v>19321</v>
      </c>
      <c r="H171">
        <v>5.55</v>
      </c>
      <c r="I171" t="str">
        <f t="shared" si="5"/>
        <v/>
      </c>
      <c r="J171" t="str">
        <f t="shared" si="4"/>
        <v/>
      </c>
      <c r="K171" s="5" t="str">
        <f>IF(Table1[[#This Row],[Expected_Rent]]&lt;&gt;"", F171/Table1[[#This Row],[Expected_Rent]], "")</f>
        <v/>
      </c>
      <c r="L171" t="s">
        <v>12</v>
      </c>
      <c r="M171">
        <f ca="1">IF(Table1[[#This Row],[Renewal_Status]]="Expired",TODAY()-Table1[[#This Row],[Lease_End]],0)</f>
        <v>0</v>
      </c>
      <c r="N171" s="16">
        <f ca="1">Table1[[#This Row],[Lease_End]]-TODAY()</f>
        <v>-629</v>
      </c>
      <c r="O171" t="str">
        <f ca="1">IF(Table1[[#This Row],[Days_to_Expiry]]&lt;0,"Expired",
IF(Table1[[#This Row],[Days_to_Expiry]]&lt;30,"High Risk",
IF(Table1[[#This Row],[Days_to_Expiry]]&lt;=60,"Medium Risk",
"Safe")))</f>
        <v>Expired</v>
      </c>
    </row>
    <row r="172" spans="1:15" x14ac:dyDescent="0.35">
      <c r="A172" t="s">
        <v>639</v>
      </c>
      <c r="B172" t="s">
        <v>429</v>
      </c>
      <c r="C172" t="s">
        <v>640</v>
      </c>
      <c r="D172" s="1">
        <v>44709</v>
      </c>
      <c r="E172" s="1">
        <v>45439</v>
      </c>
      <c r="F172">
        <v>5446</v>
      </c>
      <c r="G172">
        <v>12851</v>
      </c>
      <c r="H172">
        <v>4.13</v>
      </c>
      <c r="I172">
        <f t="shared" si="5"/>
        <v>3082</v>
      </c>
      <c r="J172">
        <f t="shared" si="4"/>
        <v>3209.2865999999995</v>
      </c>
      <c r="K172" s="5">
        <f>IF(Table1[[#This Row],[Expected_Rent]]&lt;&gt;"", F172/Table1[[#This Row],[Expected_Rent]], "")</f>
        <v>1.6969503440421934</v>
      </c>
      <c r="L172" t="s">
        <v>20</v>
      </c>
      <c r="M172">
        <f ca="1">IF(Table1[[#This Row],[Renewal_Status]]="Expired",TODAY()-Table1[[#This Row],[Lease_End]],0)</f>
        <v>628</v>
      </c>
      <c r="N172" s="16">
        <f ca="1">Table1[[#This Row],[Lease_End]]-TODAY()</f>
        <v>-628</v>
      </c>
      <c r="O172" t="str">
        <f ca="1">IF(Table1[[#This Row],[Days_to_Expiry]]&lt;0,"Expired",
IF(Table1[[#This Row],[Days_to_Expiry]]&lt;30,"High Risk",
IF(Table1[[#This Row],[Days_to_Expiry]]&lt;=60,"Medium Risk",
"Safe")))</f>
        <v>Expired</v>
      </c>
    </row>
    <row r="173" spans="1:15" x14ac:dyDescent="0.35">
      <c r="A173" t="s">
        <v>428</v>
      </c>
      <c r="B173" t="s">
        <v>429</v>
      </c>
      <c r="C173" t="s">
        <v>430</v>
      </c>
      <c r="D173" s="1">
        <v>44725</v>
      </c>
      <c r="E173" s="1">
        <v>45820</v>
      </c>
      <c r="F173">
        <v>2546</v>
      </c>
      <c r="G173">
        <v>15829</v>
      </c>
      <c r="H173">
        <v>7.6</v>
      </c>
      <c r="I173">
        <f t="shared" si="5"/>
        <v>5446</v>
      </c>
      <c r="J173">
        <f t="shared" si="4"/>
        <v>5859.8960000000006</v>
      </c>
      <c r="K173" s="5">
        <f>IF(Table1[[#This Row],[Expected_Rent]]&lt;&gt;"", F173/Table1[[#This Row],[Expected_Rent]], "")</f>
        <v>0.43447870064588173</v>
      </c>
      <c r="L173" t="s">
        <v>20</v>
      </c>
      <c r="M173">
        <f ca="1">IF(Table1[[#This Row],[Renewal_Status]]="Expired",TODAY()-Table1[[#This Row],[Lease_End]],0)</f>
        <v>247</v>
      </c>
      <c r="N173" s="16">
        <f ca="1">Table1[[#This Row],[Lease_End]]-TODAY()</f>
        <v>-247</v>
      </c>
      <c r="O173" t="str">
        <f ca="1">IF(Table1[[#This Row],[Days_to_Expiry]]&lt;0,"Expired",
IF(Table1[[#This Row],[Days_to_Expiry]]&lt;30,"High Risk",
IF(Table1[[#This Row],[Days_to_Expiry]]&lt;=60,"Medium Risk",
"Safe")))</f>
        <v>Expired</v>
      </c>
    </row>
    <row r="174" spans="1:15" x14ac:dyDescent="0.35">
      <c r="A174" t="s">
        <v>590</v>
      </c>
      <c r="B174" t="s">
        <v>429</v>
      </c>
      <c r="C174" t="s">
        <v>591</v>
      </c>
      <c r="D174" s="1">
        <v>45116</v>
      </c>
      <c r="E174" s="1">
        <v>45846</v>
      </c>
      <c r="F174">
        <v>3635</v>
      </c>
      <c r="G174">
        <v>9509</v>
      </c>
      <c r="H174">
        <v>4.4000000000000004</v>
      </c>
      <c r="I174">
        <f t="shared" si="5"/>
        <v>2546</v>
      </c>
      <c r="J174">
        <f t="shared" si="4"/>
        <v>2658.0239999999999</v>
      </c>
      <c r="K174" s="5">
        <f>IF(Table1[[#This Row],[Expected_Rent]]&lt;&gt;"", F174/Table1[[#This Row],[Expected_Rent]], "")</f>
        <v>1.3675572530571583</v>
      </c>
      <c r="L174" t="s">
        <v>16</v>
      </c>
      <c r="M174">
        <f ca="1">IF(Table1[[#This Row],[Renewal_Status]]="Expired",TODAY()-Table1[[#This Row],[Lease_End]],0)</f>
        <v>0</v>
      </c>
      <c r="N174" s="16">
        <f ca="1">Table1[[#This Row],[Lease_End]]-TODAY()</f>
        <v>-221</v>
      </c>
      <c r="O174" t="str">
        <f ca="1">IF(Table1[[#This Row],[Days_to_Expiry]]&lt;0,"Expired",
IF(Table1[[#This Row],[Days_to_Expiry]]&lt;30,"High Risk",
IF(Table1[[#This Row],[Days_to_Expiry]]&lt;=60,"Medium Risk",
"Safe")))</f>
        <v>Expired</v>
      </c>
    </row>
    <row r="175" spans="1:15" x14ac:dyDescent="0.35">
      <c r="A175" t="s">
        <v>33</v>
      </c>
      <c r="B175" t="s">
        <v>34</v>
      </c>
      <c r="C175" t="s">
        <v>35</v>
      </c>
      <c r="D175" s="1">
        <v>44591</v>
      </c>
      <c r="E175" s="1">
        <v>45686</v>
      </c>
      <c r="F175">
        <v>2643</v>
      </c>
      <c r="G175">
        <v>9556</v>
      </c>
      <c r="H175">
        <v>6.62</v>
      </c>
      <c r="I175" t="str">
        <f t="shared" si="5"/>
        <v/>
      </c>
      <c r="J175" t="str">
        <f t="shared" si="4"/>
        <v/>
      </c>
      <c r="K175" s="5" t="str">
        <f>IF(Table1[[#This Row],[Expected_Rent]]&lt;&gt;"", F175/Table1[[#This Row],[Expected_Rent]], "")</f>
        <v/>
      </c>
      <c r="L175" t="s">
        <v>16</v>
      </c>
      <c r="M175">
        <f ca="1">IF(Table1[[#This Row],[Renewal_Status]]="Expired",TODAY()-Table1[[#This Row],[Lease_End]],0)</f>
        <v>0</v>
      </c>
      <c r="N175" s="16">
        <f ca="1">Table1[[#This Row],[Lease_End]]-TODAY()</f>
        <v>-381</v>
      </c>
      <c r="O175" t="str">
        <f ca="1">IF(Table1[[#This Row],[Days_to_Expiry]]&lt;0,"Expired",
IF(Table1[[#This Row],[Days_to_Expiry]]&lt;30,"High Risk",
IF(Table1[[#This Row],[Days_to_Expiry]]&lt;=60,"Medium Risk",
"Safe")))</f>
        <v>Expired</v>
      </c>
    </row>
    <row r="176" spans="1:15" x14ac:dyDescent="0.35">
      <c r="A176" t="s">
        <v>224</v>
      </c>
      <c r="B176" t="s">
        <v>34</v>
      </c>
      <c r="C176" t="s">
        <v>225</v>
      </c>
      <c r="D176" s="1">
        <v>44876</v>
      </c>
      <c r="E176" s="1">
        <v>45606</v>
      </c>
      <c r="F176">
        <v>6118</v>
      </c>
      <c r="G176">
        <v>16047</v>
      </c>
      <c r="H176">
        <v>5.07</v>
      </c>
      <c r="I176">
        <f t="shared" si="5"/>
        <v>2643</v>
      </c>
      <c r="J176">
        <f t="shared" si="4"/>
        <v>2777.0000999999997</v>
      </c>
      <c r="K176" s="5">
        <f>IF(Table1[[#This Row],[Expected_Rent]]&lt;&gt;"", F176/Table1[[#This Row],[Expected_Rent]], "")</f>
        <v>2.2030967877890966</v>
      </c>
      <c r="L176" t="s">
        <v>12</v>
      </c>
      <c r="M176">
        <f ca="1">IF(Table1[[#This Row],[Renewal_Status]]="Expired",TODAY()-Table1[[#This Row],[Lease_End]],0)</f>
        <v>0</v>
      </c>
      <c r="N176" s="16">
        <f ca="1">Table1[[#This Row],[Lease_End]]-TODAY()</f>
        <v>-461</v>
      </c>
      <c r="O176" t="str">
        <f ca="1">IF(Table1[[#This Row],[Days_to_Expiry]]&lt;0,"Expired",
IF(Table1[[#This Row],[Days_to_Expiry]]&lt;30,"High Risk",
IF(Table1[[#This Row],[Days_to_Expiry]]&lt;=60,"Medium Risk",
"Safe")))</f>
        <v>Expired</v>
      </c>
    </row>
    <row r="177" spans="1:15" x14ac:dyDescent="0.35">
      <c r="A177" t="s">
        <v>657</v>
      </c>
      <c r="B177" t="s">
        <v>34</v>
      </c>
      <c r="C177" t="s">
        <v>658</v>
      </c>
      <c r="D177" s="1">
        <v>44921</v>
      </c>
      <c r="E177" s="1">
        <v>46016</v>
      </c>
      <c r="F177">
        <v>5955</v>
      </c>
      <c r="G177">
        <v>8893</v>
      </c>
      <c r="H177">
        <v>5.55</v>
      </c>
      <c r="I177">
        <f t="shared" si="5"/>
        <v>6118</v>
      </c>
      <c r="J177">
        <f t="shared" si="4"/>
        <v>6457.5490000000009</v>
      </c>
      <c r="K177" s="5">
        <f>IF(Table1[[#This Row],[Expected_Rent]]&lt;&gt;"", F177/Table1[[#This Row],[Expected_Rent]], "")</f>
        <v>0.92217651000402767</v>
      </c>
      <c r="L177" t="s">
        <v>16</v>
      </c>
      <c r="M177">
        <f ca="1">IF(Table1[[#This Row],[Renewal_Status]]="Expired",TODAY()-Table1[[#This Row],[Lease_End]],0)</f>
        <v>0</v>
      </c>
      <c r="N177" s="16">
        <f ca="1">Table1[[#This Row],[Lease_End]]-TODAY()</f>
        <v>-51</v>
      </c>
      <c r="O177" t="str">
        <f ca="1">IF(Table1[[#This Row],[Days_to_Expiry]]&lt;0,"Expired",
IF(Table1[[#This Row],[Days_to_Expiry]]&lt;30,"High Risk",
IF(Table1[[#This Row],[Days_to_Expiry]]&lt;=60,"Medium Risk",
"Safe")))</f>
        <v>Expired</v>
      </c>
    </row>
    <row r="178" spans="1:15" x14ac:dyDescent="0.35">
      <c r="A178" t="s">
        <v>538</v>
      </c>
      <c r="B178" t="s">
        <v>34</v>
      </c>
      <c r="C178" t="s">
        <v>539</v>
      </c>
      <c r="D178" s="1">
        <v>45232</v>
      </c>
      <c r="E178" s="1">
        <v>45597</v>
      </c>
      <c r="F178">
        <v>5454</v>
      </c>
      <c r="G178">
        <v>10319</v>
      </c>
      <c r="H178">
        <v>5.93</v>
      </c>
      <c r="I178">
        <f t="shared" si="5"/>
        <v>5955</v>
      </c>
      <c r="J178">
        <f t="shared" si="4"/>
        <v>6308.1314999999995</v>
      </c>
      <c r="K178" s="5">
        <f>IF(Table1[[#This Row],[Expected_Rent]]&lt;&gt;"", F178/Table1[[#This Row],[Expected_Rent]], "")</f>
        <v>0.8645983362902312</v>
      </c>
      <c r="L178" t="s">
        <v>20</v>
      </c>
      <c r="M178">
        <f ca="1">IF(Table1[[#This Row],[Renewal_Status]]="Expired",TODAY()-Table1[[#This Row],[Lease_End]],0)</f>
        <v>470</v>
      </c>
      <c r="N178" s="16">
        <f ca="1">Table1[[#This Row],[Lease_End]]-TODAY()</f>
        <v>-470</v>
      </c>
      <c r="O178" t="str">
        <f ca="1">IF(Table1[[#This Row],[Days_to_Expiry]]&lt;0,"Expired",
IF(Table1[[#This Row],[Days_to_Expiry]]&lt;30,"High Risk",
IF(Table1[[#This Row],[Days_to_Expiry]]&lt;=60,"Medium Risk",
"Safe")))</f>
        <v>Expired</v>
      </c>
    </row>
    <row r="179" spans="1:15" x14ac:dyDescent="0.35">
      <c r="A179" t="s">
        <v>491</v>
      </c>
      <c r="B179" t="s">
        <v>34</v>
      </c>
      <c r="C179" t="s">
        <v>492</v>
      </c>
      <c r="D179" s="1">
        <v>45246</v>
      </c>
      <c r="E179" s="1">
        <v>45976</v>
      </c>
      <c r="F179">
        <v>6641</v>
      </c>
      <c r="G179">
        <v>15519</v>
      </c>
      <c r="H179">
        <v>3.55</v>
      </c>
      <c r="I179">
        <f t="shared" si="5"/>
        <v>5454</v>
      </c>
      <c r="J179">
        <f t="shared" si="4"/>
        <v>5647.6170000000002</v>
      </c>
      <c r="K179" s="5">
        <f>IF(Table1[[#This Row],[Expected_Rent]]&lt;&gt;"", F179/Table1[[#This Row],[Expected_Rent]], "")</f>
        <v>1.1758941868756327</v>
      </c>
      <c r="L179" t="s">
        <v>20</v>
      </c>
      <c r="M179">
        <f ca="1">IF(Table1[[#This Row],[Renewal_Status]]="Expired",TODAY()-Table1[[#This Row],[Lease_End]],0)</f>
        <v>91</v>
      </c>
      <c r="N179" s="16">
        <f ca="1">Table1[[#This Row],[Lease_End]]-TODAY()</f>
        <v>-91</v>
      </c>
      <c r="O179" t="str">
        <f ca="1">IF(Table1[[#This Row],[Days_to_Expiry]]&lt;0,"Expired",
IF(Table1[[#This Row],[Days_to_Expiry]]&lt;30,"High Risk",
IF(Table1[[#This Row],[Days_to_Expiry]]&lt;=60,"Medium Risk",
"Safe")))</f>
        <v>Expired</v>
      </c>
    </row>
    <row r="180" spans="1:15" x14ac:dyDescent="0.35">
      <c r="A180" t="s">
        <v>619</v>
      </c>
      <c r="B180" t="s">
        <v>620</v>
      </c>
      <c r="C180" t="s">
        <v>621</v>
      </c>
      <c r="D180" s="1">
        <v>44572</v>
      </c>
      <c r="E180" s="1">
        <v>45667</v>
      </c>
      <c r="F180">
        <v>6191</v>
      </c>
      <c r="G180">
        <v>8993</v>
      </c>
      <c r="H180">
        <v>4.6399999999999997</v>
      </c>
      <c r="I180" t="str">
        <f t="shared" si="5"/>
        <v/>
      </c>
      <c r="J180" t="str">
        <f t="shared" si="4"/>
        <v/>
      </c>
      <c r="K180" s="5" t="str">
        <f>IF(Table1[[#This Row],[Expected_Rent]]&lt;&gt;"", F180/Table1[[#This Row],[Expected_Rent]], "")</f>
        <v/>
      </c>
      <c r="L180" t="s">
        <v>20</v>
      </c>
      <c r="M180">
        <f ca="1">IF(Table1[[#This Row],[Renewal_Status]]="Expired",TODAY()-Table1[[#This Row],[Lease_End]],0)</f>
        <v>400</v>
      </c>
      <c r="N180" s="16">
        <f ca="1">Table1[[#This Row],[Lease_End]]-TODAY()</f>
        <v>-400</v>
      </c>
      <c r="O180" t="str">
        <f ca="1">IF(Table1[[#This Row],[Days_to_Expiry]]&lt;0,"Expired",
IF(Table1[[#This Row],[Days_to_Expiry]]&lt;30,"High Risk",
IF(Table1[[#This Row],[Days_to_Expiry]]&lt;=60,"Medium Risk",
"Safe")))</f>
        <v>Expired</v>
      </c>
    </row>
    <row r="181" spans="1:15" x14ac:dyDescent="0.35">
      <c r="A181" t="s">
        <v>408</v>
      </c>
      <c r="B181" t="s">
        <v>409</v>
      </c>
      <c r="C181" t="s">
        <v>410</v>
      </c>
      <c r="D181" s="1">
        <v>44802</v>
      </c>
      <c r="E181" s="1">
        <v>45532</v>
      </c>
      <c r="F181">
        <v>6620</v>
      </c>
      <c r="G181">
        <v>6465</v>
      </c>
      <c r="H181">
        <v>5.55</v>
      </c>
      <c r="I181" t="str">
        <f t="shared" si="5"/>
        <v/>
      </c>
      <c r="J181" t="str">
        <f t="shared" si="4"/>
        <v/>
      </c>
      <c r="K181" s="5" t="str">
        <f>IF(Table1[[#This Row],[Expected_Rent]]&lt;&gt;"", F181/Table1[[#This Row],[Expected_Rent]], "")</f>
        <v/>
      </c>
      <c r="L181" t="s">
        <v>20</v>
      </c>
      <c r="M181">
        <f ca="1">IF(Table1[[#This Row],[Renewal_Status]]="Expired",TODAY()-Table1[[#This Row],[Lease_End]],0)</f>
        <v>535</v>
      </c>
      <c r="N181" s="16">
        <f ca="1">Table1[[#This Row],[Lease_End]]-TODAY()</f>
        <v>-535</v>
      </c>
      <c r="O181" t="str">
        <f ca="1">IF(Table1[[#This Row],[Days_to_Expiry]]&lt;0,"Expired",
IF(Table1[[#This Row],[Days_to_Expiry]]&lt;30,"High Risk",
IF(Table1[[#This Row],[Days_to_Expiry]]&lt;=60,"Medium Risk",
"Safe")))</f>
        <v>Expired</v>
      </c>
    </row>
    <row r="182" spans="1:15" x14ac:dyDescent="0.35">
      <c r="A182" t="s">
        <v>313</v>
      </c>
      <c r="B182" t="s">
        <v>314</v>
      </c>
      <c r="C182" t="s">
        <v>315</v>
      </c>
      <c r="D182" s="1">
        <v>45125</v>
      </c>
      <c r="E182" s="1">
        <v>45490</v>
      </c>
      <c r="F182">
        <v>6922</v>
      </c>
      <c r="G182">
        <v>18467</v>
      </c>
      <c r="H182">
        <v>4.03</v>
      </c>
      <c r="I182" t="str">
        <f t="shared" si="5"/>
        <v/>
      </c>
      <c r="J182" t="str">
        <f t="shared" si="4"/>
        <v/>
      </c>
      <c r="K182" s="5" t="str">
        <f>IF(Table1[[#This Row],[Expected_Rent]]&lt;&gt;"", F182/Table1[[#This Row],[Expected_Rent]], "")</f>
        <v/>
      </c>
      <c r="L182" t="s">
        <v>12</v>
      </c>
      <c r="M182">
        <f ca="1">IF(Table1[[#This Row],[Renewal_Status]]="Expired",TODAY()-Table1[[#This Row],[Lease_End]],0)</f>
        <v>0</v>
      </c>
      <c r="N182" s="16">
        <f ca="1">Table1[[#This Row],[Lease_End]]-TODAY()</f>
        <v>-577</v>
      </c>
      <c r="O182" t="str">
        <f ca="1">IF(Table1[[#This Row],[Days_to_Expiry]]&lt;0,"Expired",
IF(Table1[[#This Row],[Days_to_Expiry]]&lt;30,"High Risk",
IF(Table1[[#This Row],[Days_to_Expiry]]&lt;=60,"Medium Risk",
"Safe")))</f>
        <v>Expired</v>
      </c>
    </row>
    <row r="183" spans="1:15" x14ac:dyDescent="0.35">
      <c r="A183" t="s">
        <v>124</v>
      </c>
      <c r="B183" t="s">
        <v>125</v>
      </c>
      <c r="C183" t="s">
        <v>126</v>
      </c>
      <c r="D183" s="1">
        <v>44934</v>
      </c>
      <c r="E183" s="1">
        <v>45299</v>
      </c>
      <c r="F183">
        <v>2695</v>
      </c>
      <c r="G183">
        <v>10432</v>
      </c>
      <c r="H183">
        <v>4.43</v>
      </c>
      <c r="I183" t="str">
        <f t="shared" si="5"/>
        <v/>
      </c>
      <c r="J183" t="str">
        <f t="shared" si="4"/>
        <v/>
      </c>
      <c r="K183" s="5" t="str">
        <f>IF(Table1[[#This Row],[Expected_Rent]]&lt;&gt;"", F183/Table1[[#This Row],[Expected_Rent]], "")</f>
        <v/>
      </c>
      <c r="L183" t="s">
        <v>16</v>
      </c>
      <c r="M183">
        <f ca="1">IF(Table1[[#This Row],[Renewal_Status]]="Expired",TODAY()-Table1[[#This Row],[Lease_End]],0)</f>
        <v>0</v>
      </c>
      <c r="N183" s="16">
        <f ca="1">Table1[[#This Row],[Lease_End]]-TODAY()</f>
        <v>-768</v>
      </c>
      <c r="O183" t="str">
        <f ca="1">IF(Table1[[#This Row],[Days_to_Expiry]]&lt;0,"Expired",
IF(Table1[[#This Row],[Days_to_Expiry]]&lt;30,"High Risk",
IF(Table1[[#This Row],[Days_to_Expiry]]&lt;=60,"Medium Risk",
"Safe")))</f>
        <v>Expired</v>
      </c>
    </row>
    <row r="184" spans="1:15" x14ac:dyDescent="0.35">
      <c r="A184" t="s">
        <v>631</v>
      </c>
      <c r="B184" t="s">
        <v>528</v>
      </c>
      <c r="C184" t="s">
        <v>632</v>
      </c>
      <c r="D184" s="1">
        <v>44624</v>
      </c>
      <c r="E184" s="1">
        <v>45354</v>
      </c>
      <c r="F184">
        <v>3911</v>
      </c>
      <c r="G184">
        <v>15419</v>
      </c>
      <c r="H184">
        <v>7.37</v>
      </c>
      <c r="I184" t="str">
        <f t="shared" si="5"/>
        <v/>
      </c>
      <c r="J184" t="str">
        <f t="shared" si="4"/>
        <v/>
      </c>
      <c r="K184" s="5" t="str">
        <f>IF(Table1[[#This Row],[Expected_Rent]]&lt;&gt;"", F184/Table1[[#This Row],[Expected_Rent]], "")</f>
        <v/>
      </c>
      <c r="L184" t="s">
        <v>12</v>
      </c>
      <c r="M184">
        <f ca="1">IF(Table1[[#This Row],[Renewal_Status]]="Expired",TODAY()-Table1[[#This Row],[Lease_End]],0)</f>
        <v>0</v>
      </c>
      <c r="N184" s="16">
        <f ca="1">Table1[[#This Row],[Lease_End]]-TODAY()</f>
        <v>-713</v>
      </c>
      <c r="O184" t="str">
        <f ca="1">IF(Table1[[#This Row],[Days_to_Expiry]]&lt;0,"Expired",
IF(Table1[[#This Row],[Days_to_Expiry]]&lt;30,"High Risk",
IF(Table1[[#This Row],[Days_to_Expiry]]&lt;=60,"Medium Risk",
"Safe")))</f>
        <v>Expired</v>
      </c>
    </row>
    <row r="185" spans="1:15" x14ac:dyDescent="0.35">
      <c r="A185" t="s">
        <v>527</v>
      </c>
      <c r="B185" t="s">
        <v>528</v>
      </c>
      <c r="C185" t="s">
        <v>529</v>
      </c>
      <c r="D185" s="1">
        <v>45226</v>
      </c>
      <c r="E185" s="1">
        <v>45956</v>
      </c>
      <c r="F185">
        <v>2582</v>
      </c>
      <c r="G185">
        <v>6177</v>
      </c>
      <c r="H185">
        <v>6.84</v>
      </c>
      <c r="I185">
        <f t="shared" si="5"/>
        <v>3911</v>
      </c>
      <c r="J185">
        <f t="shared" si="4"/>
        <v>4178.5123999999996</v>
      </c>
      <c r="K185" s="5">
        <f>IF(Table1[[#This Row],[Expected_Rent]]&lt;&gt;"", F185/Table1[[#This Row],[Expected_Rent]], "")</f>
        <v>0.6179232590048076</v>
      </c>
      <c r="L185" t="s">
        <v>12</v>
      </c>
      <c r="M185">
        <f ca="1">IF(Table1[[#This Row],[Renewal_Status]]="Expired",TODAY()-Table1[[#This Row],[Lease_End]],0)</f>
        <v>0</v>
      </c>
      <c r="N185" s="16">
        <f ca="1">Table1[[#This Row],[Lease_End]]-TODAY()</f>
        <v>-111</v>
      </c>
      <c r="O185" t="str">
        <f ca="1">IF(Table1[[#This Row],[Days_to_Expiry]]&lt;0,"Expired",
IF(Table1[[#This Row],[Days_to_Expiry]]&lt;30,"High Risk",
IF(Table1[[#This Row],[Days_to_Expiry]]&lt;=60,"Medium Risk",
"Safe")))</f>
        <v>Expired</v>
      </c>
    </row>
    <row r="186" spans="1:15" x14ac:dyDescent="0.35">
      <c r="A186" t="s">
        <v>483</v>
      </c>
      <c r="B186" t="s">
        <v>484</v>
      </c>
      <c r="C186" t="s">
        <v>485</v>
      </c>
      <c r="D186" s="1">
        <v>45241</v>
      </c>
      <c r="E186" s="1">
        <v>45971</v>
      </c>
      <c r="F186">
        <v>4070</v>
      </c>
      <c r="G186">
        <v>12805</v>
      </c>
      <c r="H186">
        <v>4.42</v>
      </c>
      <c r="I186" t="str">
        <f t="shared" si="5"/>
        <v/>
      </c>
      <c r="J186" t="str">
        <f t="shared" si="4"/>
        <v/>
      </c>
      <c r="K186" s="5" t="str">
        <f>IF(Table1[[#This Row],[Expected_Rent]]&lt;&gt;"", F186/Table1[[#This Row],[Expected_Rent]], "")</f>
        <v/>
      </c>
      <c r="L186" t="s">
        <v>16</v>
      </c>
      <c r="M186">
        <f ca="1">IF(Table1[[#This Row],[Renewal_Status]]="Expired",TODAY()-Table1[[#This Row],[Lease_End]],0)</f>
        <v>0</v>
      </c>
      <c r="N186" s="16">
        <f ca="1">Table1[[#This Row],[Lease_End]]-TODAY()</f>
        <v>-96</v>
      </c>
      <c r="O186" t="str">
        <f ca="1">IF(Table1[[#This Row],[Days_to_Expiry]]&lt;0,"Expired",
IF(Table1[[#This Row],[Days_to_Expiry]]&lt;30,"High Risk",
IF(Table1[[#This Row],[Days_to_Expiry]]&lt;=60,"Medium Risk",
"Safe")))</f>
        <v>Expired</v>
      </c>
    </row>
    <row r="187" spans="1:15" x14ac:dyDescent="0.35">
      <c r="A187" t="s">
        <v>500</v>
      </c>
      <c r="B187" t="s">
        <v>501</v>
      </c>
      <c r="C187" t="s">
        <v>502</v>
      </c>
      <c r="D187" s="1">
        <v>44647</v>
      </c>
      <c r="E187" s="1">
        <v>45742</v>
      </c>
      <c r="F187">
        <v>2906</v>
      </c>
      <c r="G187">
        <v>12567</v>
      </c>
      <c r="H187">
        <v>5.79</v>
      </c>
      <c r="I187" t="str">
        <f t="shared" si="5"/>
        <v/>
      </c>
      <c r="J187" t="str">
        <f t="shared" si="4"/>
        <v/>
      </c>
      <c r="K187" s="5" t="str">
        <f>IF(Table1[[#This Row],[Expected_Rent]]&lt;&gt;"", F187/Table1[[#This Row],[Expected_Rent]], "")</f>
        <v/>
      </c>
      <c r="L187" t="s">
        <v>16</v>
      </c>
      <c r="M187">
        <f ca="1">IF(Table1[[#This Row],[Renewal_Status]]="Expired",TODAY()-Table1[[#This Row],[Lease_End]],0)</f>
        <v>0</v>
      </c>
      <c r="N187" s="16">
        <f ca="1">Table1[[#This Row],[Lease_End]]-TODAY()</f>
        <v>-325</v>
      </c>
      <c r="O187" t="str">
        <f ca="1">IF(Table1[[#This Row],[Days_to_Expiry]]&lt;0,"Expired",
IF(Table1[[#This Row],[Days_to_Expiry]]&lt;30,"High Risk",
IF(Table1[[#This Row],[Days_to_Expiry]]&lt;=60,"Medium Risk",
"Safe")))</f>
        <v>Expired</v>
      </c>
    </row>
    <row r="188" spans="1:15" x14ac:dyDescent="0.35">
      <c r="A188" t="s">
        <v>440</v>
      </c>
      <c r="B188" t="s">
        <v>441</v>
      </c>
      <c r="C188" t="s">
        <v>442</v>
      </c>
      <c r="D188" s="1">
        <v>45258</v>
      </c>
      <c r="E188" s="1">
        <v>45623</v>
      </c>
      <c r="F188">
        <v>3894</v>
      </c>
      <c r="G188">
        <v>6930</v>
      </c>
      <c r="H188">
        <v>6.65</v>
      </c>
      <c r="I188" t="str">
        <f t="shared" si="5"/>
        <v/>
      </c>
      <c r="J188" t="str">
        <f t="shared" si="4"/>
        <v/>
      </c>
      <c r="K188" s="5" t="str">
        <f>IF(Table1[[#This Row],[Expected_Rent]]&lt;&gt;"", F188/Table1[[#This Row],[Expected_Rent]], "")</f>
        <v/>
      </c>
      <c r="L188" t="s">
        <v>16</v>
      </c>
      <c r="M188">
        <f ca="1">IF(Table1[[#This Row],[Renewal_Status]]="Expired",TODAY()-Table1[[#This Row],[Lease_End]],0)</f>
        <v>0</v>
      </c>
      <c r="N188" s="16">
        <f ca="1">Table1[[#This Row],[Lease_End]]-TODAY()</f>
        <v>-444</v>
      </c>
      <c r="O188" t="str">
        <f ca="1">IF(Table1[[#This Row],[Days_to_Expiry]]&lt;0,"Expired",
IF(Table1[[#This Row],[Days_to_Expiry]]&lt;30,"High Risk",
IF(Table1[[#This Row],[Days_to_Expiry]]&lt;=60,"Medium Risk",
"Safe")))</f>
        <v>Expired</v>
      </c>
    </row>
    <row r="189" spans="1:15" x14ac:dyDescent="0.35">
      <c r="A189" t="s">
        <v>530</v>
      </c>
      <c r="B189" t="s">
        <v>204</v>
      </c>
      <c r="C189" t="s">
        <v>531</v>
      </c>
      <c r="D189" s="1">
        <v>44723</v>
      </c>
      <c r="E189" s="1">
        <v>45818</v>
      </c>
      <c r="F189">
        <v>5025</v>
      </c>
      <c r="G189">
        <v>5702</v>
      </c>
      <c r="H189">
        <v>6.82</v>
      </c>
      <c r="I189" t="str">
        <f t="shared" si="5"/>
        <v/>
      </c>
      <c r="J189" t="str">
        <f t="shared" si="4"/>
        <v/>
      </c>
      <c r="K189" s="5" t="str">
        <f>IF(Table1[[#This Row],[Expected_Rent]]&lt;&gt;"", F189/Table1[[#This Row],[Expected_Rent]], "")</f>
        <v/>
      </c>
      <c r="L189" t="s">
        <v>12</v>
      </c>
      <c r="M189">
        <f ca="1">IF(Table1[[#This Row],[Renewal_Status]]="Expired",TODAY()-Table1[[#This Row],[Lease_End]],0)</f>
        <v>0</v>
      </c>
      <c r="N189" s="16">
        <f ca="1">Table1[[#This Row],[Lease_End]]-TODAY()</f>
        <v>-249</v>
      </c>
      <c r="O189" t="str">
        <f ca="1">IF(Table1[[#This Row],[Days_to_Expiry]]&lt;0,"Expired",
IF(Table1[[#This Row],[Days_to_Expiry]]&lt;30,"High Risk",
IF(Table1[[#This Row],[Days_to_Expiry]]&lt;=60,"Medium Risk",
"Safe")))</f>
        <v>Expired</v>
      </c>
    </row>
    <row r="190" spans="1:15" x14ac:dyDescent="0.35">
      <c r="A190" t="s">
        <v>203</v>
      </c>
      <c r="B190" t="s">
        <v>204</v>
      </c>
      <c r="C190" t="s">
        <v>205</v>
      </c>
      <c r="D190" s="1">
        <v>44933</v>
      </c>
      <c r="E190" s="1">
        <v>45663</v>
      </c>
      <c r="F190">
        <v>5181</v>
      </c>
      <c r="G190">
        <v>15327</v>
      </c>
      <c r="H190">
        <v>4.04</v>
      </c>
      <c r="I190">
        <f t="shared" si="5"/>
        <v>5025</v>
      </c>
      <c r="J190">
        <f t="shared" si="4"/>
        <v>5228.01</v>
      </c>
      <c r="K190" s="5">
        <f>IF(Table1[[#This Row],[Expected_Rent]]&lt;&gt;"", F190/Table1[[#This Row],[Expected_Rent]], "")</f>
        <v>0.99100805086447807</v>
      </c>
      <c r="L190" t="s">
        <v>12</v>
      </c>
      <c r="M190">
        <f ca="1">IF(Table1[[#This Row],[Renewal_Status]]="Expired",TODAY()-Table1[[#This Row],[Lease_End]],0)</f>
        <v>0</v>
      </c>
      <c r="N190" s="16">
        <f ca="1">Table1[[#This Row],[Lease_End]]-TODAY()</f>
        <v>-404</v>
      </c>
      <c r="O190" t="str">
        <f ca="1">IF(Table1[[#This Row],[Days_to_Expiry]]&lt;0,"Expired",
IF(Table1[[#This Row],[Days_to_Expiry]]&lt;30,"High Risk",
IF(Table1[[#This Row],[Days_to_Expiry]]&lt;=60,"Medium Risk",
"Safe")))</f>
        <v>Expired</v>
      </c>
    </row>
    <row r="191" spans="1:15" x14ac:dyDescent="0.35">
      <c r="A191" t="s">
        <v>309</v>
      </c>
      <c r="B191" t="s">
        <v>204</v>
      </c>
      <c r="C191" t="s">
        <v>310</v>
      </c>
      <c r="D191" s="1">
        <v>45098</v>
      </c>
      <c r="E191" s="1">
        <v>46193</v>
      </c>
      <c r="F191">
        <v>3025</v>
      </c>
      <c r="G191">
        <v>7545</v>
      </c>
      <c r="H191">
        <v>5.72</v>
      </c>
      <c r="I191">
        <f t="shared" si="5"/>
        <v>5181</v>
      </c>
      <c r="J191">
        <f t="shared" si="4"/>
        <v>5477.3531999999996</v>
      </c>
      <c r="K191" s="5">
        <f>IF(Table1[[#This Row],[Expected_Rent]]&lt;&gt;"", F191/Table1[[#This Row],[Expected_Rent]], "")</f>
        <v>0.55227404360193533</v>
      </c>
      <c r="L191" t="s">
        <v>12</v>
      </c>
      <c r="M191">
        <f ca="1">IF(Table1[[#This Row],[Renewal_Status]]="Expired",TODAY()-Table1[[#This Row],[Lease_End]],0)</f>
        <v>0</v>
      </c>
      <c r="N191" s="16">
        <f ca="1">Table1[[#This Row],[Lease_End]]-TODAY()</f>
        <v>126</v>
      </c>
      <c r="O191" t="str">
        <f ca="1">IF(Table1[[#This Row],[Days_to_Expiry]]&lt;0,"Expired",
IF(Table1[[#This Row],[Days_to_Expiry]]&lt;30,"High Risk",
IF(Table1[[#This Row],[Days_to_Expiry]]&lt;=60,"Medium Risk",
"Safe")))</f>
        <v>Safe</v>
      </c>
    </row>
    <row r="192" spans="1:15" x14ac:dyDescent="0.35">
      <c r="A192" t="s">
        <v>717</v>
      </c>
      <c r="B192" t="s">
        <v>242</v>
      </c>
      <c r="C192" t="s">
        <v>718</v>
      </c>
      <c r="D192" s="1">
        <v>44787</v>
      </c>
      <c r="E192" s="1">
        <v>45517</v>
      </c>
      <c r="F192">
        <v>5318</v>
      </c>
      <c r="G192">
        <v>7820</v>
      </c>
      <c r="H192">
        <v>4.24</v>
      </c>
      <c r="I192" t="str">
        <f t="shared" si="5"/>
        <v/>
      </c>
      <c r="J192" t="str">
        <f t="shared" si="4"/>
        <v/>
      </c>
      <c r="K192" s="5" t="str">
        <f>IF(Table1[[#This Row],[Expected_Rent]]&lt;&gt;"", F192/Table1[[#This Row],[Expected_Rent]], "")</f>
        <v/>
      </c>
      <c r="L192" t="s">
        <v>12</v>
      </c>
      <c r="M192">
        <f ca="1">IF(Table1[[#This Row],[Renewal_Status]]="Expired",TODAY()-Table1[[#This Row],[Lease_End]],0)</f>
        <v>0</v>
      </c>
      <c r="N192" s="16">
        <f ca="1">Table1[[#This Row],[Lease_End]]-TODAY()</f>
        <v>-550</v>
      </c>
      <c r="O192" t="str">
        <f ca="1">IF(Table1[[#This Row],[Days_to_Expiry]]&lt;0,"Expired",
IF(Table1[[#This Row],[Days_to_Expiry]]&lt;30,"High Risk",
IF(Table1[[#This Row],[Days_to_Expiry]]&lt;=60,"Medium Risk",
"Safe")))</f>
        <v>Expired</v>
      </c>
    </row>
    <row r="193" spans="1:15" x14ac:dyDescent="0.35">
      <c r="A193" t="s">
        <v>241</v>
      </c>
      <c r="B193" t="s">
        <v>242</v>
      </c>
      <c r="C193" t="s">
        <v>243</v>
      </c>
      <c r="D193" s="1">
        <v>44854</v>
      </c>
      <c r="E193" s="1">
        <v>45219</v>
      </c>
      <c r="F193">
        <v>4054</v>
      </c>
      <c r="G193">
        <v>13749</v>
      </c>
      <c r="H193">
        <v>6.08</v>
      </c>
      <c r="I193">
        <f t="shared" si="5"/>
        <v>5318</v>
      </c>
      <c r="J193">
        <f t="shared" si="4"/>
        <v>5641.3343999999997</v>
      </c>
      <c r="K193" s="5">
        <f>IF(Table1[[#This Row],[Expected_Rent]]&lt;&gt;"", F193/Table1[[#This Row],[Expected_Rent]], "")</f>
        <v>0.71862430278907063</v>
      </c>
      <c r="L193" t="s">
        <v>20</v>
      </c>
      <c r="M193">
        <f ca="1">IF(Table1[[#This Row],[Renewal_Status]]="Expired",TODAY()-Table1[[#This Row],[Lease_End]],0)</f>
        <v>848</v>
      </c>
      <c r="N193" s="16">
        <f ca="1">Table1[[#This Row],[Lease_End]]-TODAY()</f>
        <v>-848</v>
      </c>
      <c r="O193" t="str">
        <f ca="1">IF(Table1[[#This Row],[Days_to_Expiry]]&lt;0,"Expired",
IF(Table1[[#This Row],[Days_to_Expiry]]&lt;30,"High Risk",
IF(Table1[[#This Row],[Days_to_Expiry]]&lt;=60,"Medium Risk",
"Safe")))</f>
        <v>Expired</v>
      </c>
    </row>
    <row r="194" spans="1:15" x14ac:dyDescent="0.35">
      <c r="A194" t="s">
        <v>473</v>
      </c>
      <c r="B194" t="s">
        <v>242</v>
      </c>
      <c r="C194" t="s">
        <v>474</v>
      </c>
      <c r="D194" s="1">
        <v>44953</v>
      </c>
      <c r="E194" s="1">
        <v>46048</v>
      </c>
      <c r="F194">
        <v>5261</v>
      </c>
      <c r="G194">
        <v>12309</v>
      </c>
      <c r="H194">
        <v>4.66</v>
      </c>
      <c r="I194">
        <f t="shared" si="5"/>
        <v>4054</v>
      </c>
      <c r="J194">
        <f t="shared" ref="J194:J257" si="6">IF(I194&lt;&gt;"", I194*(1+H194/100), "")</f>
        <v>4242.9164000000001</v>
      </c>
      <c r="K194" s="5">
        <f>IF(Table1[[#This Row],[Expected_Rent]]&lt;&gt;"", F194/Table1[[#This Row],[Expected_Rent]], "")</f>
        <v>1.2399490124292809</v>
      </c>
      <c r="L194" t="s">
        <v>16</v>
      </c>
      <c r="M194">
        <f ca="1">IF(Table1[[#This Row],[Renewal_Status]]="Expired",TODAY()-Table1[[#This Row],[Lease_End]],0)</f>
        <v>0</v>
      </c>
      <c r="N194" s="16">
        <f ca="1">Table1[[#This Row],[Lease_End]]-TODAY()</f>
        <v>-19</v>
      </c>
      <c r="O194" t="str">
        <f ca="1">IF(Table1[[#This Row],[Days_to_Expiry]]&lt;0,"Expired",
IF(Table1[[#This Row],[Days_to_Expiry]]&lt;30,"High Risk",
IF(Table1[[#This Row],[Days_to_Expiry]]&lt;=60,"Medium Risk",
"Safe")))</f>
        <v>Expired</v>
      </c>
    </row>
    <row r="195" spans="1:15" x14ac:dyDescent="0.35">
      <c r="A195" t="s">
        <v>592</v>
      </c>
      <c r="B195" t="s">
        <v>567</v>
      </c>
      <c r="C195" t="s">
        <v>593</v>
      </c>
      <c r="D195" s="1">
        <v>44642</v>
      </c>
      <c r="E195" s="1">
        <v>45372</v>
      </c>
      <c r="F195">
        <v>6386</v>
      </c>
      <c r="G195">
        <v>6931</v>
      </c>
      <c r="H195">
        <v>5.03</v>
      </c>
      <c r="I195" t="str">
        <f t="shared" ref="I195:I258" si="7">IF(B195=B194, F194, "")</f>
        <v/>
      </c>
      <c r="J195" t="str">
        <f t="shared" si="6"/>
        <v/>
      </c>
      <c r="K195" s="5" t="str">
        <f>IF(Table1[[#This Row],[Expected_Rent]]&lt;&gt;"", F195/Table1[[#This Row],[Expected_Rent]], "")</f>
        <v/>
      </c>
      <c r="L195" t="s">
        <v>16</v>
      </c>
      <c r="M195">
        <f ca="1">IF(Table1[[#This Row],[Renewal_Status]]="Expired",TODAY()-Table1[[#This Row],[Lease_End]],0)</f>
        <v>0</v>
      </c>
      <c r="N195" s="16">
        <f ca="1">Table1[[#This Row],[Lease_End]]-TODAY()</f>
        <v>-695</v>
      </c>
      <c r="O195" t="str">
        <f ca="1">IF(Table1[[#This Row],[Days_to_Expiry]]&lt;0,"Expired",
IF(Table1[[#This Row],[Days_to_Expiry]]&lt;30,"High Risk",
IF(Table1[[#This Row],[Days_to_Expiry]]&lt;=60,"Medium Risk",
"Safe")))</f>
        <v>Expired</v>
      </c>
    </row>
    <row r="196" spans="1:15" x14ac:dyDescent="0.35">
      <c r="A196" t="s">
        <v>566</v>
      </c>
      <c r="B196" t="s">
        <v>567</v>
      </c>
      <c r="C196" t="s">
        <v>568</v>
      </c>
      <c r="D196" s="1">
        <v>45072</v>
      </c>
      <c r="E196" s="1">
        <v>46167</v>
      </c>
      <c r="F196">
        <v>2810</v>
      </c>
      <c r="G196">
        <v>13718</v>
      </c>
      <c r="H196">
        <v>5.08</v>
      </c>
      <c r="I196">
        <f t="shared" si="7"/>
        <v>6386</v>
      </c>
      <c r="J196">
        <f t="shared" si="6"/>
        <v>6710.4088000000002</v>
      </c>
      <c r="K196" s="5">
        <f>IF(Table1[[#This Row],[Expected_Rent]]&lt;&gt;"", F196/Table1[[#This Row],[Expected_Rent]], "")</f>
        <v>0.41875243129747919</v>
      </c>
      <c r="L196" t="s">
        <v>20</v>
      </c>
      <c r="M196">
        <f ca="1">IF(Table1[[#This Row],[Renewal_Status]]="Expired",TODAY()-Table1[[#This Row],[Lease_End]],0)</f>
        <v>-100</v>
      </c>
      <c r="N196" s="16">
        <f ca="1">Table1[[#This Row],[Lease_End]]-TODAY()</f>
        <v>100</v>
      </c>
      <c r="O196" t="str">
        <f ca="1">IF(Table1[[#This Row],[Days_to_Expiry]]&lt;0,"Expired",
IF(Table1[[#This Row],[Days_to_Expiry]]&lt;30,"High Risk",
IF(Table1[[#This Row],[Days_to_Expiry]]&lt;=60,"Medium Risk",
"Safe")))</f>
        <v>Safe</v>
      </c>
    </row>
    <row r="197" spans="1:15" x14ac:dyDescent="0.35">
      <c r="A197" t="s">
        <v>53</v>
      </c>
      <c r="B197" t="s">
        <v>54</v>
      </c>
      <c r="C197" t="s">
        <v>55</v>
      </c>
      <c r="D197" s="1">
        <v>44760</v>
      </c>
      <c r="E197" s="1">
        <v>45125</v>
      </c>
      <c r="F197">
        <v>2803</v>
      </c>
      <c r="G197">
        <v>16772</v>
      </c>
      <c r="H197">
        <v>5.13</v>
      </c>
      <c r="I197" t="str">
        <f t="shared" si="7"/>
        <v/>
      </c>
      <c r="J197" t="str">
        <f t="shared" si="6"/>
        <v/>
      </c>
      <c r="K197" s="5" t="str">
        <f>IF(Table1[[#This Row],[Expected_Rent]]&lt;&gt;"", F197/Table1[[#This Row],[Expected_Rent]], "")</f>
        <v/>
      </c>
      <c r="L197" t="s">
        <v>16</v>
      </c>
      <c r="M197">
        <f ca="1">IF(Table1[[#This Row],[Renewal_Status]]="Expired",TODAY()-Table1[[#This Row],[Lease_End]],0)</f>
        <v>0</v>
      </c>
      <c r="N197" s="16">
        <f ca="1">Table1[[#This Row],[Lease_End]]-TODAY()</f>
        <v>-942</v>
      </c>
      <c r="O197" t="str">
        <f ca="1">IF(Table1[[#This Row],[Days_to_Expiry]]&lt;0,"Expired",
IF(Table1[[#This Row],[Days_to_Expiry]]&lt;30,"High Risk",
IF(Table1[[#This Row],[Days_to_Expiry]]&lt;=60,"Medium Risk",
"Safe")))</f>
        <v>Expired</v>
      </c>
    </row>
    <row r="198" spans="1:15" x14ac:dyDescent="0.35">
      <c r="A198" t="s">
        <v>681</v>
      </c>
      <c r="B198" t="s">
        <v>322</v>
      </c>
      <c r="C198" t="s">
        <v>682</v>
      </c>
      <c r="D198" s="1">
        <v>44798</v>
      </c>
      <c r="E198" s="1">
        <v>45163</v>
      </c>
      <c r="F198">
        <v>4060</v>
      </c>
      <c r="G198">
        <v>6383</v>
      </c>
      <c r="H198">
        <v>3.8</v>
      </c>
      <c r="I198" t="str">
        <f t="shared" si="7"/>
        <v/>
      </c>
      <c r="J198" t="str">
        <f t="shared" si="6"/>
        <v/>
      </c>
      <c r="K198" s="5" t="str">
        <f>IF(Table1[[#This Row],[Expected_Rent]]&lt;&gt;"", F198/Table1[[#This Row],[Expected_Rent]], "")</f>
        <v/>
      </c>
      <c r="L198" t="s">
        <v>16</v>
      </c>
      <c r="M198">
        <f ca="1">IF(Table1[[#This Row],[Renewal_Status]]="Expired",TODAY()-Table1[[#This Row],[Lease_End]],0)</f>
        <v>0</v>
      </c>
      <c r="N198" s="16">
        <f ca="1">Table1[[#This Row],[Lease_End]]-TODAY()</f>
        <v>-904</v>
      </c>
      <c r="O198" t="str">
        <f ca="1">IF(Table1[[#This Row],[Days_to_Expiry]]&lt;0,"Expired",
IF(Table1[[#This Row],[Days_to_Expiry]]&lt;30,"High Risk",
IF(Table1[[#This Row],[Days_to_Expiry]]&lt;=60,"Medium Risk",
"Safe")))</f>
        <v>Expired</v>
      </c>
    </row>
    <row r="199" spans="1:15" x14ac:dyDescent="0.35">
      <c r="A199" t="s">
        <v>321</v>
      </c>
      <c r="B199" t="s">
        <v>322</v>
      </c>
      <c r="C199" t="s">
        <v>323</v>
      </c>
      <c r="D199" s="1">
        <v>45015</v>
      </c>
      <c r="E199" s="1">
        <v>45745</v>
      </c>
      <c r="F199">
        <v>4913</v>
      </c>
      <c r="G199">
        <v>12827</v>
      </c>
      <c r="H199">
        <v>5.61</v>
      </c>
      <c r="I199">
        <f t="shared" si="7"/>
        <v>4060</v>
      </c>
      <c r="J199">
        <f t="shared" si="6"/>
        <v>4287.7660000000005</v>
      </c>
      <c r="K199" s="5">
        <f>IF(Table1[[#This Row],[Expected_Rent]]&lt;&gt;"", F199/Table1[[#This Row],[Expected_Rent]], "")</f>
        <v>1.1458181253361306</v>
      </c>
      <c r="L199" t="s">
        <v>16</v>
      </c>
      <c r="M199">
        <f ca="1">IF(Table1[[#This Row],[Renewal_Status]]="Expired",TODAY()-Table1[[#This Row],[Lease_End]],0)</f>
        <v>0</v>
      </c>
      <c r="N199" s="16">
        <f ca="1">Table1[[#This Row],[Lease_End]]-TODAY()</f>
        <v>-322</v>
      </c>
      <c r="O199" t="str">
        <f ca="1">IF(Table1[[#This Row],[Days_to_Expiry]]&lt;0,"Expired",
IF(Table1[[#This Row],[Days_to_Expiry]]&lt;30,"High Risk",
IF(Table1[[#This Row],[Days_to_Expiry]]&lt;=60,"Medium Risk",
"Safe")))</f>
        <v>Expired</v>
      </c>
    </row>
    <row r="200" spans="1:15" x14ac:dyDescent="0.35">
      <c r="A200" t="s">
        <v>458</v>
      </c>
      <c r="B200" t="s">
        <v>322</v>
      </c>
      <c r="C200" t="s">
        <v>459</v>
      </c>
      <c r="D200" s="1">
        <v>45138</v>
      </c>
      <c r="E200" s="1">
        <v>45503</v>
      </c>
      <c r="F200">
        <v>5856</v>
      </c>
      <c r="G200">
        <v>14418</v>
      </c>
      <c r="H200">
        <v>3.57</v>
      </c>
      <c r="I200">
        <f t="shared" si="7"/>
        <v>4913</v>
      </c>
      <c r="J200">
        <f t="shared" si="6"/>
        <v>5088.3941000000004</v>
      </c>
      <c r="K200" s="5">
        <f>IF(Table1[[#This Row],[Expected_Rent]]&lt;&gt;"", F200/Table1[[#This Row],[Expected_Rent]], "")</f>
        <v>1.1508542547834493</v>
      </c>
      <c r="L200" t="s">
        <v>12</v>
      </c>
      <c r="M200">
        <f ca="1">IF(Table1[[#This Row],[Renewal_Status]]="Expired",TODAY()-Table1[[#This Row],[Lease_End]],0)</f>
        <v>0</v>
      </c>
      <c r="N200" s="16">
        <f ca="1">Table1[[#This Row],[Lease_End]]-TODAY()</f>
        <v>-564</v>
      </c>
      <c r="O200" t="str">
        <f ca="1">IF(Table1[[#This Row],[Days_to_Expiry]]&lt;0,"Expired",
IF(Table1[[#This Row],[Days_to_Expiry]]&lt;30,"High Risk",
IF(Table1[[#This Row],[Days_to_Expiry]]&lt;=60,"Medium Risk",
"Safe")))</f>
        <v>Expired</v>
      </c>
    </row>
    <row r="201" spans="1:15" x14ac:dyDescent="0.35">
      <c r="A201" t="s">
        <v>143</v>
      </c>
      <c r="B201" t="s">
        <v>144</v>
      </c>
      <c r="C201" t="s">
        <v>145</v>
      </c>
      <c r="D201" s="1">
        <v>44568</v>
      </c>
      <c r="E201" s="1">
        <v>44933</v>
      </c>
      <c r="F201">
        <v>4060</v>
      </c>
      <c r="G201">
        <v>8637</v>
      </c>
      <c r="H201">
        <v>4.3600000000000003</v>
      </c>
      <c r="I201" t="str">
        <f t="shared" si="7"/>
        <v/>
      </c>
      <c r="J201" t="str">
        <f t="shared" si="6"/>
        <v/>
      </c>
      <c r="K201" s="5" t="str">
        <f>IF(Table1[[#This Row],[Expected_Rent]]&lt;&gt;"", F201/Table1[[#This Row],[Expected_Rent]], "")</f>
        <v/>
      </c>
      <c r="L201" t="s">
        <v>16</v>
      </c>
      <c r="M201">
        <f ca="1">IF(Table1[[#This Row],[Renewal_Status]]="Expired",TODAY()-Table1[[#This Row],[Lease_End]],0)</f>
        <v>0</v>
      </c>
      <c r="N201" s="16">
        <f ca="1">Table1[[#This Row],[Lease_End]]-TODAY()</f>
        <v>-1134</v>
      </c>
      <c r="O201" t="str">
        <f ca="1">IF(Table1[[#This Row],[Days_to_Expiry]]&lt;0,"Expired",
IF(Table1[[#This Row],[Days_to_Expiry]]&lt;30,"High Risk",
IF(Table1[[#This Row],[Days_to_Expiry]]&lt;=60,"Medium Risk",
"Safe")))</f>
        <v>Expired</v>
      </c>
    </row>
    <row r="202" spans="1:15" x14ac:dyDescent="0.35">
      <c r="A202" t="s">
        <v>546</v>
      </c>
      <c r="B202" t="s">
        <v>144</v>
      </c>
      <c r="C202" t="s">
        <v>547</v>
      </c>
      <c r="D202" s="1">
        <v>44574</v>
      </c>
      <c r="E202" s="1">
        <v>44939</v>
      </c>
      <c r="F202">
        <v>5213</v>
      </c>
      <c r="G202">
        <v>17529</v>
      </c>
      <c r="H202">
        <v>5.75</v>
      </c>
      <c r="I202">
        <f t="shared" si="7"/>
        <v>4060</v>
      </c>
      <c r="J202">
        <f t="shared" si="6"/>
        <v>4293.4500000000007</v>
      </c>
      <c r="K202" s="5">
        <f>IF(Table1[[#This Row],[Expected_Rent]]&lt;&gt;"", F202/Table1[[#This Row],[Expected_Rent]], "")</f>
        <v>1.2141750806461002</v>
      </c>
      <c r="L202" t="s">
        <v>20</v>
      </c>
      <c r="M202">
        <f ca="1">IF(Table1[[#This Row],[Renewal_Status]]="Expired",TODAY()-Table1[[#This Row],[Lease_End]],0)</f>
        <v>1128</v>
      </c>
      <c r="N202" s="16">
        <f ca="1">Table1[[#This Row],[Lease_End]]-TODAY()</f>
        <v>-1128</v>
      </c>
      <c r="O202" t="str">
        <f ca="1">IF(Table1[[#This Row],[Days_to_Expiry]]&lt;0,"Expired",
IF(Table1[[#This Row],[Days_to_Expiry]]&lt;30,"High Risk",
IF(Table1[[#This Row],[Days_to_Expiry]]&lt;=60,"Medium Risk",
"Safe")))</f>
        <v>Expired</v>
      </c>
    </row>
    <row r="203" spans="1:15" x14ac:dyDescent="0.35">
      <c r="A203" t="s">
        <v>426</v>
      </c>
      <c r="B203" t="s">
        <v>144</v>
      </c>
      <c r="C203" t="s">
        <v>427</v>
      </c>
      <c r="D203" s="1">
        <v>44871</v>
      </c>
      <c r="E203" s="1">
        <v>45601</v>
      </c>
      <c r="F203">
        <v>4194</v>
      </c>
      <c r="G203">
        <v>13111</v>
      </c>
      <c r="H203">
        <v>5.73</v>
      </c>
      <c r="I203">
        <f t="shared" si="7"/>
        <v>5213</v>
      </c>
      <c r="J203">
        <f t="shared" si="6"/>
        <v>5511.7048999999997</v>
      </c>
      <c r="K203" s="5">
        <f>IF(Table1[[#This Row],[Expected_Rent]]&lt;&gt;"", F203/Table1[[#This Row],[Expected_Rent]], "")</f>
        <v>0.76092607933345635</v>
      </c>
      <c r="L203" t="s">
        <v>16</v>
      </c>
      <c r="M203">
        <f ca="1">IF(Table1[[#This Row],[Renewal_Status]]="Expired",TODAY()-Table1[[#This Row],[Lease_End]],0)</f>
        <v>0</v>
      </c>
      <c r="N203" s="16">
        <f ca="1">Table1[[#This Row],[Lease_End]]-TODAY()</f>
        <v>-466</v>
      </c>
      <c r="O203" t="str">
        <f ca="1">IF(Table1[[#This Row],[Days_to_Expiry]]&lt;0,"Expired",
IF(Table1[[#This Row],[Days_to_Expiry]]&lt;30,"High Risk",
IF(Table1[[#This Row],[Days_to_Expiry]]&lt;=60,"Medium Risk",
"Safe")))</f>
        <v>Expired</v>
      </c>
    </row>
    <row r="204" spans="1:15" x14ac:dyDescent="0.35">
      <c r="A204" t="s">
        <v>509</v>
      </c>
      <c r="B204" t="s">
        <v>192</v>
      </c>
      <c r="C204" t="s">
        <v>510</v>
      </c>
      <c r="D204" s="1">
        <v>44791</v>
      </c>
      <c r="E204" s="1">
        <v>45886</v>
      </c>
      <c r="F204">
        <v>5519</v>
      </c>
      <c r="G204">
        <v>13062</v>
      </c>
      <c r="H204">
        <v>7.3</v>
      </c>
      <c r="I204" t="str">
        <f t="shared" si="7"/>
        <v/>
      </c>
      <c r="J204" t="str">
        <f t="shared" si="6"/>
        <v/>
      </c>
      <c r="K204" s="5" t="str">
        <f>IF(Table1[[#This Row],[Expected_Rent]]&lt;&gt;"", F204/Table1[[#This Row],[Expected_Rent]], "")</f>
        <v/>
      </c>
      <c r="L204" t="s">
        <v>16</v>
      </c>
      <c r="M204">
        <f ca="1">IF(Table1[[#This Row],[Renewal_Status]]="Expired",TODAY()-Table1[[#This Row],[Lease_End]],0)</f>
        <v>0</v>
      </c>
      <c r="N204" s="16">
        <f ca="1">Table1[[#This Row],[Lease_End]]-TODAY()</f>
        <v>-181</v>
      </c>
      <c r="O204" t="str">
        <f ca="1">IF(Table1[[#This Row],[Days_to_Expiry]]&lt;0,"Expired",
IF(Table1[[#This Row],[Days_to_Expiry]]&lt;30,"High Risk",
IF(Table1[[#This Row],[Days_to_Expiry]]&lt;=60,"Medium Risk",
"Safe")))</f>
        <v>Expired</v>
      </c>
    </row>
    <row r="205" spans="1:15" x14ac:dyDescent="0.35">
      <c r="A205" t="s">
        <v>191</v>
      </c>
      <c r="B205" t="s">
        <v>192</v>
      </c>
      <c r="C205" t="s">
        <v>193</v>
      </c>
      <c r="D205" s="1">
        <v>45128</v>
      </c>
      <c r="E205" s="1">
        <v>45858</v>
      </c>
      <c r="F205">
        <v>5386</v>
      </c>
      <c r="G205">
        <v>9248</v>
      </c>
      <c r="H205">
        <v>7.09</v>
      </c>
      <c r="I205">
        <f t="shared" si="7"/>
        <v>5519</v>
      </c>
      <c r="J205">
        <f t="shared" si="6"/>
        <v>5910.2970999999998</v>
      </c>
      <c r="K205" s="5">
        <f>IF(Table1[[#This Row],[Expected_Rent]]&lt;&gt;"", F205/Table1[[#This Row],[Expected_Rent]], "")</f>
        <v>0.91129090617119746</v>
      </c>
      <c r="L205" t="s">
        <v>16</v>
      </c>
      <c r="M205">
        <f ca="1">IF(Table1[[#This Row],[Renewal_Status]]="Expired",TODAY()-Table1[[#This Row],[Lease_End]],0)</f>
        <v>0</v>
      </c>
      <c r="N205" s="16">
        <f ca="1">Table1[[#This Row],[Lease_End]]-TODAY()</f>
        <v>-209</v>
      </c>
      <c r="O205" t="str">
        <f ca="1">IF(Table1[[#This Row],[Days_to_Expiry]]&lt;0,"Expired",
IF(Table1[[#This Row],[Days_to_Expiry]]&lt;30,"High Risk",
IF(Table1[[#This Row],[Days_to_Expiry]]&lt;=60,"Medium Risk",
"Safe")))</f>
        <v>Expired</v>
      </c>
    </row>
    <row r="206" spans="1:15" x14ac:dyDescent="0.35">
      <c r="A206" t="s">
        <v>395</v>
      </c>
      <c r="B206" t="s">
        <v>192</v>
      </c>
      <c r="C206" t="s">
        <v>396</v>
      </c>
      <c r="D206" s="1">
        <v>45159</v>
      </c>
      <c r="E206" s="1">
        <v>46254</v>
      </c>
      <c r="F206">
        <v>3185</v>
      </c>
      <c r="G206">
        <v>16392</v>
      </c>
      <c r="H206">
        <v>7.12</v>
      </c>
      <c r="I206">
        <f t="shared" si="7"/>
        <v>5386</v>
      </c>
      <c r="J206">
        <f t="shared" si="6"/>
        <v>5769.4831999999997</v>
      </c>
      <c r="K206" s="5">
        <f>IF(Table1[[#This Row],[Expected_Rent]]&lt;&gt;"", F206/Table1[[#This Row],[Expected_Rent]], "")</f>
        <v>0.55204251223055822</v>
      </c>
      <c r="L206" t="s">
        <v>16</v>
      </c>
      <c r="M206">
        <f ca="1">IF(Table1[[#This Row],[Renewal_Status]]="Expired",TODAY()-Table1[[#This Row],[Lease_End]],0)</f>
        <v>0</v>
      </c>
      <c r="N206" s="16">
        <f ca="1">Table1[[#This Row],[Lease_End]]-TODAY()</f>
        <v>187</v>
      </c>
      <c r="O206" t="str">
        <f ca="1">IF(Table1[[#This Row],[Days_to_Expiry]]&lt;0,"Expired",
IF(Table1[[#This Row],[Days_to_Expiry]]&lt;30,"High Risk",
IF(Table1[[#This Row],[Days_to_Expiry]]&lt;=60,"Medium Risk",
"Safe")))</f>
        <v>Safe</v>
      </c>
    </row>
    <row r="207" spans="1:15" x14ac:dyDescent="0.35">
      <c r="A207" t="s">
        <v>540</v>
      </c>
      <c r="B207" t="s">
        <v>541</v>
      </c>
      <c r="C207" t="s">
        <v>542</v>
      </c>
      <c r="D207" s="1">
        <v>44646</v>
      </c>
      <c r="E207" s="1">
        <v>45376</v>
      </c>
      <c r="F207">
        <v>3301</v>
      </c>
      <c r="G207">
        <v>6246</v>
      </c>
      <c r="H207">
        <v>6.77</v>
      </c>
      <c r="I207" t="str">
        <f t="shared" si="7"/>
        <v/>
      </c>
      <c r="J207" t="str">
        <f t="shared" si="6"/>
        <v/>
      </c>
      <c r="K207" s="5" t="str">
        <f>IF(Table1[[#This Row],[Expected_Rent]]&lt;&gt;"", F207/Table1[[#This Row],[Expected_Rent]], "")</f>
        <v/>
      </c>
      <c r="L207" t="s">
        <v>16</v>
      </c>
      <c r="M207">
        <f ca="1">IF(Table1[[#This Row],[Renewal_Status]]="Expired",TODAY()-Table1[[#This Row],[Lease_End]],0)</f>
        <v>0</v>
      </c>
      <c r="N207" s="16">
        <f ca="1">Table1[[#This Row],[Lease_End]]-TODAY()</f>
        <v>-691</v>
      </c>
      <c r="O207" t="str">
        <f ca="1">IF(Table1[[#This Row],[Days_to_Expiry]]&lt;0,"Expired",
IF(Table1[[#This Row],[Days_to_Expiry]]&lt;30,"High Risk",
IF(Table1[[#This Row],[Days_to_Expiry]]&lt;=60,"Medium Risk",
"Safe")))</f>
        <v>Expired</v>
      </c>
    </row>
    <row r="208" spans="1:15" x14ac:dyDescent="0.35">
      <c r="A208" t="s">
        <v>689</v>
      </c>
      <c r="B208" t="s">
        <v>57</v>
      </c>
      <c r="C208" t="s">
        <v>690</v>
      </c>
      <c r="D208" s="1">
        <v>44722</v>
      </c>
      <c r="E208" s="1">
        <v>45817</v>
      </c>
      <c r="F208">
        <v>3545</v>
      </c>
      <c r="G208">
        <v>6932</v>
      </c>
      <c r="H208">
        <v>5.47</v>
      </c>
      <c r="I208" t="str">
        <f t="shared" si="7"/>
        <v/>
      </c>
      <c r="J208" t="str">
        <f t="shared" si="6"/>
        <v/>
      </c>
      <c r="K208" s="5" t="str">
        <f>IF(Table1[[#This Row],[Expected_Rent]]&lt;&gt;"", F208/Table1[[#This Row],[Expected_Rent]], "")</f>
        <v/>
      </c>
      <c r="L208" t="s">
        <v>16</v>
      </c>
      <c r="M208">
        <f ca="1">IF(Table1[[#This Row],[Renewal_Status]]="Expired",TODAY()-Table1[[#This Row],[Lease_End]],0)</f>
        <v>0</v>
      </c>
      <c r="N208" s="16">
        <f ca="1">Table1[[#This Row],[Lease_End]]-TODAY()</f>
        <v>-250</v>
      </c>
      <c r="O208" t="str">
        <f ca="1">IF(Table1[[#This Row],[Days_to_Expiry]]&lt;0,"Expired",
IF(Table1[[#This Row],[Days_to_Expiry]]&lt;30,"High Risk",
IF(Table1[[#This Row],[Days_to_Expiry]]&lt;=60,"Medium Risk",
"Safe")))</f>
        <v>Expired</v>
      </c>
    </row>
    <row r="209" spans="1:15" x14ac:dyDescent="0.35">
      <c r="A209" t="s">
        <v>662</v>
      </c>
      <c r="B209" t="s">
        <v>57</v>
      </c>
      <c r="C209" t="s">
        <v>663</v>
      </c>
      <c r="D209" s="1">
        <v>44911</v>
      </c>
      <c r="E209" s="1">
        <v>45641</v>
      </c>
      <c r="F209">
        <v>3478</v>
      </c>
      <c r="G209">
        <v>15839</v>
      </c>
      <c r="H209">
        <v>6.9</v>
      </c>
      <c r="I209">
        <f t="shared" si="7"/>
        <v>3545</v>
      </c>
      <c r="J209">
        <f t="shared" si="6"/>
        <v>3789.605</v>
      </c>
      <c r="K209" s="5">
        <f>IF(Table1[[#This Row],[Expected_Rent]]&lt;&gt;"", F209/Table1[[#This Row],[Expected_Rent]], "")</f>
        <v>0.91777375214567214</v>
      </c>
      <c r="L209" t="s">
        <v>12</v>
      </c>
      <c r="M209">
        <f ca="1">IF(Table1[[#This Row],[Renewal_Status]]="Expired",TODAY()-Table1[[#This Row],[Lease_End]],0)</f>
        <v>0</v>
      </c>
      <c r="N209" s="16">
        <f ca="1">Table1[[#This Row],[Lease_End]]-TODAY()</f>
        <v>-426</v>
      </c>
      <c r="O209" t="str">
        <f ca="1">IF(Table1[[#This Row],[Days_to_Expiry]]&lt;0,"Expired",
IF(Table1[[#This Row],[Days_to_Expiry]]&lt;30,"High Risk",
IF(Table1[[#This Row],[Days_to_Expiry]]&lt;=60,"Medium Risk",
"Safe")))</f>
        <v>Expired</v>
      </c>
    </row>
    <row r="210" spans="1:15" x14ac:dyDescent="0.35">
      <c r="A210" t="s">
        <v>683</v>
      </c>
      <c r="B210" t="s">
        <v>57</v>
      </c>
      <c r="C210" t="s">
        <v>684</v>
      </c>
      <c r="D210" s="1">
        <v>45143</v>
      </c>
      <c r="E210" s="1">
        <v>45873</v>
      </c>
      <c r="F210">
        <v>6156</v>
      </c>
      <c r="G210">
        <v>14272</v>
      </c>
      <c r="H210">
        <v>4.6399999999999997</v>
      </c>
      <c r="I210">
        <f t="shared" si="7"/>
        <v>3478</v>
      </c>
      <c r="J210">
        <f t="shared" si="6"/>
        <v>3639.3791999999999</v>
      </c>
      <c r="K210" s="5">
        <f>IF(Table1[[#This Row],[Expected_Rent]]&lt;&gt;"", F210/Table1[[#This Row],[Expected_Rent]], "")</f>
        <v>1.6914972751396722</v>
      </c>
      <c r="L210" t="s">
        <v>12</v>
      </c>
      <c r="M210">
        <f ca="1">IF(Table1[[#This Row],[Renewal_Status]]="Expired",TODAY()-Table1[[#This Row],[Lease_End]],0)</f>
        <v>0</v>
      </c>
      <c r="N210" s="16">
        <f ca="1">Table1[[#This Row],[Lease_End]]-TODAY()</f>
        <v>-194</v>
      </c>
      <c r="O210" t="str">
        <f ca="1">IF(Table1[[#This Row],[Days_to_Expiry]]&lt;0,"Expired",
IF(Table1[[#This Row],[Days_to_Expiry]]&lt;30,"High Risk",
IF(Table1[[#This Row],[Days_to_Expiry]]&lt;=60,"Medium Risk",
"Safe")))</f>
        <v>Expired</v>
      </c>
    </row>
    <row r="211" spans="1:15" x14ac:dyDescent="0.35">
      <c r="A211" t="s">
        <v>56</v>
      </c>
      <c r="B211" t="s">
        <v>57</v>
      </c>
      <c r="C211" t="s">
        <v>58</v>
      </c>
      <c r="D211" s="1">
        <v>45230</v>
      </c>
      <c r="E211" s="1">
        <v>46325</v>
      </c>
      <c r="F211">
        <v>3600</v>
      </c>
      <c r="G211">
        <v>7689</v>
      </c>
      <c r="H211">
        <v>6.46</v>
      </c>
      <c r="I211">
        <f t="shared" si="7"/>
        <v>6156</v>
      </c>
      <c r="J211">
        <f t="shared" si="6"/>
        <v>6553.6776</v>
      </c>
      <c r="K211" s="5">
        <f>IF(Table1[[#This Row],[Expected_Rent]]&lt;&gt;"", F211/Table1[[#This Row],[Expected_Rent]], "")</f>
        <v>0.54930990197015495</v>
      </c>
      <c r="L211" t="s">
        <v>16</v>
      </c>
      <c r="M211">
        <f ca="1">IF(Table1[[#This Row],[Renewal_Status]]="Expired",TODAY()-Table1[[#This Row],[Lease_End]],0)</f>
        <v>0</v>
      </c>
      <c r="N211" s="16">
        <f ca="1">Table1[[#This Row],[Lease_End]]-TODAY()</f>
        <v>258</v>
      </c>
      <c r="O211" t="str">
        <f ca="1">IF(Table1[[#This Row],[Days_to_Expiry]]&lt;0,"Expired",
IF(Table1[[#This Row],[Days_to_Expiry]]&lt;30,"High Risk",
IF(Table1[[#This Row],[Days_to_Expiry]]&lt;=60,"Medium Risk",
"Safe")))</f>
        <v>Safe</v>
      </c>
    </row>
    <row r="212" spans="1:15" x14ac:dyDescent="0.35">
      <c r="A212" t="s">
        <v>132</v>
      </c>
      <c r="B212" t="s">
        <v>108</v>
      </c>
      <c r="C212" t="s">
        <v>133</v>
      </c>
      <c r="D212" s="1">
        <v>44727</v>
      </c>
      <c r="E212" s="1">
        <v>45822</v>
      </c>
      <c r="F212">
        <v>6402</v>
      </c>
      <c r="G212">
        <v>18021</v>
      </c>
      <c r="H212">
        <v>3.65</v>
      </c>
      <c r="I212" t="str">
        <f t="shared" si="7"/>
        <v/>
      </c>
      <c r="J212" t="str">
        <f t="shared" si="6"/>
        <v/>
      </c>
      <c r="K212" s="5" t="str">
        <f>IF(Table1[[#This Row],[Expected_Rent]]&lt;&gt;"", F212/Table1[[#This Row],[Expected_Rent]], "")</f>
        <v/>
      </c>
      <c r="L212" t="s">
        <v>16</v>
      </c>
      <c r="M212">
        <f ca="1">IF(Table1[[#This Row],[Renewal_Status]]="Expired",TODAY()-Table1[[#This Row],[Lease_End]],0)</f>
        <v>0</v>
      </c>
      <c r="N212" s="16">
        <f ca="1">Table1[[#This Row],[Lease_End]]-TODAY()</f>
        <v>-245</v>
      </c>
      <c r="O212" t="str">
        <f ca="1">IF(Table1[[#This Row],[Days_to_Expiry]]&lt;0,"Expired",
IF(Table1[[#This Row],[Days_to_Expiry]]&lt;30,"High Risk",
IF(Table1[[#This Row],[Days_to_Expiry]]&lt;=60,"Medium Risk",
"Safe")))</f>
        <v>Expired</v>
      </c>
    </row>
    <row r="213" spans="1:15" x14ac:dyDescent="0.35">
      <c r="A213" t="s">
        <v>107</v>
      </c>
      <c r="B213" t="s">
        <v>108</v>
      </c>
      <c r="C213" t="s">
        <v>109</v>
      </c>
      <c r="D213" s="1">
        <v>44883</v>
      </c>
      <c r="E213" s="1">
        <v>45978</v>
      </c>
      <c r="F213">
        <v>4642</v>
      </c>
      <c r="G213">
        <v>13461</v>
      </c>
      <c r="H213">
        <v>5.61</v>
      </c>
      <c r="I213">
        <f t="shared" si="7"/>
        <v>6402</v>
      </c>
      <c r="J213">
        <f t="shared" si="6"/>
        <v>6761.1522000000004</v>
      </c>
      <c r="K213" s="5">
        <f>IF(Table1[[#This Row],[Expected_Rent]]&lt;&gt;"", F213/Table1[[#This Row],[Expected_Rent]], "")</f>
        <v>0.68656936904925758</v>
      </c>
      <c r="L213" t="s">
        <v>16</v>
      </c>
      <c r="M213">
        <f ca="1">IF(Table1[[#This Row],[Renewal_Status]]="Expired",TODAY()-Table1[[#This Row],[Lease_End]],0)</f>
        <v>0</v>
      </c>
      <c r="N213" s="16">
        <f ca="1">Table1[[#This Row],[Lease_End]]-TODAY()</f>
        <v>-89</v>
      </c>
      <c r="O213" t="str">
        <f ca="1">IF(Table1[[#This Row],[Days_to_Expiry]]&lt;0,"Expired",
IF(Table1[[#This Row],[Days_to_Expiry]]&lt;30,"High Risk",
IF(Table1[[#This Row],[Days_to_Expiry]]&lt;=60,"Medium Risk",
"Safe")))</f>
        <v>Expired</v>
      </c>
    </row>
    <row r="214" spans="1:15" x14ac:dyDescent="0.35">
      <c r="A214" t="s">
        <v>274</v>
      </c>
      <c r="B214" t="s">
        <v>108</v>
      </c>
      <c r="C214" t="s">
        <v>275</v>
      </c>
      <c r="D214" s="1">
        <v>44895</v>
      </c>
      <c r="E214" s="1">
        <v>45990</v>
      </c>
      <c r="F214">
        <v>6506</v>
      </c>
      <c r="G214">
        <v>9230</v>
      </c>
      <c r="H214">
        <v>7.81</v>
      </c>
      <c r="I214">
        <f t="shared" si="7"/>
        <v>4642</v>
      </c>
      <c r="J214">
        <f t="shared" si="6"/>
        <v>5004.5402000000004</v>
      </c>
      <c r="K214" s="5">
        <f>IF(Table1[[#This Row],[Expected_Rent]]&lt;&gt;"", F214/Table1[[#This Row],[Expected_Rent]], "")</f>
        <v>1.3000195302657374</v>
      </c>
      <c r="L214" t="s">
        <v>16</v>
      </c>
      <c r="M214">
        <f ca="1">IF(Table1[[#This Row],[Renewal_Status]]="Expired",TODAY()-Table1[[#This Row],[Lease_End]],0)</f>
        <v>0</v>
      </c>
      <c r="N214" s="16">
        <f ca="1">Table1[[#This Row],[Lease_End]]-TODAY()</f>
        <v>-77</v>
      </c>
      <c r="O214" t="str">
        <f ca="1">IF(Table1[[#This Row],[Days_to_Expiry]]&lt;0,"Expired",
IF(Table1[[#This Row],[Days_to_Expiry]]&lt;30,"High Risk",
IF(Table1[[#This Row],[Days_to_Expiry]]&lt;=60,"Medium Risk",
"Safe")))</f>
        <v>Expired</v>
      </c>
    </row>
    <row r="215" spans="1:15" x14ac:dyDescent="0.35">
      <c r="A215" t="s">
        <v>159</v>
      </c>
      <c r="B215" t="s">
        <v>160</v>
      </c>
      <c r="C215" t="s">
        <v>161</v>
      </c>
      <c r="D215" s="1">
        <v>44973</v>
      </c>
      <c r="E215" s="1">
        <v>46068</v>
      </c>
      <c r="F215">
        <v>3154</v>
      </c>
      <c r="G215">
        <v>14702</v>
      </c>
      <c r="H215">
        <v>5.62</v>
      </c>
      <c r="I215" t="str">
        <f t="shared" si="7"/>
        <v/>
      </c>
      <c r="J215" t="str">
        <f t="shared" si="6"/>
        <v/>
      </c>
      <c r="K215" s="5" t="str">
        <f>IF(Table1[[#This Row],[Expected_Rent]]&lt;&gt;"", F215/Table1[[#This Row],[Expected_Rent]], "")</f>
        <v/>
      </c>
      <c r="L215" t="s">
        <v>20</v>
      </c>
      <c r="M215">
        <f ca="1">IF(Table1[[#This Row],[Renewal_Status]]="Expired",TODAY()-Table1[[#This Row],[Lease_End]],0)</f>
        <v>-1</v>
      </c>
      <c r="N215" s="16">
        <f ca="1">Table1[[#This Row],[Lease_End]]-TODAY()</f>
        <v>1</v>
      </c>
      <c r="O215" t="str">
        <f ca="1">IF(Table1[[#This Row],[Days_to_Expiry]]&lt;0,"Expired",
IF(Table1[[#This Row],[Days_to_Expiry]]&lt;30,"High Risk",
IF(Table1[[#This Row],[Days_to_Expiry]]&lt;=60,"Medium Risk",
"Safe")))</f>
        <v>High Risk</v>
      </c>
    </row>
    <row r="216" spans="1:15" x14ac:dyDescent="0.35">
      <c r="A216" t="s">
        <v>576</v>
      </c>
      <c r="B216" t="s">
        <v>577</v>
      </c>
      <c r="C216" t="s">
        <v>578</v>
      </c>
      <c r="D216" s="1">
        <v>45128</v>
      </c>
      <c r="E216" s="1">
        <v>45493</v>
      </c>
      <c r="F216">
        <v>3942</v>
      </c>
      <c r="G216">
        <v>18918</v>
      </c>
      <c r="H216">
        <v>6.98</v>
      </c>
      <c r="I216" t="str">
        <f t="shared" si="7"/>
        <v/>
      </c>
      <c r="J216" t="str">
        <f t="shared" si="6"/>
        <v/>
      </c>
      <c r="K216" s="5" t="str">
        <f>IF(Table1[[#This Row],[Expected_Rent]]&lt;&gt;"", F216/Table1[[#This Row],[Expected_Rent]], "")</f>
        <v/>
      </c>
      <c r="L216" t="s">
        <v>16</v>
      </c>
      <c r="M216">
        <f ca="1">IF(Table1[[#This Row],[Renewal_Status]]="Expired",TODAY()-Table1[[#This Row],[Lease_End]],0)</f>
        <v>0</v>
      </c>
      <c r="N216" s="16">
        <f ca="1">Table1[[#This Row],[Lease_End]]-TODAY()</f>
        <v>-574</v>
      </c>
      <c r="O216" t="str">
        <f ca="1">IF(Table1[[#This Row],[Days_to_Expiry]]&lt;0,"Expired",
IF(Table1[[#This Row],[Days_to_Expiry]]&lt;30,"High Risk",
IF(Table1[[#This Row],[Days_to_Expiry]]&lt;=60,"Medium Risk",
"Safe")))</f>
        <v>Expired</v>
      </c>
    </row>
    <row r="217" spans="1:15" x14ac:dyDescent="0.35">
      <c r="A217" t="s">
        <v>285</v>
      </c>
      <c r="B217" t="s">
        <v>286</v>
      </c>
      <c r="C217" t="s">
        <v>287</v>
      </c>
      <c r="D217" s="1">
        <v>44721</v>
      </c>
      <c r="E217" s="1">
        <v>45816</v>
      </c>
      <c r="F217">
        <v>3744</v>
      </c>
      <c r="G217">
        <v>17928</v>
      </c>
      <c r="H217">
        <v>6.91</v>
      </c>
      <c r="I217" t="str">
        <f t="shared" si="7"/>
        <v/>
      </c>
      <c r="J217" t="str">
        <f t="shared" si="6"/>
        <v/>
      </c>
      <c r="K217" s="5" t="str">
        <f>IF(Table1[[#This Row],[Expected_Rent]]&lt;&gt;"", F217/Table1[[#This Row],[Expected_Rent]], "")</f>
        <v/>
      </c>
      <c r="L217" t="s">
        <v>16</v>
      </c>
      <c r="M217">
        <f ca="1">IF(Table1[[#This Row],[Renewal_Status]]="Expired",TODAY()-Table1[[#This Row],[Lease_End]],0)</f>
        <v>0</v>
      </c>
      <c r="N217" s="16">
        <f ca="1">Table1[[#This Row],[Lease_End]]-TODAY()</f>
        <v>-251</v>
      </c>
      <c r="O217" t="str">
        <f ca="1">IF(Table1[[#This Row],[Days_to_Expiry]]&lt;0,"Expired",
IF(Table1[[#This Row],[Days_to_Expiry]]&lt;30,"High Risk",
IF(Table1[[#This Row],[Days_to_Expiry]]&lt;=60,"Medium Risk",
"Safe")))</f>
        <v>Expired</v>
      </c>
    </row>
    <row r="218" spans="1:15" x14ac:dyDescent="0.35">
      <c r="A218" t="s">
        <v>200</v>
      </c>
      <c r="B218" t="s">
        <v>201</v>
      </c>
      <c r="C218" t="s">
        <v>202</v>
      </c>
      <c r="D218" s="1">
        <v>44565</v>
      </c>
      <c r="E218" s="1">
        <v>44930</v>
      </c>
      <c r="F218">
        <v>3732</v>
      </c>
      <c r="G218">
        <v>16819</v>
      </c>
      <c r="H218">
        <v>3.11</v>
      </c>
      <c r="I218" t="str">
        <f t="shared" si="7"/>
        <v/>
      </c>
      <c r="J218" t="str">
        <f t="shared" si="6"/>
        <v/>
      </c>
      <c r="K218" s="5" t="str">
        <f>IF(Table1[[#This Row],[Expected_Rent]]&lt;&gt;"", F218/Table1[[#This Row],[Expected_Rent]], "")</f>
        <v/>
      </c>
      <c r="L218" t="s">
        <v>12</v>
      </c>
      <c r="M218">
        <f ca="1">IF(Table1[[#This Row],[Renewal_Status]]="Expired",TODAY()-Table1[[#This Row],[Lease_End]],0)</f>
        <v>0</v>
      </c>
      <c r="N218" s="16">
        <f ca="1">Table1[[#This Row],[Lease_End]]-TODAY()</f>
        <v>-1137</v>
      </c>
      <c r="O218" t="str">
        <f ca="1">IF(Table1[[#This Row],[Days_to_Expiry]]&lt;0,"Expired",
IF(Table1[[#This Row],[Days_to_Expiry]]&lt;30,"High Risk",
IF(Table1[[#This Row],[Days_to_Expiry]]&lt;=60,"Medium Risk",
"Safe")))</f>
        <v>Expired</v>
      </c>
    </row>
    <row r="219" spans="1:15" x14ac:dyDescent="0.35">
      <c r="A219" t="s">
        <v>687</v>
      </c>
      <c r="B219" t="s">
        <v>201</v>
      </c>
      <c r="C219" t="s">
        <v>688</v>
      </c>
      <c r="D219" s="1">
        <v>44841</v>
      </c>
      <c r="E219" s="1">
        <v>45206</v>
      </c>
      <c r="F219">
        <v>4214</v>
      </c>
      <c r="G219">
        <v>9555</v>
      </c>
      <c r="H219">
        <v>5.7</v>
      </c>
      <c r="I219">
        <f t="shared" si="7"/>
        <v>3732</v>
      </c>
      <c r="J219">
        <f t="shared" si="6"/>
        <v>3944.7239999999997</v>
      </c>
      <c r="K219" s="5">
        <f>IF(Table1[[#This Row],[Expected_Rent]]&lt;&gt;"", F219/Table1[[#This Row],[Expected_Rent]], "")</f>
        <v>1.0682623169580432</v>
      </c>
      <c r="L219" t="s">
        <v>16</v>
      </c>
      <c r="M219">
        <f ca="1">IF(Table1[[#This Row],[Renewal_Status]]="Expired",TODAY()-Table1[[#This Row],[Lease_End]],0)</f>
        <v>0</v>
      </c>
      <c r="N219" s="16">
        <f ca="1">Table1[[#This Row],[Lease_End]]-TODAY()</f>
        <v>-861</v>
      </c>
      <c r="O219" t="str">
        <f ca="1">IF(Table1[[#This Row],[Days_to_Expiry]]&lt;0,"Expired",
IF(Table1[[#This Row],[Days_to_Expiry]]&lt;30,"High Risk",
IF(Table1[[#This Row],[Days_to_Expiry]]&lt;=60,"Medium Risk",
"Safe")))</f>
        <v>Expired</v>
      </c>
    </row>
    <row r="220" spans="1:15" x14ac:dyDescent="0.35">
      <c r="A220" t="s">
        <v>331</v>
      </c>
      <c r="B220" t="s">
        <v>201</v>
      </c>
      <c r="C220" t="s">
        <v>332</v>
      </c>
      <c r="D220" s="1">
        <v>45019</v>
      </c>
      <c r="E220" s="1">
        <v>45749</v>
      </c>
      <c r="F220">
        <v>4314</v>
      </c>
      <c r="G220">
        <v>6669</v>
      </c>
      <c r="H220">
        <v>5.88</v>
      </c>
      <c r="I220">
        <f t="shared" si="7"/>
        <v>4214</v>
      </c>
      <c r="J220">
        <f t="shared" si="6"/>
        <v>4461.7831999999999</v>
      </c>
      <c r="K220" s="5">
        <f>IF(Table1[[#This Row],[Expected_Rent]]&lt;&gt;"", F220/Table1[[#This Row],[Expected_Rent]], "")</f>
        <v>0.96687799622357273</v>
      </c>
      <c r="L220" t="s">
        <v>20</v>
      </c>
      <c r="M220">
        <f ca="1">IF(Table1[[#This Row],[Renewal_Status]]="Expired",TODAY()-Table1[[#This Row],[Lease_End]],0)</f>
        <v>318</v>
      </c>
      <c r="N220" s="16">
        <f ca="1">Table1[[#This Row],[Lease_End]]-TODAY()</f>
        <v>-318</v>
      </c>
      <c r="O220" t="str">
        <f ca="1">IF(Table1[[#This Row],[Days_to_Expiry]]&lt;0,"Expired",
IF(Table1[[#This Row],[Days_to_Expiry]]&lt;30,"High Risk",
IF(Table1[[#This Row],[Days_to_Expiry]]&lt;=60,"Medium Risk",
"Safe")))</f>
        <v>Expired</v>
      </c>
    </row>
    <row r="221" spans="1:15" x14ac:dyDescent="0.35">
      <c r="A221" t="s">
        <v>194</v>
      </c>
      <c r="B221" t="s">
        <v>195</v>
      </c>
      <c r="C221" t="s">
        <v>196</v>
      </c>
      <c r="D221" s="1">
        <v>44785</v>
      </c>
      <c r="E221" s="1">
        <v>45880</v>
      </c>
      <c r="F221">
        <v>3669</v>
      </c>
      <c r="G221">
        <v>15653</v>
      </c>
      <c r="H221">
        <v>7.16</v>
      </c>
      <c r="I221" t="str">
        <f t="shared" si="7"/>
        <v/>
      </c>
      <c r="J221" t="str">
        <f t="shared" si="6"/>
        <v/>
      </c>
      <c r="K221" s="5" t="str">
        <f>IF(Table1[[#This Row],[Expected_Rent]]&lt;&gt;"", F221/Table1[[#This Row],[Expected_Rent]], "")</f>
        <v/>
      </c>
      <c r="L221" t="s">
        <v>12</v>
      </c>
      <c r="M221">
        <f ca="1">IF(Table1[[#This Row],[Renewal_Status]]="Expired",TODAY()-Table1[[#This Row],[Lease_End]],0)</f>
        <v>0</v>
      </c>
      <c r="N221" s="16">
        <f ca="1">Table1[[#This Row],[Lease_End]]-TODAY()</f>
        <v>-187</v>
      </c>
      <c r="O221" t="str">
        <f ca="1">IF(Table1[[#This Row],[Days_to_Expiry]]&lt;0,"Expired",
IF(Table1[[#This Row],[Days_to_Expiry]]&lt;30,"High Risk",
IF(Table1[[#This Row],[Days_to_Expiry]]&lt;=60,"Medium Risk",
"Safe")))</f>
        <v>Expired</v>
      </c>
    </row>
    <row r="222" spans="1:15" x14ac:dyDescent="0.35">
      <c r="A222" t="s">
        <v>217</v>
      </c>
      <c r="B222" t="s">
        <v>195</v>
      </c>
      <c r="C222" t="s">
        <v>218</v>
      </c>
      <c r="D222" s="1">
        <v>44913</v>
      </c>
      <c r="E222" s="1">
        <v>45643</v>
      </c>
      <c r="F222">
        <v>2978</v>
      </c>
      <c r="G222">
        <v>18131</v>
      </c>
      <c r="H222">
        <v>5.73</v>
      </c>
      <c r="I222">
        <f t="shared" si="7"/>
        <v>3669</v>
      </c>
      <c r="J222">
        <f t="shared" si="6"/>
        <v>3879.2336999999998</v>
      </c>
      <c r="K222" s="5">
        <f>IF(Table1[[#This Row],[Expected_Rent]]&lt;&gt;"", F222/Table1[[#This Row],[Expected_Rent]], "")</f>
        <v>0.76767738948029873</v>
      </c>
      <c r="L222" t="s">
        <v>16</v>
      </c>
      <c r="M222">
        <f ca="1">IF(Table1[[#This Row],[Renewal_Status]]="Expired",TODAY()-Table1[[#This Row],[Lease_End]],0)</f>
        <v>0</v>
      </c>
      <c r="N222" s="16">
        <f ca="1">Table1[[#This Row],[Lease_End]]-TODAY()</f>
        <v>-424</v>
      </c>
      <c r="O222" t="str">
        <f ca="1">IF(Table1[[#This Row],[Days_to_Expiry]]&lt;0,"Expired",
IF(Table1[[#This Row],[Days_to_Expiry]]&lt;30,"High Risk",
IF(Table1[[#This Row],[Days_to_Expiry]]&lt;=60,"Medium Risk",
"Safe")))</f>
        <v>Expired</v>
      </c>
    </row>
    <row r="223" spans="1:15" x14ac:dyDescent="0.35">
      <c r="A223" t="s">
        <v>606</v>
      </c>
      <c r="B223" t="s">
        <v>195</v>
      </c>
      <c r="C223" t="s">
        <v>607</v>
      </c>
      <c r="D223" s="1">
        <v>45089</v>
      </c>
      <c r="E223" s="1">
        <v>46184</v>
      </c>
      <c r="F223">
        <v>6412</v>
      </c>
      <c r="G223">
        <v>18573</v>
      </c>
      <c r="H223">
        <v>5.87</v>
      </c>
      <c r="I223">
        <f t="shared" si="7"/>
        <v>2978</v>
      </c>
      <c r="J223">
        <f t="shared" si="6"/>
        <v>3152.8085999999998</v>
      </c>
      <c r="K223" s="5">
        <f>IF(Table1[[#This Row],[Expected_Rent]]&lt;&gt;"", F223/Table1[[#This Row],[Expected_Rent]], "")</f>
        <v>2.0337422322433403</v>
      </c>
      <c r="L223" t="s">
        <v>12</v>
      </c>
      <c r="M223">
        <f ca="1">IF(Table1[[#This Row],[Renewal_Status]]="Expired",TODAY()-Table1[[#This Row],[Lease_End]],0)</f>
        <v>0</v>
      </c>
      <c r="N223" s="16">
        <f ca="1">Table1[[#This Row],[Lease_End]]-TODAY()</f>
        <v>117</v>
      </c>
      <c r="O223" t="str">
        <f ca="1">IF(Table1[[#This Row],[Days_to_Expiry]]&lt;0,"Expired",
IF(Table1[[#This Row],[Days_to_Expiry]]&lt;30,"High Risk",
IF(Table1[[#This Row],[Days_to_Expiry]]&lt;=60,"Medium Risk",
"Safe")))</f>
        <v>Safe</v>
      </c>
    </row>
    <row r="224" spans="1:15" x14ac:dyDescent="0.35">
      <c r="A224" t="s">
        <v>421</v>
      </c>
      <c r="B224" t="s">
        <v>422</v>
      </c>
      <c r="C224" t="s">
        <v>423</v>
      </c>
      <c r="D224" s="1">
        <v>44597</v>
      </c>
      <c r="E224" s="1">
        <v>45327</v>
      </c>
      <c r="F224">
        <v>5629</v>
      </c>
      <c r="G224">
        <v>8447</v>
      </c>
      <c r="H224">
        <v>6.86</v>
      </c>
      <c r="I224" t="str">
        <f t="shared" si="7"/>
        <v/>
      </c>
      <c r="J224" t="str">
        <f t="shared" si="6"/>
        <v/>
      </c>
      <c r="K224" s="5" t="str">
        <f>IF(Table1[[#This Row],[Expected_Rent]]&lt;&gt;"", F224/Table1[[#This Row],[Expected_Rent]], "")</f>
        <v/>
      </c>
      <c r="L224" t="s">
        <v>20</v>
      </c>
      <c r="M224">
        <f ca="1">IF(Table1[[#This Row],[Renewal_Status]]="Expired",TODAY()-Table1[[#This Row],[Lease_End]],0)</f>
        <v>740</v>
      </c>
      <c r="N224" s="16">
        <f ca="1">Table1[[#This Row],[Lease_End]]-TODAY()</f>
        <v>-740</v>
      </c>
      <c r="O224" t="str">
        <f ca="1">IF(Table1[[#This Row],[Days_to_Expiry]]&lt;0,"Expired",
IF(Table1[[#This Row],[Days_to_Expiry]]&lt;30,"High Risk",
IF(Table1[[#This Row],[Days_to_Expiry]]&lt;=60,"Medium Risk",
"Safe")))</f>
        <v>Expired</v>
      </c>
    </row>
    <row r="225" spans="1:15" x14ac:dyDescent="0.35">
      <c r="A225" t="s">
        <v>559</v>
      </c>
      <c r="B225" t="s">
        <v>560</v>
      </c>
      <c r="C225" t="s">
        <v>561</v>
      </c>
      <c r="D225" s="1">
        <v>45172</v>
      </c>
      <c r="E225" s="1">
        <v>45537</v>
      </c>
      <c r="F225">
        <v>2358</v>
      </c>
      <c r="G225">
        <v>9438</v>
      </c>
      <c r="H225">
        <v>4.47</v>
      </c>
      <c r="I225" t="str">
        <f t="shared" si="7"/>
        <v/>
      </c>
      <c r="J225" t="str">
        <f t="shared" si="6"/>
        <v/>
      </c>
      <c r="K225" s="5" t="str">
        <f>IF(Table1[[#This Row],[Expected_Rent]]&lt;&gt;"", F225/Table1[[#This Row],[Expected_Rent]], "")</f>
        <v/>
      </c>
      <c r="L225" t="s">
        <v>20</v>
      </c>
      <c r="M225">
        <f ca="1">IF(Table1[[#This Row],[Renewal_Status]]="Expired",TODAY()-Table1[[#This Row],[Lease_End]],0)</f>
        <v>530</v>
      </c>
      <c r="N225" s="16">
        <f ca="1">Table1[[#This Row],[Lease_End]]-TODAY()</f>
        <v>-530</v>
      </c>
      <c r="O225" t="str">
        <f ca="1">IF(Table1[[#This Row],[Days_to_Expiry]]&lt;0,"Expired",
IF(Table1[[#This Row],[Days_to_Expiry]]&lt;30,"High Risk",
IF(Table1[[#This Row],[Days_to_Expiry]]&lt;=60,"Medium Risk",
"Safe")))</f>
        <v>Expired</v>
      </c>
    </row>
    <row r="226" spans="1:15" x14ac:dyDescent="0.35">
      <c r="A226" t="s">
        <v>288</v>
      </c>
      <c r="B226" t="s">
        <v>116</v>
      </c>
      <c r="C226" t="s">
        <v>289</v>
      </c>
      <c r="D226" s="1">
        <v>44658</v>
      </c>
      <c r="E226" s="1">
        <v>45388</v>
      </c>
      <c r="F226">
        <v>2643</v>
      </c>
      <c r="G226">
        <v>7080</v>
      </c>
      <c r="H226">
        <v>4.92</v>
      </c>
      <c r="I226" t="str">
        <f t="shared" si="7"/>
        <v/>
      </c>
      <c r="J226" t="str">
        <f t="shared" si="6"/>
        <v/>
      </c>
      <c r="K226" s="5" t="str">
        <f>IF(Table1[[#This Row],[Expected_Rent]]&lt;&gt;"", F226/Table1[[#This Row],[Expected_Rent]], "")</f>
        <v/>
      </c>
      <c r="L226" t="s">
        <v>12</v>
      </c>
      <c r="M226">
        <f ca="1">IF(Table1[[#This Row],[Renewal_Status]]="Expired",TODAY()-Table1[[#This Row],[Lease_End]],0)</f>
        <v>0</v>
      </c>
      <c r="N226" s="16">
        <f ca="1">Table1[[#This Row],[Lease_End]]-TODAY()</f>
        <v>-679</v>
      </c>
      <c r="O226" t="str">
        <f ca="1">IF(Table1[[#This Row],[Days_to_Expiry]]&lt;0,"Expired",
IF(Table1[[#This Row],[Days_to_Expiry]]&lt;30,"High Risk",
IF(Table1[[#This Row],[Days_to_Expiry]]&lt;=60,"Medium Risk",
"Safe")))</f>
        <v>Expired</v>
      </c>
    </row>
    <row r="227" spans="1:15" x14ac:dyDescent="0.35">
      <c r="A227" t="s">
        <v>259</v>
      </c>
      <c r="B227" t="s">
        <v>116</v>
      </c>
      <c r="C227" t="s">
        <v>260</v>
      </c>
      <c r="D227" s="1">
        <v>44807</v>
      </c>
      <c r="E227" s="1">
        <v>45902</v>
      </c>
      <c r="F227">
        <v>3772</v>
      </c>
      <c r="G227">
        <v>6257</v>
      </c>
      <c r="H227">
        <v>5.01</v>
      </c>
      <c r="I227">
        <f t="shared" si="7"/>
        <v>2643</v>
      </c>
      <c r="J227">
        <f t="shared" si="6"/>
        <v>2775.4142999999999</v>
      </c>
      <c r="K227" s="5">
        <f>IF(Table1[[#This Row],[Expected_Rent]]&lt;&gt;"", F227/Table1[[#This Row],[Expected_Rent]], "")</f>
        <v>1.3590763728499922</v>
      </c>
      <c r="L227" t="s">
        <v>12</v>
      </c>
      <c r="M227">
        <f ca="1">IF(Table1[[#This Row],[Renewal_Status]]="Expired",TODAY()-Table1[[#This Row],[Lease_End]],0)</f>
        <v>0</v>
      </c>
      <c r="N227" s="16">
        <f ca="1">Table1[[#This Row],[Lease_End]]-TODAY()</f>
        <v>-165</v>
      </c>
      <c r="O227" t="str">
        <f ca="1">IF(Table1[[#This Row],[Days_to_Expiry]]&lt;0,"Expired",
IF(Table1[[#This Row],[Days_to_Expiry]]&lt;30,"High Risk",
IF(Table1[[#This Row],[Days_to_Expiry]]&lt;=60,"Medium Risk",
"Safe")))</f>
        <v>Expired</v>
      </c>
    </row>
    <row r="228" spans="1:15" x14ac:dyDescent="0.35">
      <c r="A228" t="s">
        <v>246</v>
      </c>
      <c r="B228" t="s">
        <v>116</v>
      </c>
      <c r="C228" t="s">
        <v>247</v>
      </c>
      <c r="D228" s="1">
        <v>44811</v>
      </c>
      <c r="E228" s="1">
        <v>45176</v>
      </c>
      <c r="F228">
        <v>3238</v>
      </c>
      <c r="G228">
        <v>13878</v>
      </c>
      <c r="H228">
        <v>7.06</v>
      </c>
      <c r="I228">
        <f t="shared" si="7"/>
        <v>3772</v>
      </c>
      <c r="J228">
        <f t="shared" si="6"/>
        <v>4038.3031999999998</v>
      </c>
      <c r="K228" s="5">
        <f>IF(Table1[[#This Row],[Expected_Rent]]&lt;&gt;"", F228/Table1[[#This Row],[Expected_Rent]], "")</f>
        <v>0.80182191371861333</v>
      </c>
      <c r="L228" t="s">
        <v>12</v>
      </c>
      <c r="M228">
        <f ca="1">IF(Table1[[#This Row],[Renewal_Status]]="Expired",TODAY()-Table1[[#This Row],[Lease_End]],0)</f>
        <v>0</v>
      </c>
      <c r="N228" s="16">
        <f ca="1">Table1[[#This Row],[Lease_End]]-TODAY()</f>
        <v>-891</v>
      </c>
      <c r="O228" t="str">
        <f ca="1">IF(Table1[[#This Row],[Days_to_Expiry]]&lt;0,"Expired",
IF(Table1[[#This Row],[Days_to_Expiry]]&lt;30,"High Risk",
IF(Table1[[#This Row],[Days_to_Expiry]]&lt;=60,"Medium Risk",
"Safe")))</f>
        <v>Expired</v>
      </c>
    </row>
    <row r="229" spans="1:15" x14ac:dyDescent="0.35">
      <c r="A229" t="s">
        <v>115</v>
      </c>
      <c r="B229" t="s">
        <v>116</v>
      </c>
      <c r="C229" t="s">
        <v>117</v>
      </c>
      <c r="D229" s="1">
        <v>45045</v>
      </c>
      <c r="E229" s="1">
        <v>45410</v>
      </c>
      <c r="F229">
        <v>2472</v>
      </c>
      <c r="G229">
        <v>5714</v>
      </c>
      <c r="H229">
        <v>7.26</v>
      </c>
      <c r="I229">
        <f t="shared" si="7"/>
        <v>3238</v>
      </c>
      <c r="J229">
        <f t="shared" si="6"/>
        <v>3473.0787999999998</v>
      </c>
      <c r="K229" s="5">
        <f>IF(Table1[[#This Row],[Expected_Rent]]&lt;&gt;"", F229/Table1[[#This Row],[Expected_Rent]], "")</f>
        <v>0.71176041269204726</v>
      </c>
      <c r="L229" t="s">
        <v>20</v>
      </c>
      <c r="M229">
        <f ca="1">IF(Table1[[#This Row],[Renewal_Status]]="Expired",TODAY()-Table1[[#This Row],[Lease_End]],0)</f>
        <v>657</v>
      </c>
      <c r="N229" s="16">
        <f ca="1">Table1[[#This Row],[Lease_End]]-TODAY()</f>
        <v>-657</v>
      </c>
      <c r="O229" t="str">
        <f ca="1">IF(Table1[[#This Row],[Days_to_Expiry]]&lt;0,"Expired",
IF(Table1[[#This Row],[Days_to_Expiry]]&lt;30,"High Risk",
IF(Table1[[#This Row],[Days_to_Expiry]]&lt;=60,"Medium Risk",
"Safe")))</f>
        <v>Expired</v>
      </c>
    </row>
    <row r="230" spans="1:15" x14ac:dyDescent="0.35">
      <c r="A230" t="s">
        <v>307</v>
      </c>
      <c r="B230" t="s">
        <v>116</v>
      </c>
      <c r="C230" t="s">
        <v>308</v>
      </c>
      <c r="D230" s="1">
        <v>45220</v>
      </c>
      <c r="E230" s="1">
        <v>45585</v>
      </c>
      <c r="F230">
        <v>5561</v>
      </c>
      <c r="G230">
        <v>17102</v>
      </c>
      <c r="H230">
        <v>7.59</v>
      </c>
      <c r="I230">
        <f t="shared" si="7"/>
        <v>2472</v>
      </c>
      <c r="J230">
        <f t="shared" si="6"/>
        <v>2659.6248000000001</v>
      </c>
      <c r="K230" s="5">
        <f>IF(Table1[[#This Row],[Expected_Rent]]&lt;&gt;"", F230/Table1[[#This Row],[Expected_Rent]], "")</f>
        <v>2.0908964302032378</v>
      </c>
      <c r="L230" t="s">
        <v>16</v>
      </c>
      <c r="M230">
        <f ca="1">IF(Table1[[#This Row],[Renewal_Status]]="Expired",TODAY()-Table1[[#This Row],[Lease_End]],0)</f>
        <v>0</v>
      </c>
      <c r="N230" s="16">
        <f ca="1">Table1[[#This Row],[Lease_End]]-TODAY()</f>
        <v>-482</v>
      </c>
      <c r="O230" t="str">
        <f ca="1">IF(Table1[[#This Row],[Days_to_Expiry]]&lt;0,"Expired",
IF(Table1[[#This Row],[Days_to_Expiry]]&lt;30,"High Risk",
IF(Table1[[#This Row],[Days_to_Expiry]]&lt;=60,"Medium Risk",
"Safe")))</f>
        <v>Expired</v>
      </c>
    </row>
    <row r="231" spans="1:15" x14ac:dyDescent="0.35">
      <c r="A231" t="s">
        <v>206</v>
      </c>
      <c r="B231" t="s">
        <v>207</v>
      </c>
      <c r="C231" t="s">
        <v>208</v>
      </c>
      <c r="D231" s="1">
        <v>44880</v>
      </c>
      <c r="E231" s="1">
        <v>45975</v>
      </c>
      <c r="F231">
        <v>4408</v>
      </c>
      <c r="G231">
        <v>13896</v>
      </c>
      <c r="H231">
        <v>5.05</v>
      </c>
      <c r="I231" t="str">
        <f t="shared" si="7"/>
        <v/>
      </c>
      <c r="J231" t="str">
        <f t="shared" si="6"/>
        <v/>
      </c>
      <c r="K231" s="5" t="str">
        <f>IF(Table1[[#This Row],[Expected_Rent]]&lt;&gt;"", F231/Table1[[#This Row],[Expected_Rent]], "")</f>
        <v/>
      </c>
      <c r="L231" t="s">
        <v>12</v>
      </c>
      <c r="M231">
        <f ca="1">IF(Table1[[#This Row],[Renewal_Status]]="Expired",TODAY()-Table1[[#This Row],[Lease_End]],0)</f>
        <v>0</v>
      </c>
      <c r="N231" s="16">
        <f ca="1">Table1[[#This Row],[Lease_End]]-TODAY()</f>
        <v>-92</v>
      </c>
      <c r="O231" t="str">
        <f ca="1">IF(Table1[[#This Row],[Days_to_Expiry]]&lt;0,"Expired",
IF(Table1[[#This Row],[Days_to_Expiry]]&lt;30,"High Risk",
IF(Table1[[#This Row],[Days_to_Expiry]]&lt;=60,"Medium Risk",
"Safe")))</f>
        <v>Expired</v>
      </c>
    </row>
    <row r="232" spans="1:15" x14ac:dyDescent="0.35">
      <c r="A232" t="s">
        <v>725</v>
      </c>
      <c r="B232" t="s">
        <v>96</v>
      </c>
      <c r="C232" t="s">
        <v>726</v>
      </c>
      <c r="D232" s="1">
        <v>44637</v>
      </c>
      <c r="E232" s="1">
        <v>45732</v>
      </c>
      <c r="F232">
        <v>5088</v>
      </c>
      <c r="G232">
        <v>10442</v>
      </c>
      <c r="H232">
        <v>3.3</v>
      </c>
      <c r="I232" t="str">
        <f t="shared" si="7"/>
        <v/>
      </c>
      <c r="J232" t="str">
        <f t="shared" si="6"/>
        <v/>
      </c>
      <c r="K232" s="5" t="str">
        <f>IF(Table1[[#This Row],[Expected_Rent]]&lt;&gt;"", F232/Table1[[#This Row],[Expected_Rent]], "")</f>
        <v/>
      </c>
      <c r="L232" t="s">
        <v>20</v>
      </c>
      <c r="M232">
        <f ca="1">IF(Table1[[#This Row],[Renewal_Status]]="Expired",TODAY()-Table1[[#This Row],[Lease_End]],0)</f>
        <v>335</v>
      </c>
      <c r="N232" s="16">
        <f ca="1">Table1[[#This Row],[Lease_End]]-TODAY()</f>
        <v>-335</v>
      </c>
      <c r="O232" t="str">
        <f ca="1">IF(Table1[[#This Row],[Days_to_Expiry]]&lt;0,"Expired",
IF(Table1[[#This Row],[Days_to_Expiry]]&lt;30,"High Risk",
IF(Table1[[#This Row],[Days_to_Expiry]]&lt;=60,"Medium Risk",
"Safe")))</f>
        <v>Expired</v>
      </c>
    </row>
    <row r="233" spans="1:15" x14ac:dyDescent="0.35">
      <c r="A233" t="s">
        <v>95</v>
      </c>
      <c r="B233" t="s">
        <v>96</v>
      </c>
      <c r="C233" t="s">
        <v>97</v>
      </c>
      <c r="D233" s="1">
        <v>44853</v>
      </c>
      <c r="E233" s="1">
        <v>45218</v>
      </c>
      <c r="F233">
        <v>5512</v>
      </c>
      <c r="G233">
        <v>19079</v>
      </c>
      <c r="H233">
        <v>7.18</v>
      </c>
      <c r="I233">
        <f t="shared" si="7"/>
        <v>5088</v>
      </c>
      <c r="J233">
        <f t="shared" si="6"/>
        <v>5453.3184000000001</v>
      </c>
      <c r="K233" s="5">
        <f>IF(Table1[[#This Row],[Expected_Rent]]&lt;&gt;"", F233/Table1[[#This Row],[Expected_Rent]], "")</f>
        <v>1.010760714063569</v>
      </c>
      <c r="L233" t="s">
        <v>12</v>
      </c>
      <c r="M233">
        <f ca="1">IF(Table1[[#This Row],[Renewal_Status]]="Expired",TODAY()-Table1[[#This Row],[Lease_End]],0)</f>
        <v>0</v>
      </c>
      <c r="N233" s="16">
        <f ca="1">Table1[[#This Row],[Lease_End]]-TODAY()</f>
        <v>-849</v>
      </c>
      <c r="O233" t="str">
        <f ca="1">IF(Table1[[#This Row],[Days_to_Expiry]]&lt;0,"Expired",
IF(Table1[[#This Row],[Days_to_Expiry]]&lt;30,"High Risk",
IF(Table1[[#This Row],[Days_to_Expiry]]&lt;=60,"Medium Risk",
"Safe")))</f>
        <v>Expired</v>
      </c>
    </row>
    <row r="234" spans="1:15" x14ac:dyDescent="0.35">
      <c r="A234" t="s">
        <v>532</v>
      </c>
      <c r="B234" t="s">
        <v>96</v>
      </c>
      <c r="C234" t="s">
        <v>533</v>
      </c>
      <c r="D234" s="1">
        <v>45192</v>
      </c>
      <c r="E234" s="1">
        <v>46287</v>
      </c>
      <c r="F234">
        <v>2773</v>
      </c>
      <c r="G234">
        <v>15482</v>
      </c>
      <c r="H234">
        <v>7.05</v>
      </c>
      <c r="I234">
        <f t="shared" si="7"/>
        <v>5512</v>
      </c>
      <c r="J234">
        <f t="shared" si="6"/>
        <v>5900.5960000000005</v>
      </c>
      <c r="K234" s="5">
        <f>IF(Table1[[#This Row],[Expected_Rent]]&lt;&gt;"", F234/Table1[[#This Row],[Expected_Rent]], "")</f>
        <v>0.46995252682949312</v>
      </c>
      <c r="L234" t="s">
        <v>20</v>
      </c>
      <c r="M234">
        <f ca="1">IF(Table1[[#This Row],[Renewal_Status]]="Expired",TODAY()-Table1[[#This Row],[Lease_End]],0)</f>
        <v>-220</v>
      </c>
      <c r="N234" s="16">
        <f ca="1">Table1[[#This Row],[Lease_End]]-TODAY()</f>
        <v>220</v>
      </c>
      <c r="O234" t="str">
        <f ca="1">IF(Table1[[#This Row],[Days_to_Expiry]]&lt;0,"Expired",
IF(Table1[[#This Row],[Days_to_Expiry]]&lt;30,"High Risk",
IF(Table1[[#This Row],[Days_to_Expiry]]&lt;=60,"Medium Risk",
"Safe")))</f>
        <v>Safe</v>
      </c>
    </row>
    <row r="235" spans="1:15" x14ac:dyDescent="0.35">
      <c r="A235" t="s">
        <v>130</v>
      </c>
      <c r="B235" t="s">
        <v>96</v>
      </c>
      <c r="C235" t="s">
        <v>131</v>
      </c>
      <c r="D235" s="1">
        <v>45231</v>
      </c>
      <c r="E235" s="1">
        <v>45596</v>
      </c>
      <c r="F235">
        <v>3325</v>
      </c>
      <c r="G235">
        <v>15477</v>
      </c>
      <c r="H235">
        <v>6.6</v>
      </c>
      <c r="I235">
        <f t="shared" si="7"/>
        <v>2773</v>
      </c>
      <c r="J235">
        <f t="shared" si="6"/>
        <v>2956.018</v>
      </c>
      <c r="K235" s="5">
        <f>IF(Table1[[#This Row],[Expected_Rent]]&lt;&gt;"", F235/Table1[[#This Row],[Expected_Rent]], "")</f>
        <v>1.1248240031014696</v>
      </c>
      <c r="L235" t="s">
        <v>16</v>
      </c>
      <c r="M235">
        <f ca="1">IF(Table1[[#This Row],[Renewal_Status]]="Expired",TODAY()-Table1[[#This Row],[Lease_End]],0)</f>
        <v>0</v>
      </c>
      <c r="N235" s="16">
        <f ca="1">Table1[[#This Row],[Lease_End]]-TODAY()</f>
        <v>-471</v>
      </c>
      <c r="O235" t="str">
        <f ca="1">IF(Table1[[#This Row],[Days_to_Expiry]]&lt;0,"Expired",
IF(Table1[[#This Row],[Days_to_Expiry]]&lt;30,"High Risk",
IF(Table1[[#This Row],[Days_to_Expiry]]&lt;=60,"Medium Risk",
"Safe")))</f>
        <v>Expired</v>
      </c>
    </row>
    <row r="236" spans="1:15" x14ac:dyDescent="0.35">
      <c r="A236" t="s">
        <v>369</v>
      </c>
      <c r="B236" t="s">
        <v>370</v>
      </c>
      <c r="C236" t="s">
        <v>371</v>
      </c>
      <c r="D236" s="1">
        <v>44817</v>
      </c>
      <c r="E236" s="1">
        <v>45182</v>
      </c>
      <c r="F236">
        <v>4063</v>
      </c>
      <c r="G236">
        <v>18833</v>
      </c>
      <c r="H236">
        <v>6.71</v>
      </c>
      <c r="I236" t="str">
        <f t="shared" si="7"/>
        <v/>
      </c>
      <c r="J236" t="str">
        <f t="shared" si="6"/>
        <v/>
      </c>
      <c r="K236" s="5" t="str">
        <f>IF(Table1[[#This Row],[Expected_Rent]]&lt;&gt;"", F236/Table1[[#This Row],[Expected_Rent]], "")</f>
        <v/>
      </c>
      <c r="L236" t="s">
        <v>16</v>
      </c>
      <c r="M236">
        <f ca="1">IF(Table1[[#This Row],[Renewal_Status]]="Expired",TODAY()-Table1[[#This Row],[Lease_End]],0)</f>
        <v>0</v>
      </c>
      <c r="N236" s="16">
        <f ca="1">Table1[[#This Row],[Lease_End]]-TODAY()</f>
        <v>-885</v>
      </c>
      <c r="O236" t="str">
        <f ca="1">IF(Table1[[#This Row],[Days_to_Expiry]]&lt;0,"Expired",
IF(Table1[[#This Row],[Days_to_Expiry]]&lt;30,"High Risk",
IF(Table1[[#This Row],[Days_to_Expiry]]&lt;=60,"Medium Risk",
"Safe")))</f>
        <v>Expired</v>
      </c>
    </row>
    <row r="237" spans="1:15" x14ac:dyDescent="0.35">
      <c r="A237" t="s">
        <v>668</v>
      </c>
      <c r="B237" t="s">
        <v>370</v>
      </c>
      <c r="C237" t="s">
        <v>669</v>
      </c>
      <c r="D237" s="1">
        <v>45050</v>
      </c>
      <c r="E237" s="1">
        <v>45415</v>
      </c>
      <c r="F237">
        <v>6032</v>
      </c>
      <c r="G237">
        <v>13221</v>
      </c>
      <c r="H237">
        <v>3.68</v>
      </c>
      <c r="I237">
        <f t="shared" si="7"/>
        <v>4063</v>
      </c>
      <c r="J237">
        <f t="shared" si="6"/>
        <v>4212.5183999999999</v>
      </c>
      <c r="K237" s="5">
        <f>IF(Table1[[#This Row],[Expected_Rent]]&lt;&gt;"", F237/Table1[[#This Row],[Expected_Rent]], "")</f>
        <v>1.4319225288131678</v>
      </c>
      <c r="L237" t="s">
        <v>20</v>
      </c>
      <c r="M237">
        <f ca="1">IF(Table1[[#This Row],[Renewal_Status]]="Expired",TODAY()-Table1[[#This Row],[Lease_End]],0)</f>
        <v>652</v>
      </c>
      <c r="N237" s="16">
        <f ca="1">Table1[[#This Row],[Lease_End]]-TODAY()</f>
        <v>-652</v>
      </c>
      <c r="O237" t="str">
        <f ca="1">IF(Table1[[#This Row],[Days_to_Expiry]]&lt;0,"Expired",
IF(Table1[[#This Row],[Days_to_Expiry]]&lt;30,"High Risk",
IF(Table1[[#This Row],[Days_to_Expiry]]&lt;=60,"Medium Risk",
"Safe")))</f>
        <v>Expired</v>
      </c>
    </row>
    <row r="238" spans="1:15" x14ac:dyDescent="0.35">
      <c r="A238" t="s">
        <v>666</v>
      </c>
      <c r="B238" t="s">
        <v>187</v>
      </c>
      <c r="C238" t="s">
        <v>667</v>
      </c>
      <c r="D238" s="1">
        <v>44747</v>
      </c>
      <c r="E238" s="1">
        <v>45112</v>
      </c>
      <c r="F238">
        <v>4153</v>
      </c>
      <c r="G238">
        <v>13106</v>
      </c>
      <c r="H238">
        <v>5.71</v>
      </c>
      <c r="I238" t="str">
        <f t="shared" si="7"/>
        <v/>
      </c>
      <c r="J238" t="str">
        <f t="shared" si="6"/>
        <v/>
      </c>
      <c r="K238" s="5" t="str">
        <f>IF(Table1[[#This Row],[Expected_Rent]]&lt;&gt;"", F238/Table1[[#This Row],[Expected_Rent]], "")</f>
        <v/>
      </c>
      <c r="L238" t="s">
        <v>12</v>
      </c>
      <c r="M238">
        <f ca="1">IF(Table1[[#This Row],[Renewal_Status]]="Expired",TODAY()-Table1[[#This Row],[Lease_End]],0)</f>
        <v>0</v>
      </c>
      <c r="N238" s="16">
        <f ca="1">Table1[[#This Row],[Lease_End]]-TODAY()</f>
        <v>-955</v>
      </c>
      <c r="O238" t="str">
        <f ca="1">IF(Table1[[#This Row],[Days_to_Expiry]]&lt;0,"Expired",
IF(Table1[[#This Row],[Days_to_Expiry]]&lt;30,"High Risk",
IF(Table1[[#This Row],[Days_to_Expiry]]&lt;=60,"Medium Risk",
"Safe")))</f>
        <v>Expired</v>
      </c>
    </row>
    <row r="239" spans="1:15" x14ac:dyDescent="0.35">
      <c r="A239" t="s">
        <v>723</v>
      </c>
      <c r="B239" t="s">
        <v>187</v>
      </c>
      <c r="C239" t="s">
        <v>724</v>
      </c>
      <c r="D239" s="1">
        <v>44882</v>
      </c>
      <c r="E239" s="1">
        <v>45247</v>
      </c>
      <c r="F239">
        <v>2225</v>
      </c>
      <c r="G239">
        <v>5108</v>
      </c>
      <c r="H239">
        <v>4.9800000000000004</v>
      </c>
      <c r="I239">
        <f t="shared" si="7"/>
        <v>4153</v>
      </c>
      <c r="J239">
        <f t="shared" si="6"/>
        <v>4359.8194000000003</v>
      </c>
      <c r="K239" s="5">
        <f>IF(Table1[[#This Row],[Expected_Rent]]&lt;&gt;"", F239/Table1[[#This Row],[Expected_Rent]], "")</f>
        <v>0.51034224032307385</v>
      </c>
      <c r="L239" t="s">
        <v>16</v>
      </c>
      <c r="M239">
        <f ca="1">IF(Table1[[#This Row],[Renewal_Status]]="Expired",TODAY()-Table1[[#This Row],[Lease_End]],0)</f>
        <v>0</v>
      </c>
      <c r="N239" s="16">
        <f ca="1">Table1[[#This Row],[Lease_End]]-TODAY()</f>
        <v>-820</v>
      </c>
      <c r="O239" t="str">
        <f ca="1">IF(Table1[[#This Row],[Days_to_Expiry]]&lt;0,"Expired",
IF(Table1[[#This Row],[Days_to_Expiry]]&lt;30,"High Risk",
IF(Table1[[#This Row],[Days_to_Expiry]]&lt;=60,"Medium Risk",
"Safe")))</f>
        <v>Expired</v>
      </c>
    </row>
    <row r="240" spans="1:15" x14ac:dyDescent="0.35">
      <c r="A240" t="s">
        <v>186</v>
      </c>
      <c r="B240" t="s">
        <v>187</v>
      </c>
      <c r="C240" t="s">
        <v>188</v>
      </c>
      <c r="D240" s="1">
        <v>45210</v>
      </c>
      <c r="E240" s="1">
        <v>46305</v>
      </c>
      <c r="F240">
        <v>2016</v>
      </c>
      <c r="G240">
        <v>12873</v>
      </c>
      <c r="H240">
        <v>3.17</v>
      </c>
      <c r="I240">
        <f t="shared" si="7"/>
        <v>2225</v>
      </c>
      <c r="J240">
        <f t="shared" si="6"/>
        <v>2295.5325000000003</v>
      </c>
      <c r="K240" s="5">
        <f>IF(Table1[[#This Row],[Expected_Rent]]&lt;&gt;"", F240/Table1[[#This Row],[Expected_Rent]], "")</f>
        <v>0.8782276007854386</v>
      </c>
      <c r="L240" t="s">
        <v>16</v>
      </c>
      <c r="M240">
        <f ca="1">IF(Table1[[#This Row],[Renewal_Status]]="Expired",TODAY()-Table1[[#This Row],[Lease_End]],0)</f>
        <v>0</v>
      </c>
      <c r="N240" s="16">
        <f ca="1">Table1[[#This Row],[Lease_End]]-TODAY()</f>
        <v>238</v>
      </c>
      <c r="O240" t="str">
        <f ca="1">IF(Table1[[#This Row],[Days_to_Expiry]]&lt;0,"Expired",
IF(Table1[[#This Row],[Days_to_Expiry]]&lt;30,"High Risk",
IF(Table1[[#This Row],[Days_to_Expiry]]&lt;=60,"Medium Risk",
"Safe")))</f>
        <v>Safe</v>
      </c>
    </row>
    <row r="241" spans="1:15" x14ac:dyDescent="0.35">
      <c r="A241" t="s">
        <v>536</v>
      </c>
      <c r="B241" t="s">
        <v>187</v>
      </c>
      <c r="C241" t="s">
        <v>537</v>
      </c>
      <c r="D241" s="1">
        <v>45244</v>
      </c>
      <c r="E241" s="1">
        <v>45609</v>
      </c>
      <c r="F241">
        <v>3130</v>
      </c>
      <c r="G241">
        <v>18319</v>
      </c>
      <c r="H241">
        <v>4.59</v>
      </c>
      <c r="I241">
        <f t="shared" si="7"/>
        <v>2016</v>
      </c>
      <c r="J241">
        <f t="shared" si="6"/>
        <v>2108.5344</v>
      </c>
      <c r="K241" s="5">
        <f>IF(Table1[[#This Row],[Expected_Rent]]&lt;&gt;"", F241/Table1[[#This Row],[Expected_Rent]], "")</f>
        <v>1.4844434124480017</v>
      </c>
      <c r="L241" t="s">
        <v>20</v>
      </c>
      <c r="M241">
        <f ca="1">IF(Table1[[#This Row],[Renewal_Status]]="Expired",TODAY()-Table1[[#This Row],[Lease_End]],0)</f>
        <v>458</v>
      </c>
      <c r="N241" s="16">
        <f ca="1">Table1[[#This Row],[Lease_End]]-TODAY()</f>
        <v>-458</v>
      </c>
      <c r="O241" t="str">
        <f ca="1">IF(Table1[[#This Row],[Days_to_Expiry]]&lt;0,"Expired",
IF(Table1[[#This Row],[Days_to_Expiry]]&lt;30,"High Risk",
IF(Table1[[#This Row],[Days_to_Expiry]]&lt;=60,"Medium Risk",
"Safe")))</f>
        <v>Expired</v>
      </c>
    </row>
    <row r="242" spans="1:15" x14ac:dyDescent="0.35">
      <c r="A242" t="s">
        <v>733</v>
      </c>
      <c r="B242" t="s">
        <v>734</v>
      </c>
      <c r="C242" t="s">
        <v>735</v>
      </c>
      <c r="D242" s="1">
        <v>44628</v>
      </c>
      <c r="E242" s="1">
        <v>45358</v>
      </c>
      <c r="F242">
        <v>5535</v>
      </c>
      <c r="G242">
        <v>6607</v>
      </c>
      <c r="H242">
        <v>7.88</v>
      </c>
      <c r="I242" t="str">
        <f t="shared" si="7"/>
        <v/>
      </c>
      <c r="J242" t="str">
        <f t="shared" si="6"/>
        <v/>
      </c>
      <c r="K242" s="5" t="str">
        <f>IF(Table1[[#This Row],[Expected_Rent]]&lt;&gt;"", F242/Table1[[#This Row],[Expected_Rent]], "")</f>
        <v/>
      </c>
      <c r="L242" t="s">
        <v>16</v>
      </c>
      <c r="M242">
        <f ca="1">IF(Table1[[#This Row],[Renewal_Status]]="Expired",TODAY()-Table1[[#This Row],[Lease_End]],0)</f>
        <v>0</v>
      </c>
      <c r="N242" s="16">
        <f ca="1">Table1[[#This Row],[Lease_End]]-TODAY()</f>
        <v>-709</v>
      </c>
      <c r="O242" t="str">
        <f ca="1">IF(Table1[[#This Row],[Days_to_Expiry]]&lt;0,"Expired",
IF(Table1[[#This Row],[Days_to_Expiry]]&lt;30,"High Risk",
IF(Table1[[#This Row],[Days_to_Expiry]]&lt;=60,"Medium Risk",
"Safe")))</f>
        <v>Expired</v>
      </c>
    </row>
    <row r="243" spans="1:15" x14ac:dyDescent="0.35">
      <c r="A243" t="s">
        <v>328</v>
      </c>
      <c r="B243" t="s">
        <v>329</v>
      </c>
      <c r="C243" t="s">
        <v>330</v>
      </c>
      <c r="D243" s="1">
        <v>44822</v>
      </c>
      <c r="E243" s="1">
        <v>45187</v>
      </c>
      <c r="F243">
        <v>3691</v>
      </c>
      <c r="G243">
        <v>5185</v>
      </c>
      <c r="H243">
        <v>5.0199999999999996</v>
      </c>
      <c r="I243" t="str">
        <f t="shared" si="7"/>
        <v/>
      </c>
      <c r="J243" t="str">
        <f t="shared" si="6"/>
        <v/>
      </c>
      <c r="K243" s="5" t="str">
        <f>IF(Table1[[#This Row],[Expected_Rent]]&lt;&gt;"", F243/Table1[[#This Row],[Expected_Rent]], "")</f>
        <v/>
      </c>
      <c r="L243" t="s">
        <v>20</v>
      </c>
      <c r="M243">
        <f ca="1">IF(Table1[[#This Row],[Renewal_Status]]="Expired",TODAY()-Table1[[#This Row],[Lease_End]],0)</f>
        <v>880</v>
      </c>
      <c r="N243" s="16">
        <f ca="1">Table1[[#This Row],[Lease_End]]-TODAY()</f>
        <v>-880</v>
      </c>
      <c r="O243" t="str">
        <f ca="1">IF(Table1[[#This Row],[Days_to_Expiry]]&lt;0,"Expired",
IF(Table1[[#This Row],[Days_to_Expiry]]&lt;30,"High Risk",
IF(Table1[[#This Row],[Days_to_Expiry]]&lt;=60,"Medium Risk",
"Safe")))</f>
        <v>Expired</v>
      </c>
    </row>
    <row r="244" spans="1:15" x14ac:dyDescent="0.35">
      <c r="A244" t="s">
        <v>89</v>
      </c>
      <c r="B244" t="s">
        <v>90</v>
      </c>
      <c r="C244" t="s">
        <v>91</v>
      </c>
      <c r="D244" s="1">
        <v>44573</v>
      </c>
      <c r="E244" s="1">
        <v>44938</v>
      </c>
      <c r="F244">
        <v>4018</v>
      </c>
      <c r="G244">
        <v>7512</v>
      </c>
      <c r="H244">
        <v>7.61</v>
      </c>
      <c r="I244" t="str">
        <f t="shared" si="7"/>
        <v/>
      </c>
      <c r="J244" t="str">
        <f t="shared" si="6"/>
        <v/>
      </c>
      <c r="K244" s="5" t="str">
        <f>IF(Table1[[#This Row],[Expected_Rent]]&lt;&gt;"", F244/Table1[[#This Row],[Expected_Rent]], "")</f>
        <v/>
      </c>
      <c r="L244" t="s">
        <v>20</v>
      </c>
      <c r="M244">
        <f ca="1">IF(Table1[[#This Row],[Renewal_Status]]="Expired",TODAY()-Table1[[#This Row],[Lease_End]],0)</f>
        <v>1129</v>
      </c>
      <c r="N244" s="16">
        <f ca="1">Table1[[#This Row],[Lease_End]]-TODAY()</f>
        <v>-1129</v>
      </c>
      <c r="O244" t="str">
        <f ca="1">IF(Table1[[#This Row],[Days_to_Expiry]]&lt;0,"Expired",
IF(Table1[[#This Row],[Days_to_Expiry]]&lt;30,"High Risk",
IF(Table1[[#This Row],[Days_to_Expiry]]&lt;=60,"Medium Risk",
"Safe")))</f>
        <v>Expired</v>
      </c>
    </row>
    <row r="245" spans="1:15" x14ac:dyDescent="0.35">
      <c r="A245" t="s">
        <v>419</v>
      </c>
      <c r="B245" t="s">
        <v>90</v>
      </c>
      <c r="C245" t="s">
        <v>420</v>
      </c>
      <c r="D245" s="1">
        <v>44830</v>
      </c>
      <c r="E245" s="1">
        <v>45195</v>
      </c>
      <c r="F245">
        <v>6917</v>
      </c>
      <c r="G245">
        <v>9250</v>
      </c>
      <c r="H245">
        <v>7.03</v>
      </c>
      <c r="I245">
        <f t="shared" si="7"/>
        <v>4018</v>
      </c>
      <c r="J245">
        <f t="shared" si="6"/>
        <v>4300.4654</v>
      </c>
      <c r="K245" s="5">
        <f>IF(Table1[[#This Row],[Expected_Rent]]&lt;&gt;"", F245/Table1[[#This Row],[Expected_Rent]], "")</f>
        <v>1.6084305666079768</v>
      </c>
      <c r="L245" t="s">
        <v>20</v>
      </c>
      <c r="M245">
        <f ca="1">IF(Table1[[#This Row],[Renewal_Status]]="Expired",TODAY()-Table1[[#This Row],[Lease_End]],0)</f>
        <v>872</v>
      </c>
      <c r="N245" s="16">
        <f ca="1">Table1[[#This Row],[Lease_End]]-TODAY()</f>
        <v>-872</v>
      </c>
      <c r="O245" t="str">
        <f ca="1">IF(Table1[[#This Row],[Days_to_Expiry]]&lt;0,"Expired",
IF(Table1[[#This Row],[Days_to_Expiry]]&lt;30,"High Risk",
IF(Table1[[#This Row],[Days_to_Expiry]]&lt;=60,"Medium Risk",
"Safe")))</f>
        <v>Expired</v>
      </c>
    </row>
    <row r="246" spans="1:15" x14ac:dyDescent="0.35">
      <c r="A246" t="s">
        <v>498</v>
      </c>
      <c r="B246" t="s">
        <v>141</v>
      </c>
      <c r="C246" t="s">
        <v>499</v>
      </c>
      <c r="D246" s="1">
        <v>44602</v>
      </c>
      <c r="E246" s="1">
        <v>44967</v>
      </c>
      <c r="F246">
        <v>2162</v>
      </c>
      <c r="G246">
        <v>19521</v>
      </c>
      <c r="H246">
        <v>7.61</v>
      </c>
      <c r="I246" t="str">
        <f t="shared" si="7"/>
        <v/>
      </c>
      <c r="J246" t="str">
        <f t="shared" si="6"/>
        <v/>
      </c>
      <c r="K246" s="5" t="str">
        <f>IF(Table1[[#This Row],[Expected_Rent]]&lt;&gt;"", F246/Table1[[#This Row],[Expected_Rent]], "")</f>
        <v/>
      </c>
      <c r="L246" t="s">
        <v>12</v>
      </c>
      <c r="M246">
        <f ca="1">IF(Table1[[#This Row],[Renewal_Status]]="Expired",TODAY()-Table1[[#This Row],[Lease_End]],0)</f>
        <v>0</v>
      </c>
      <c r="N246" s="16">
        <f ca="1">Table1[[#This Row],[Lease_End]]-TODAY()</f>
        <v>-1100</v>
      </c>
      <c r="O246" t="str">
        <f ca="1">IF(Table1[[#This Row],[Days_to_Expiry]]&lt;0,"Expired",
IF(Table1[[#This Row],[Days_to_Expiry]]&lt;30,"High Risk",
IF(Table1[[#This Row],[Days_to_Expiry]]&lt;=60,"Medium Risk",
"Safe")))</f>
        <v>Expired</v>
      </c>
    </row>
    <row r="247" spans="1:15" x14ac:dyDescent="0.35">
      <c r="A247" t="s">
        <v>381</v>
      </c>
      <c r="B247" t="s">
        <v>141</v>
      </c>
      <c r="C247" t="s">
        <v>382</v>
      </c>
      <c r="D247" s="1">
        <v>44715</v>
      </c>
      <c r="E247" s="1">
        <v>45810</v>
      </c>
      <c r="F247">
        <v>3323</v>
      </c>
      <c r="G247">
        <v>8178</v>
      </c>
      <c r="H247">
        <v>6.1</v>
      </c>
      <c r="I247">
        <f t="shared" si="7"/>
        <v>2162</v>
      </c>
      <c r="J247">
        <f t="shared" si="6"/>
        <v>2293.8820000000001</v>
      </c>
      <c r="K247" s="5">
        <f>IF(Table1[[#This Row],[Expected_Rent]]&lt;&gt;"", F247/Table1[[#This Row],[Expected_Rent]], "")</f>
        <v>1.4486359804035256</v>
      </c>
      <c r="L247" t="s">
        <v>20</v>
      </c>
      <c r="M247">
        <f ca="1">IF(Table1[[#This Row],[Renewal_Status]]="Expired",TODAY()-Table1[[#This Row],[Lease_End]],0)</f>
        <v>257</v>
      </c>
      <c r="N247" s="16">
        <f ca="1">Table1[[#This Row],[Lease_End]]-TODAY()</f>
        <v>-257</v>
      </c>
      <c r="O247" t="str">
        <f ca="1">IF(Table1[[#This Row],[Days_to_Expiry]]&lt;0,"Expired",
IF(Table1[[#This Row],[Days_to_Expiry]]&lt;30,"High Risk",
IF(Table1[[#This Row],[Days_to_Expiry]]&lt;=60,"Medium Risk",
"Safe")))</f>
        <v>Expired</v>
      </c>
    </row>
    <row r="248" spans="1:15" x14ac:dyDescent="0.35">
      <c r="A248" t="s">
        <v>140</v>
      </c>
      <c r="B248" t="s">
        <v>141</v>
      </c>
      <c r="C248" t="s">
        <v>142</v>
      </c>
      <c r="D248" s="1">
        <v>44978</v>
      </c>
      <c r="E248" s="1">
        <v>46073</v>
      </c>
      <c r="F248">
        <v>2811</v>
      </c>
      <c r="G248">
        <v>7630</v>
      </c>
      <c r="H248">
        <v>5.95</v>
      </c>
      <c r="I248">
        <f t="shared" si="7"/>
        <v>3323</v>
      </c>
      <c r="J248">
        <f t="shared" si="6"/>
        <v>3520.7185000000004</v>
      </c>
      <c r="K248" s="5">
        <f>IF(Table1[[#This Row],[Expected_Rent]]&lt;&gt;"", F248/Table1[[#This Row],[Expected_Rent]], "")</f>
        <v>0.79841657320799708</v>
      </c>
      <c r="L248" t="s">
        <v>16</v>
      </c>
      <c r="M248">
        <f ca="1">IF(Table1[[#This Row],[Renewal_Status]]="Expired",TODAY()-Table1[[#This Row],[Lease_End]],0)</f>
        <v>0</v>
      </c>
      <c r="N248" s="16">
        <f ca="1">Table1[[#This Row],[Lease_End]]-TODAY()</f>
        <v>6</v>
      </c>
      <c r="O248" t="str">
        <f ca="1">IF(Table1[[#This Row],[Days_to_Expiry]]&lt;0,"Expired",
IF(Table1[[#This Row],[Days_to_Expiry]]&lt;30,"High Risk",
IF(Table1[[#This Row],[Days_to_Expiry]]&lt;=60,"Medium Risk",
"Safe")))</f>
        <v>High Risk</v>
      </c>
    </row>
    <row r="249" spans="1:15" x14ac:dyDescent="0.35">
      <c r="A249" t="s">
        <v>481</v>
      </c>
      <c r="B249" t="s">
        <v>141</v>
      </c>
      <c r="C249" t="s">
        <v>482</v>
      </c>
      <c r="D249" s="1">
        <v>44988</v>
      </c>
      <c r="E249" s="1">
        <v>45353</v>
      </c>
      <c r="F249">
        <v>5298</v>
      </c>
      <c r="G249">
        <v>8320</v>
      </c>
      <c r="H249">
        <v>6.12</v>
      </c>
      <c r="I249">
        <f t="shared" si="7"/>
        <v>2811</v>
      </c>
      <c r="J249">
        <f t="shared" si="6"/>
        <v>2983.0331999999999</v>
      </c>
      <c r="K249" s="5">
        <f>IF(Table1[[#This Row],[Expected_Rent]]&lt;&gt;"", F249/Table1[[#This Row],[Expected_Rent]], "")</f>
        <v>1.776044597827473</v>
      </c>
      <c r="L249" t="s">
        <v>16</v>
      </c>
      <c r="M249">
        <f ca="1">IF(Table1[[#This Row],[Renewal_Status]]="Expired",TODAY()-Table1[[#This Row],[Lease_End]],0)</f>
        <v>0</v>
      </c>
      <c r="N249" s="16">
        <f ca="1">Table1[[#This Row],[Lease_End]]-TODAY()</f>
        <v>-714</v>
      </c>
      <c r="O249" t="str">
        <f ca="1">IF(Table1[[#This Row],[Days_to_Expiry]]&lt;0,"Expired",
IF(Table1[[#This Row],[Days_to_Expiry]]&lt;30,"High Risk",
IF(Table1[[#This Row],[Days_to_Expiry]]&lt;=60,"Medium Risk",
"Safe")))</f>
        <v>Expired</v>
      </c>
    </row>
    <row r="250" spans="1:15" x14ac:dyDescent="0.35">
      <c r="A250" t="s">
        <v>9</v>
      </c>
      <c r="B250" t="s">
        <v>10</v>
      </c>
      <c r="C250" t="s">
        <v>11</v>
      </c>
      <c r="D250" s="1">
        <v>44590</v>
      </c>
      <c r="E250" s="1">
        <v>45685</v>
      </c>
      <c r="F250">
        <v>5764</v>
      </c>
      <c r="G250">
        <v>14853</v>
      </c>
      <c r="H250">
        <v>5.15</v>
      </c>
      <c r="I250" t="str">
        <f t="shared" si="7"/>
        <v/>
      </c>
      <c r="J250" t="str">
        <f t="shared" si="6"/>
        <v/>
      </c>
      <c r="K250" s="5" t="str">
        <f>IF(Table1[[#This Row],[Expected_Rent]]&lt;&gt;"", F250/Table1[[#This Row],[Expected_Rent]], "")</f>
        <v/>
      </c>
      <c r="L250" t="s">
        <v>12</v>
      </c>
      <c r="M250">
        <f ca="1">IF(Table1[[#This Row],[Renewal_Status]]="Expired",TODAY()-Table1[[#This Row],[Lease_End]],0)</f>
        <v>0</v>
      </c>
      <c r="N250" s="16">
        <f ca="1">Table1[[#This Row],[Lease_End]]-TODAY()</f>
        <v>-382</v>
      </c>
      <c r="O250" t="str">
        <f ca="1">IF(Table1[[#This Row],[Days_to_Expiry]]&lt;0,"Expired",
IF(Table1[[#This Row],[Days_to_Expiry]]&lt;30,"High Risk",
IF(Table1[[#This Row],[Days_to_Expiry]]&lt;=60,"Medium Risk",
"Safe")))</f>
        <v>Expired</v>
      </c>
    </row>
    <row r="251" spans="1:15" x14ac:dyDescent="0.35">
      <c r="A251" t="s">
        <v>727</v>
      </c>
      <c r="B251" t="s">
        <v>10</v>
      </c>
      <c r="C251" t="s">
        <v>728</v>
      </c>
      <c r="D251" s="1">
        <v>44747</v>
      </c>
      <c r="E251" s="1">
        <v>45112</v>
      </c>
      <c r="F251">
        <v>4895</v>
      </c>
      <c r="G251">
        <v>5647</v>
      </c>
      <c r="H251">
        <v>5.3</v>
      </c>
      <c r="I251">
        <f t="shared" si="7"/>
        <v>5764</v>
      </c>
      <c r="J251">
        <f t="shared" si="6"/>
        <v>6069.4919999999993</v>
      </c>
      <c r="K251" s="5">
        <f>IF(Table1[[#This Row],[Expected_Rent]]&lt;&gt;"", F251/Table1[[#This Row],[Expected_Rent]], "")</f>
        <v>0.80649253677243504</v>
      </c>
      <c r="L251" t="s">
        <v>16</v>
      </c>
      <c r="M251">
        <f ca="1">IF(Table1[[#This Row],[Renewal_Status]]="Expired",TODAY()-Table1[[#This Row],[Lease_End]],0)</f>
        <v>0</v>
      </c>
      <c r="N251" s="16">
        <f ca="1">Table1[[#This Row],[Lease_End]]-TODAY()</f>
        <v>-955</v>
      </c>
      <c r="O251" t="str">
        <f ca="1">IF(Table1[[#This Row],[Days_to_Expiry]]&lt;0,"Expired",
IF(Table1[[#This Row],[Days_to_Expiry]]&lt;30,"High Risk",
IF(Table1[[#This Row],[Days_to_Expiry]]&lt;=60,"Medium Risk",
"Safe")))</f>
        <v>Expired</v>
      </c>
    </row>
    <row r="252" spans="1:15" x14ac:dyDescent="0.35">
      <c r="A252" t="s">
        <v>729</v>
      </c>
      <c r="B252" t="s">
        <v>37</v>
      </c>
      <c r="C252" t="s">
        <v>730</v>
      </c>
      <c r="D252" s="1">
        <v>44990</v>
      </c>
      <c r="E252" s="1">
        <v>46085</v>
      </c>
      <c r="F252">
        <v>5340</v>
      </c>
      <c r="G252">
        <v>11134</v>
      </c>
      <c r="H252">
        <v>3.79</v>
      </c>
      <c r="I252" t="str">
        <f t="shared" si="7"/>
        <v/>
      </c>
      <c r="J252" t="str">
        <f t="shared" si="6"/>
        <v/>
      </c>
      <c r="K252" s="5" t="str">
        <f>IF(Table1[[#This Row],[Expected_Rent]]&lt;&gt;"", F252/Table1[[#This Row],[Expected_Rent]], "")</f>
        <v/>
      </c>
      <c r="L252" t="s">
        <v>20</v>
      </c>
      <c r="M252">
        <f ca="1">IF(Table1[[#This Row],[Renewal_Status]]="Expired",TODAY()-Table1[[#This Row],[Lease_End]],0)</f>
        <v>-18</v>
      </c>
      <c r="N252" s="16">
        <f ca="1">Table1[[#This Row],[Lease_End]]-TODAY()</f>
        <v>18</v>
      </c>
      <c r="O252" t="str">
        <f ca="1">IF(Table1[[#This Row],[Days_to_Expiry]]&lt;0,"Expired",
IF(Table1[[#This Row],[Days_to_Expiry]]&lt;30,"High Risk",
IF(Table1[[#This Row],[Days_to_Expiry]]&lt;=60,"Medium Risk",
"Safe")))</f>
        <v>High Risk</v>
      </c>
    </row>
    <row r="253" spans="1:15" x14ac:dyDescent="0.35">
      <c r="A253" t="s">
        <v>36</v>
      </c>
      <c r="B253" t="s">
        <v>37</v>
      </c>
      <c r="C253" t="s">
        <v>38</v>
      </c>
      <c r="D253" s="1">
        <v>44995</v>
      </c>
      <c r="E253" s="1">
        <v>45360</v>
      </c>
      <c r="F253">
        <v>2664</v>
      </c>
      <c r="G253">
        <v>14977</v>
      </c>
      <c r="H253">
        <v>3.76</v>
      </c>
      <c r="I253">
        <f t="shared" si="7"/>
        <v>5340</v>
      </c>
      <c r="J253">
        <f t="shared" si="6"/>
        <v>5540.7840000000006</v>
      </c>
      <c r="K253" s="5">
        <f>IF(Table1[[#This Row],[Expected_Rent]]&lt;&gt;"", F253/Table1[[#This Row],[Expected_Rent]], "")</f>
        <v>0.48079838521046836</v>
      </c>
      <c r="L253" t="s">
        <v>16</v>
      </c>
      <c r="M253">
        <f ca="1">IF(Table1[[#This Row],[Renewal_Status]]="Expired",TODAY()-Table1[[#This Row],[Lease_End]],0)</f>
        <v>0</v>
      </c>
      <c r="N253" s="16">
        <f ca="1">Table1[[#This Row],[Lease_End]]-TODAY()</f>
        <v>-707</v>
      </c>
      <c r="O253" t="str">
        <f ca="1">IF(Table1[[#This Row],[Days_to_Expiry]]&lt;0,"Expired",
IF(Table1[[#This Row],[Days_to_Expiry]]&lt;30,"High Risk",
IF(Table1[[#This Row],[Days_to_Expiry]]&lt;=60,"Medium Risk",
"Safe")))</f>
        <v>Expired</v>
      </c>
    </row>
    <row r="254" spans="1:15" x14ac:dyDescent="0.35">
      <c r="A254" t="s">
        <v>377</v>
      </c>
      <c r="B254" t="s">
        <v>147</v>
      </c>
      <c r="C254" t="s">
        <v>378</v>
      </c>
      <c r="D254" s="1">
        <v>45039</v>
      </c>
      <c r="E254" s="1">
        <v>46134</v>
      </c>
      <c r="F254">
        <v>6641</v>
      </c>
      <c r="G254">
        <v>5163</v>
      </c>
      <c r="H254">
        <v>3</v>
      </c>
      <c r="I254" t="str">
        <f t="shared" si="7"/>
        <v/>
      </c>
      <c r="J254" t="str">
        <f t="shared" si="6"/>
        <v/>
      </c>
      <c r="K254" s="5" t="str">
        <f>IF(Table1[[#This Row],[Expected_Rent]]&lt;&gt;"", F254/Table1[[#This Row],[Expected_Rent]], "")</f>
        <v/>
      </c>
      <c r="L254" t="s">
        <v>20</v>
      </c>
      <c r="M254">
        <f ca="1">IF(Table1[[#This Row],[Renewal_Status]]="Expired",TODAY()-Table1[[#This Row],[Lease_End]],0)</f>
        <v>-67</v>
      </c>
      <c r="N254" s="16">
        <f ca="1">Table1[[#This Row],[Lease_End]]-TODAY()</f>
        <v>67</v>
      </c>
      <c r="O254" t="str">
        <f ca="1">IF(Table1[[#This Row],[Days_to_Expiry]]&lt;0,"Expired",
IF(Table1[[#This Row],[Days_to_Expiry]]&lt;30,"High Risk",
IF(Table1[[#This Row],[Days_to_Expiry]]&lt;=60,"Medium Risk",
"Safe")))</f>
        <v>Safe</v>
      </c>
    </row>
    <row r="255" spans="1:15" x14ac:dyDescent="0.35">
      <c r="A255" t="s">
        <v>477</v>
      </c>
      <c r="B255" t="s">
        <v>147</v>
      </c>
      <c r="C255" t="s">
        <v>478</v>
      </c>
      <c r="D255" s="1">
        <v>45039</v>
      </c>
      <c r="E255" s="1">
        <v>46134</v>
      </c>
      <c r="F255">
        <v>4984</v>
      </c>
      <c r="G255">
        <v>17523</v>
      </c>
      <c r="H255">
        <v>6.96</v>
      </c>
      <c r="I255">
        <f t="shared" si="7"/>
        <v>6641</v>
      </c>
      <c r="J255">
        <f t="shared" si="6"/>
        <v>7103.2135999999991</v>
      </c>
      <c r="K255" s="5">
        <f>IF(Table1[[#This Row],[Expected_Rent]]&lt;&gt;"", F255/Table1[[#This Row],[Expected_Rent]], "")</f>
        <v>0.7016542484376368</v>
      </c>
      <c r="L255" t="s">
        <v>20</v>
      </c>
      <c r="M255">
        <f ca="1">IF(Table1[[#This Row],[Renewal_Status]]="Expired",TODAY()-Table1[[#This Row],[Lease_End]],0)</f>
        <v>-67</v>
      </c>
      <c r="N255" s="16">
        <f ca="1">Table1[[#This Row],[Lease_End]]-TODAY()</f>
        <v>67</v>
      </c>
      <c r="O255" t="str">
        <f ca="1">IF(Table1[[#This Row],[Days_to_Expiry]]&lt;0,"Expired",
IF(Table1[[#This Row],[Days_to_Expiry]]&lt;30,"High Risk",
IF(Table1[[#This Row],[Days_to_Expiry]]&lt;=60,"Medium Risk",
"Safe")))</f>
        <v>Safe</v>
      </c>
    </row>
    <row r="256" spans="1:15" x14ac:dyDescent="0.35">
      <c r="A256" t="s">
        <v>146</v>
      </c>
      <c r="B256" t="s">
        <v>147</v>
      </c>
      <c r="C256" t="s">
        <v>148</v>
      </c>
      <c r="D256" s="1">
        <v>45087</v>
      </c>
      <c r="E256" s="1">
        <v>45817</v>
      </c>
      <c r="F256">
        <v>4969</v>
      </c>
      <c r="G256">
        <v>19549</v>
      </c>
      <c r="H256">
        <v>4.1399999999999997</v>
      </c>
      <c r="I256">
        <f t="shared" si="7"/>
        <v>4984</v>
      </c>
      <c r="J256">
        <f t="shared" si="6"/>
        <v>5190.3376000000007</v>
      </c>
      <c r="K256" s="5">
        <f>IF(Table1[[#This Row],[Expected_Rent]]&lt;&gt;"", F256/Table1[[#This Row],[Expected_Rent]], "")</f>
        <v>0.95735583750852726</v>
      </c>
      <c r="L256" t="s">
        <v>20</v>
      </c>
      <c r="M256">
        <f ca="1">IF(Table1[[#This Row],[Renewal_Status]]="Expired",TODAY()-Table1[[#This Row],[Lease_End]],0)</f>
        <v>250</v>
      </c>
      <c r="N256" s="16">
        <f ca="1">Table1[[#This Row],[Lease_End]]-TODAY()</f>
        <v>-250</v>
      </c>
      <c r="O256" t="str">
        <f ca="1">IF(Table1[[#This Row],[Days_to_Expiry]]&lt;0,"Expired",
IF(Table1[[#This Row],[Days_to_Expiry]]&lt;30,"High Risk",
IF(Table1[[#This Row],[Days_to_Expiry]]&lt;=60,"Medium Risk",
"Safe")))</f>
        <v>Expired</v>
      </c>
    </row>
    <row r="257" spans="1:15" x14ac:dyDescent="0.35">
      <c r="A257" t="s">
        <v>601</v>
      </c>
      <c r="B257" t="s">
        <v>602</v>
      </c>
      <c r="C257" t="s">
        <v>603</v>
      </c>
      <c r="D257" s="1">
        <v>45017</v>
      </c>
      <c r="E257" s="1">
        <v>46112</v>
      </c>
      <c r="F257">
        <v>6248</v>
      </c>
      <c r="G257">
        <v>17938</v>
      </c>
      <c r="H257">
        <v>6.78</v>
      </c>
      <c r="I257" t="str">
        <f t="shared" si="7"/>
        <v/>
      </c>
      <c r="J257" t="str">
        <f t="shared" si="6"/>
        <v/>
      </c>
      <c r="K257" s="5" t="str">
        <f>IF(Table1[[#This Row],[Expected_Rent]]&lt;&gt;"", F257/Table1[[#This Row],[Expected_Rent]], "")</f>
        <v/>
      </c>
      <c r="L257" t="s">
        <v>16</v>
      </c>
      <c r="M257">
        <f ca="1">IF(Table1[[#This Row],[Renewal_Status]]="Expired",TODAY()-Table1[[#This Row],[Lease_End]],0)</f>
        <v>0</v>
      </c>
      <c r="N257" s="16">
        <f ca="1">Table1[[#This Row],[Lease_End]]-TODAY()</f>
        <v>45</v>
      </c>
      <c r="O257" t="str">
        <f ca="1">IF(Table1[[#This Row],[Days_to_Expiry]]&lt;0,"Expired",
IF(Table1[[#This Row],[Days_to_Expiry]]&lt;30,"High Risk",
IF(Table1[[#This Row],[Days_to_Expiry]]&lt;=60,"Medium Risk",
"Safe")))</f>
        <v>Medium Risk</v>
      </c>
    </row>
    <row r="258" spans="1:15" x14ac:dyDescent="0.35">
      <c r="A258" t="s">
        <v>294</v>
      </c>
      <c r="B258" t="s">
        <v>295</v>
      </c>
      <c r="C258" t="s">
        <v>296</v>
      </c>
      <c r="D258" s="1">
        <v>44610</v>
      </c>
      <c r="E258" s="1">
        <v>45705</v>
      </c>
      <c r="F258">
        <v>3247</v>
      </c>
      <c r="G258">
        <v>17627</v>
      </c>
      <c r="H258">
        <v>7.14</v>
      </c>
      <c r="I258" t="str">
        <f t="shared" si="7"/>
        <v/>
      </c>
      <c r="J258" t="str">
        <f t="shared" ref="J258:J301" si="8">IF(I258&lt;&gt;"", I258*(1+H258/100), "")</f>
        <v/>
      </c>
      <c r="K258" s="5" t="str">
        <f>IF(Table1[[#This Row],[Expected_Rent]]&lt;&gt;"", F258/Table1[[#This Row],[Expected_Rent]], "")</f>
        <v/>
      </c>
      <c r="L258" t="s">
        <v>12</v>
      </c>
      <c r="M258">
        <f ca="1">IF(Table1[[#This Row],[Renewal_Status]]="Expired",TODAY()-Table1[[#This Row],[Lease_End]],0)</f>
        <v>0</v>
      </c>
      <c r="N258" s="16">
        <f ca="1">Table1[[#This Row],[Lease_End]]-TODAY()</f>
        <v>-362</v>
      </c>
      <c r="O258" t="str">
        <f ca="1">IF(Table1[[#This Row],[Days_to_Expiry]]&lt;0,"Expired",
IF(Table1[[#This Row],[Days_to_Expiry]]&lt;30,"High Risk",
IF(Table1[[#This Row],[Days_to_Expiry]]&lt;=60,"Medium Risk",
"Safe")))</f>
        <v>Expired</v>
      </c>
    </row>
    <row r="259" spans="1:15" x14ac:dyDescent="0.35">
      <c r="A259" t="s">
        <v>629</v>
      </c>
      <c r="B259" t="s">
        <v>295</v>
      </c>
      <c r="C259" t="s">
        <v>630</v>
      </c>
      <c r="D259" s="1">
        <v>45120</v>
      </c>
      <c r="E259" s="1">
        <v>46215</v>
      </c>
      <c r="F259">
        <v>6804</v>
      </c>
      <c r="G259">
        <v>6134</v>
      </c>
      <c r="H259">
        <v>4.79</v>
      </c>
      <c r="I259">
        <f t="shared" ref="I259:I301" si="9">IF(B259=B258, F258, "")</f>
        <v>3247</v>
      </c>
      <c r="J259">
        <f t="shared" si="8"/>
        <v>3402.5313000000001</v>
      </c>
      <c r="K259" s="5">
        <f>IF(Table1[[#This Row],[Expected_Rent]]&lt;&gt;"", F259/Table1[[#This Row],[Expected_Rent]], "")</f>
        <v>1.9996877030932823</v>
      </c>
      <c r="L259" t="s">
        <v>20</v>
      </c>
      <c r="M259">
        <f ca="1">IF(Table1[[#This Row],[Renewal_Status]]="Expired",TODAY()-Table1[[#This Row],[Lease_End]],0)</f>
        <v>-148</v>
      </c>
      <c r="N259" s="16">
        <f ca="1">Table1[[#This Row],[Lease_End]]-TODAY()</f>
        <v>148</v>
      </c>
      <c r="O259" t="str">
        <f ca="1">IF(Table1[[#This Row],[Days_to_Expiry]]&lt;0,"Expired",
IF(Table1[[#This Row],[Days_to_Expiry]]&lt;30,"High Risk",
IF(Table1[[#This Row],[Days_to_Expiry]]&lt;=60,"Medium Risk",
"Safe")))</f>
        <v>Safe</v>
      </c>
    </row>
    <row r="260" spans="1:15" x14ac:dyDescent="0.35">
      <c r="A260" t="s">
        <v>181</v>
      </c>
      <c r="B260" t="s">
        <v>182</v>
      </c>
      <c r="C260" t="s">
        <v>183</v>
      </c>
      <c r="D260" s="1">
        <v>44786</v>
      </c>
      <c r="E260" s="1">
        <v>45151</v>
      </c>
      <c r="F260">
        <v>6206</v>
      </c>
      <c r="G260">
        <v>7269</v>
      </c>
      <c r="H260">
        <v>3.48</v>
      </c>
      <c r="I260" t="str">
        <f t="shared" si="9"/>
        <v/>
      </c>
      <c r="J260" t="str">
        <f t="shared" si="8"/>
        <v/>
      </c>
      <c r="K260" s="5" t="str">
        <f>IF(Table1[[#This Row],[Expected_Rent]]&lt;&gt;"", F260/Table1[[#This Row],[Expected_Rent]], "")</f>
        <v/>
      </c>
      <c r="L260" t="s">
        <v>20</v>
      </c>
      <c r="M260">
        <f ca="1">IF(Table1[[#This Row],[Renewal_Status]]="Expired",TODAY()-Table1[[#This Row],[Lease_End]],0)</f>
        <v>916</v>
      </c>
      <c r="N260" s="16">
        <f ca="1">Table1[[#This Row],[Lease_End]]-TODAY()</f>
        <v>-916</v>
      </c>
      <c r="O260" t="str">
        <f ca="1">IF(Table1[[#This Row],[Days_to_Expiry]]&lt;0,"Expired",
IF(Table1[[#This Row],[Days_to_Expiry]]&lt;30,"High Risk",
IF(Table1[[#This Row],[Days_to_Expiry]]&lt;=60,"Medium Risk",
"Safe")))</f>
        <v>Expired</v>
      </c>
    </row>
    <row r="261" spans="1:15" x14ac:dyDescent="0.35">
      <c r="A261" t="s">
        <v>222</v>
      </c>
      <c r="B261" t="s">
        <v>182</v>
      </c>
      <c r="C261" t="s">
        <v>223</v>
      </c>
      <c r="D261" s="1">
        <v>44987</v>
      </c>
      <c r="E261" s="1">
        <v>46082</v>
      </c>
      <c r="F261">
        <v>3881</v>
      </c>
      <c r="G261">
        <v>9796</v>
      </c>
      <c r="H261">
        <v>5.39</v>
      </c>
      <c r="I261">
        <f t="shared" si="9"/>
        <v>6206</v>
      </c>
      <c r="J261">
        <f t="shared" si="8"/>
        <v>6540.5034000000005</v>
      </c>
      <c r="K261" s="5">
        <f>IF(Table1[[#This Row],[Expected_Rent]]&lt;&gt;"", F261/Table1[[#This Row],[Expected_Rent]], "")</f>
        <v>0.59337940257014465</v>
      </c>
      <c r="L261" t="s">
        <v>16</v>
      </c>
      <c r="M261">
        <f ca="1">IF(Table1[[#This Row],[Renewal_Status]]="Expired",TODAY()-Table1[[#This Row],[Lease_End]],0)</f>
        <v>0</v>
      </c>
      <c r="N261" s="16">
        <f ca="1">Table1[[#This Row],[Lease_End]]-TODAY()</f>
        <v>15</v>
      </c>
      <c r="O261" t="str">
        <f ca="1">IF(Table1[[#This Row],[Days_to_Expiry]]&lt;0,"Expired",
IF(Table1[[#This Row],[Days_to_Expiry]]&lt;30,"High Risk",
IF(Table1[[#This Row],[Days_to_Expiry]]&lt;=60,"Medium Risk",
"Safe")))</f>
        <v>High Risk</v>
      </c>
    </row>
    <row r="262" spans="1:15" x14ac:dyDescent="0.35">
      <c r="A262" t="s">
        <v>305</v>
      </c>
      <c r="B262" t="s">
        <v>182</v>
      </c>
      <c r="C262" t="s">
        <v>306</v>
      </c>
      <c r="D262" s="1">
        <v>45049</v>
      </c>
      <c r="E262" s="1">
        <v>45414</v>
      </c>
      <c r="F262">
        <v>5479</v>
      </c>
      <c r="G262">
        <v>14014</v>
      </c>
      <c r="H262">
        <v>6.22</v>
      </c>
      <c r="I262">
        <f t="shared" si="9"/>
        <v>3881</v>
      </c>
      <c r="J262">
        <f t="shared" si="8"/>
        <v>4122.3982000000005</v>
      </c>
      <c r="K262" s="5">
        <f>IF(Table1[[#This Row],[Expected_Rent]]&lt;&gt;"", F262/Table1[[#This Row],[Expected_Rent]], "")</f>
        <v>1.3290807278151828</v>
      </c>
      <c r="L262" t="s">
        <v>16</v>
      </c>
      <c r="M262">
        <f ca="1">IF(Table1[[#This Row],[Renewal_Status]]="Expired",TODAY()-Table1[[#This Row],[Lease_End]],0)</f>
        <v>0</v>
      </c>
      <c r="N262" s="16">
        <f ca="1">Table1[[#This Row],[Lease_End]]-TODAY()</f>
        <v>-653</v>
      </c>
      <c r="O262" t="str">
        <f ca="1">IF(Table1[[#This Row],[Days_to_Expiry]]&lt;0,"Expired",
IF(Table1[[#This Row],[Days_to_Expiry]]&lt;30,"High Risk",
IF(Table1[[#This Row],[Days_to_Expiry]]&lt;=60,"Medium Risk",
"Safe")))</f>
        <v>Expired</v>
      </c>
    </row>
    <row r="263" spans="1:15" x14ac:dyDescent="0.35">
      <c r="A263" t="s">
        <v>252</v>
      </c>
      <c r="B263" t="s">
        <v>182</v>
      </c>
      <c r="C263" t="s">
        <v>253</v>
      </c>
      <c r="D263" s="1">
        <v>45090</v>
      </c>
      <c r="E263" s="1">
        <v>45455</v>
      </c>
      <c r="F263">
        <v>6322</v>
      </c>
      <c r="G263">
        <v>8624</v>
      </c>
      <c r="H263">
        <v>5.08</v>
      </c>
      <c r="I263">
        <f t="shared" si="9"/>
        <v>5479</v>
      </c>
      <c r="J263">
        <f t="shared" si="8"/>
        <v>5757.3332</v>
      </c>
      <c r="K263" s="5">
        <f>IF(Table1[[#This Row],[Expected_Rent]]&lt;&gt;"", F263/Table1[[#This Row],[Expected_Rent]], "")</f>
        <v>1.0980778392329282</v>
      </c>
      <c r="L263" t="s">
        <v>16</v>
      </c>
      <c r="M263">
        <f ca="1">IF(Table1[[#This Row],[Renewal_Status]]="Expired",TODAY()-Table1[[#This Row],[Lease_End]],0)</f>
        <v>0</v>
      </c>
      <c r="N263" s="16">
        <f ca="1">Table1[[#This Row],[Lease_End]]-TODAY()</f>
        <v>-612</v>
      </c>
      <c r="O263" t="str">
        <f ca="1">IF(Table1[[#This Row],[Days_to_Expiry]]&lt;0,"Expired",
IF(Table1[[#This Row],[Days_to_Expiry]]&lt;30,"High Risk",
IF(Table1[[#This Row],[Days_to_Expiry]]&lt;=60,"Medium Risk",
"Safe")))</f>
        <v>Expired</v>
      </c>
    </row>
    <row r="264" spans="1:15" x14ac:dyDescent="0.35">
      <c r="A264" t="s">
        <v>645</v>
      </c>
      <c r="B264" t="s">
        <v>182</v>
      </c>
      <c r="C264" t="s">
        <v>646</v>
      </c>
      <c r="D264" s="1">
        <v>45232</v>
      </c>
      <c r="E264" s="1">
        <v>46327</v>
      </c>
      <c r="F264">
        <v>2196</v>
      </c>
      <c r="G264">
        <v>10210</v>
      </c>
      <c r="H264">
        <v>5.57</v>
      </c>
      <c r="I264">
        <f t="shared" si="9"/>
        <v>6322</v>
      </c>
      <c r="J264">
        <f t="shared" si="8"/>
        <v>6674.1354000000001</v>
      </c>
      <c r="K264" s="5">
        <f>IF(Table1[[#This Row],[Expected_Rent]]&lt;&gt;"", F264/Table1[[#This Row],[Expected_Rent]], "")</f>
        <v>0.32903138285147765</v>
      </c>
      <c r="L264" t="s">
        <v>20</v>
      </c>
      <c r="M264">
        <f ca="1">IF(Table1[[#This Row],[Renewal_Status]]="Expired",TODAY()-Table1[[#This Row],[Lease_End]],0)</f>
        <v>-260</v>
      </c>
      <c r="N264" s="16">
        <f ca="1">Table1[[#This Row],[Lease_End]]-TODAY()</f>
        <v>260</v>
      </c>
      <c r="O264" t="str">
        <f ca="1">IF(Table1[[#This Row],[Days_to_Expiry]]&lt;0,"Expired",
IF(Table1[[#This Row],[Days_to_Expiry]]&lt;30,"High Risk",
IF(Table1[[#This Row],[Days_to_Expiry]]&lt;=60,"Medium Risk",
"Safe")))</f>
        <v>Safe</v>
      </c>
    </row>
    <row r="265" spans="1:15" x14ac:dyDescent="0.35">
      <c r="A265" t="s">
        <v>250</v>
      </c>
      <c r="B265" t="s">
        <v>236</v>
      </c>
      <c r="C265" t="s">
        <v>251</v>
      </c>
      <c r="D265" s="1">
        <v>44978</v>
      </c>
      <c r="E265" s="1">
        <v>46073</v>
      </c>
      <c r="F265">
        <v>5284</v>
      </c>
      <c r="G265">
        <v>19005</v>
      </c>
      <c r="H265">
        <v>6.63</v>
      </c>
      <c r="I265" t="str">
        <f t="shared" si="9"/>
        <v/>
      </c>
      <c r="J265" t="str">
        <f t="shared" si="8"/>
        <v/>
      </c>
      <c r="K265" s="5" t="str">
        <f>IF(Table1[[#This Row],[Expected_Rent]]&lt;&gt;"", F265/Table1[[#This Row],[Expected_Rent]], "")</f>
        <v/>
      </c>
      <c r="L265" t="s">
        <v>12</v>
      </c>
      <c r="M265">
        <f ca="1">IF(Table1[[#This Row],[Renewal_Status]]="Expired",TODAY()-Table1[[#This Row],[Lease_End]],0)</f>
        <v>0</v>
      </c>
      <c r="N265" s="16">
        <f ca="1">Table1[[#This Row],[Lease_End]]-TODAY()</f>
        <v>6</v>
      </c>
      <c r="O265" t="str">
        <f ca="1">IF(Table1[[#This Row],[Days_to_Expiry]]&lt;0,"Expired",
IF(Table1[[#This Row],[Days_to_Expiry]]&lt;30,"High Risk",
IF(Table1[[#This Row],[Days_to_Expiry]]&lt;=60,"Medium Risk",
"Safe")))</f>
        <v>High Risk</v>
      </c>
    </row>
    <row r="266" spans="1:15" x14ac:dyDescent="0.35">
      <c r="A266" t="s">
        <v>265</v>
      </c>
      <c r="B266" t="s">
        <v>236</v>
      </c>
      <c r="C266" t="s">
        <v>266</v>
      </c>
      <c r="D266" s="1">
        <v>44990</v>
      </c>
      <c r="E266" s="1">
        <v>46085</v>
      </c>
      <c r="F266">
        <v>4687</v>
      </c>
      <c r="G266">
        <v>13413</v>
      </c>
      <c r="H266">
        <v>4.42</v>
      </c>
      <c r="I266">
        <f t="shared" si="9"/>
        <v>5284</v>
      </c>
      <c r="J266">
        <f t="shared" si="8"/>
        <v>5517.5528000000004</v>
      </c>
      <c r="K266" s="5">
        <f>IF(Table1[[#This Row],[Expected_Rent]]&lt;&gt;"", F266/Table1[[#This Row],[Expected_Rent]], "")</f>
        <v>0.84947080162060251</v>
      </c>
      <c r="L266" t="s">
        <v>16</v>
      </c>
      <c r="M266">
        <f ca="1">IF(Table1[[#This Row],[Renewal_Status]]="Expired",TODAY()-Table1[[#This Row],[Lease_End]],0)</f>
        <v>0</v>
      </c>
      <c r="N266" s="16">
        <f ca="1">Table1[[#This Row],[Lease_End]]-TODAY()</f>
        <v>18</v>
      </c>
      <c r="O266" t="str">
        <f ca="1">IF(Table1[[#This Row],[Days_to_Expiry]]&lt;0,"Expired",
IF(Table1[[#This Row],[Days_to_Expiry]]&lt;30,"High Risk",
IF(Table1[[#This Row],[Days_to_Expiry]]&lt;=60,"Medium Risk",
"Safe")))</f>
        <v>High Risk</v>
      </c>
    </row>
    <row r="267" spans="1:15" x14ac:dyDescent="0.35">
      <c r="A267" t="s">
        <v>235</v>
      </c>
      <c r="B267" t="s">
        <v>236</v>
      </c>
      <c r="C267" t="s">
        <v>237</v>
      </c>
      <c r="D267" s="1">
        <v>45095</v>
      </c>
      <c r="E267" s="1">
        <v>45825</v>
      </c>
      <c r="F267">
        <v>6889</v>
      </c>
      <c r="G267">
        <v>8091</v>
      </c>
      <c r="H267">
        <v>6.05</v>
      </c>
      <c r="I267">
        <f t="shared" si="9"/>
        <v>4687</v>
      </c>
      <c r="J267">
        <f t="shared" si="8"/>
        <v>4970.5635000000002</v>
      </c>
      <c r="K267" s="5">
        <f>IF(Table1[[#This Row],[Expected_Rent]]&lt;&gt;"", F267/Table1[[#This Row],[Expected_Rent]], "")</f>
        <v>1.3859595597159156</v>
      </c>
      <c r="L267" t="s">
        <v>16</v>
      </c>
      <c r="M267">
        <f ca="1">IF(Table1[[#This Row],[Renewal_Status]]="Expired",TODAY()-Table1[[#This Row],[Lease_End]],0)</f>
        <v>0</v>
      </c>
      <c r="N267" s="16">
        <f ca="1">Table1[[#This Row],[Lease_End]]-TODAY()</f>
        <v>-242</v>
      </c>
      <c r="O267" t="str">
        <f ca="1">IF(Table1[[#This Row],[Days_to_Expiry]]&lt;0,"Expired",
IF(Table1[[#This Row],[Days_to_Expiry]]&lt;30,"High Risk",
IF(Table1[[#This Row],[Days_to_Expiry]]&lt;=60,"Medium Risk",
"Safe")))</f>
        <v>Expired</v>
      </c>
    </row>
    <row r="268" spans="1:15" x14ac:dyDescent="0.35">
      <c r="A268" t="s">
        <v>655</v>
      </c>
      <c r="B268" t="s">
        <v>236</v>
      </c>
      <c r="C268" t="s">
        <v>656</v>
      </c>
      <c r="D268" s="1">
        <v>45247</v>
      </c>
      <c r="E268" s="1">
        <v>45977</v>
      </c>
      <c r="F268">
        <v>4814</v>
      </c>
      <c r="G268">
        <v>12121</v>
      </c>
      <c r="H268">
        <v>5.51</v>
      </c>
      <c r="I268">
        <f t="shared" si="9"/>
        <v>6889</v>
      </c>
      <c r="J268">
        <f t="shared" si="8"/>
        <v>7268.5838999999996</v>
      </c>
      <c r="K268" s="5">
        <f>IF(Table1[[#This Row],[Expected_Rent]]&lt;&gt;"", F268/Table1[[#This Row],[Expected_Rent]], "")</f>
        <v>0.66230232273992196</v>
      </c>
      <c r="L268" t="s">
        <v>20</v>
      </c>
      <c r="M268">
        <f ca="1">IF(Table1[[#This Row],[Renewal_Status]]="Expired",TODAY()-Table1[[#This Row],[Lease_End]],0)</f>
        <v>90</v>
      </c>
      <c r="N268" s="16">
        <f ca="1">Table1[[#This Row],[Lease_End]]-TODAY()</f>
        <v>-90</v>
      </c>
      <c r="O268" t="str">
        <f ca="1">IF(Table1[[#This Row],[Days_to_Expiry]]&lt;0,"Expired",
IF(Table1[[#This Row],[Days_to_Expiry]]&lt;30,"High Risk",
IF(Table1[[#This Row],[Days_to_Expiry]]&lt;=60,"Medium Risk",
"Safe")))</f>
        <v>Expired</v>
      </c>
    </row>
    <row r="269" spans="1:15" x14ac:dyDescent="0.35">
      <c r="A269" t="s">
        <v>513</v>
      </c>
      <c r="B269" t="s">
        <v>227</v>
      </c>
      <c r="C269" t="s">
        <v>514</v>
      </c>
      <c r="D269" s="1">
        <v>44593</v>
      </c>
      <c r="E269" s="1">
        <v>44958</v>
      </c>
      <c r="F269">
        <v>2398</v>
      </c>
      <c r="G269">
        <v>5082</v>
      </c>
      <c r="H269">
        <v>6.48</v>
      </c>
      <c r="I269" t="str">
        <f t="shared" si="9"/>
        <v/>
      </c>
      <c r="J269" t="str">
        <f t="shared" si="8"/>
        <v/>
      </c>
      <c r="K269" s="5" t="str">
        <f>IF(Table1[[#This Row],[Expected_Rent]]&lt;&gt;"", F269/Table1[[#This Row],[Expected_Rent]], "")</f>
        <v/>
      </c>
      <c r="L269" t="s">
        <v>12</v>
      </c>
      <c r="M269">
        <f ca="1">IF(Table1[[#This Row],[Renewal_Status]]="Expired",TODAY()-Table1[[#This Row],[Lease_End]],0)</f>
        <v>0</v>
      </c>
      <c r="N269" s="16">
        <f ca="1">Table1[[#This Row],[Lease_End]]-TODAY()</f>
        <v>-1109</v>
      </c>
      <c r="O269" t="str">
        <f ca="1">IF(Table1[[#This Row],[Days_to_Expiry]]&lt;0,"Expired",
IF(Table1[[#This Row],[Days_to_Expiry]]&lt;30,"High Risk",
IF(Table1[[#This Row],[Days_to_Expiry]]&lt;=60,"Medium Risk",
"Safe")))</f>
        <v>Expired</v>
      </c>
    </row>
    <row r="270" spans="1:15" x14ac:dyDescent="0.35">
      <c r="A270" t="s">
        <v>691</v>
      </c>
      <c r="B270" t="s">
        <v>227</v>
      </c>
      <c r="C270" t="s">
        <v>692</v>
      </c>
      <c r="D270" s="1">
        <v>44773</v>
      </c>
      <c r="E270" s="1">
        <v>45868</v>
      </c>
      <c r="F270">
        <v>6745</v>
      </c>
      <c r="G270">
        <v>12133</v>
      </c>
      <c r="H270">
        <v>5.26</v>
      </c>
      <c r="I270">
        <f t="shared" si="9"/>
        <v>2398</v>
      </c>
      <c r="J270">
        <f t="shared" si="8"/>
        <v>2524.1347999999998</v>
      </c>
      <c r="K270" s="5">
        <f>IF(Table1[[#This Row],[Expected_Rent]]&lt;&gt;"", F270/Table1[[#This Row],[Expected_Rent]], "")</f>
        <v>2.6722027682515215</v>
      </c>
      <c r="L270" t="s">
        <v>12</v>
      </c>
      <c r="M270">
        <f ca="1">IF(Table1[[#This Row],[Renewal_Status]]="Expired",TODAY()-Table1[[#This Row],[Lease_End]],0)</f>
        <v>0</v>
      </c>
      <c r="N270" s="16">
        <f ca="1">Table1[[#This Row],[Lease_End]]-TODAY()</f>
        <v>-199</v>
      </c>
      <c r="O270" t="str">
        <f ca="1">IF(Table1[[#This Row],[Days_to_Expiry]]&lt;0,"Expired",
IF(Table1[[#This Row],[Days_to_Expiry]]&lt;30,"High Risk",
IF(Table1[[#This Row],[Days_to_Expiry]]&lt;=60,"Medium Risk",
"Safe")))</f>
        <v>Expired</v>
      </c>
    </row>
    <row r="271" spans="1:15" x14ac:dyDescent="0.35">
      <c r="A271" t="s">
        <v>226</v>
      </c>
      <c r="B271" t="s">
        <v>227</v>
      </c>
      <c r="C271" t="s">
        <v>228</v>
      </c>
      <c r="D271" s="1">
        <v>44875</v>
      </c>
      <c r="E271" s="1">
        <v>45970</v>
      </c>
      <c r="F271">
        <v>5479</v>
      </c>
      <c r="G271">
        <v>5095</v>
      </c>
      <c r="H271">
        <v>7.83</v>
      </c>
      <c r="I271">
        <f t="shared" si="9"/>
        <v>6745</v>
      </c>
      <c r="J271">
        <f t="shared" si="8"/>
        <v>7273.1334999999999</v>
      </c>
      <c r="K271" s="5">
        <f>IF(Table1[[#This Row],[Expected_Rent]]&lt;&gt;"", F271/Table1[[#This Row],[Expected_Rent]], "")</f>
        <v>0.75332042234615937</v>
      </c>
      <c r="L271" t="s">
        <v>16</v>
      </c>
      <c r="M271">
        <f ca="1">IF(Table1[[#This Row],[Renewal_Status]]="Expired",TODAY()-Table1[[#This Row],[Lease_End]],0)</f>
        <v>0</v>
      </c>
      <c r="N271" s="16">
        <f ca="1">Table1[[#This Row],[Lease_End]]-TODAY()</f>
        <v>-97</v>
      </c>
      <c r="O271" t="str">
        <f ca="1">IF(Table1[[#This Row],[Days_to_Expiry]]&lt;0,"Expired",
IF(Table1[[#This Row],[Days_to_Expiry]]&lt;30,"High Risk",
IF(Table1[[#This Row],[Days_to_Expiry]]&lt;=60,"Medium Risk",
"Safe")))</f>
        <v>Expired</v>
      </c>
    </row>
    <row r="272" spans="1:15" x14ac:dyDescent="0.35">
      <c r="A272" t="s">
        <v>622</v>
      </c>
      <c r="B272" t="s">
        <v>227</v>
      </c>
      <c r="C272" t="s">
        <v>623</v>
      </c>
      <c r="D272" s="1">
        <v>44891</v>
      </c>
      <c r="E272" s="1">
        <v>45621</v>
      </c>
      <c r="F272">
        <v>6478</v>
      </c>
      <c r="G272">
        <v>10572</v>
      </c>
      <c r="H272">
        <v>5.04</v>
      </c>
      <c r="I272">
        <f t="shared" si="9"/>
        <v>5479</v>
      </c>
      <c r="J272">
        <f t="shared" si="8"/>
        <v>5755.1415999999999</v>
      </c>
      <c r="K272" s="5">
        <f>IF(Table1[[#This Row],[Expected_Rent]]&lt;&gt;"", F272/Table1[[#This Row],[Expected_Rent]], "")</f>
        <v>1.1256021919599686</v>
      </c>
      <c r="L272" t="s">
        <v>12</v>
      </c>
      <c r="M272">
        <f ca="1">IF(Table1[[#This Row],[Renewal_Status]]="Expired",TODAY()-Table1[[#This Row],[Lease_End]],0)</f>
        <v>0</v>
      </c>
      <c r="N272" s="16">
        <f ca="1">Table1[[#This Row],[Lease_End]]-TODAY()</f>
        <v>-446</v>
      </c>
      <c r="O272" t="str">
        <f ca="1">IF(Table1[[#This Row],[Days_to_Expiry]]&lt;0,"Expired",
IF(Table1[[#This Row],[Days_to_Expiry]]&lt;30,"High Risk",
IF(Table1[[#This Row],[Days_to_Expiry]]&lt;=60,"Medium Risk",
"Safe")))</f>
        <v>Expired</v>
      </c>
    </row>
    <row r="273" spans="1:15" x14ac:dyDescent="0.35">
      <c r="A273" t="s">
        <v>176</v>
      </c>
      <c r="B273" t="s">
        <v>177</v>
      </c>
      <c r="C273" t="s">
        <v>178</v>
      </c>
      <c r="D273" s="1">
        <v>44785</v>
      </c>
      <c r="E273" s="1">
        <v>45150</v>
      </c>
      <c r="F273">
        <v>5369</v>
      </c>
      <c r="G273">
        <v>19679</v>
      </c>
      <c r="H273">
        <v>4.8</v>
      </c>
      <c r="I273" t="str">
        <f t="shared" si="9"/>
        <v/>
      </c>
      <c r="J273" t="str">
        <f t="shared" si="8"/>
        <v/>
      </c>
      <c r="K273" s="5" t="str">
        <f>IF(Table1[[#This Row],[Expected_Rent]]&lt;&gt;"", F273/Table1[[#This Row],[Expected_Rent]], "")</f>
        <v/>
      </c>
      <c r="L273" t="s">
        <v>12</v>
      </c>
      <c r="M273">
        <f ca="1">IF(Table1[[#This Row],[Renewal_Status]]="Expired",TODAY()-Table1[[#This Row],[Lease_End]],0)</f>
        <v>0</v>
      </c>
      <c r="N273" s="16">
        <f ca="1">Table1[[#This Row],[Lease_End]]-TODAY()</f>
        <v>-917</v>
      </c>
      <c r="O273" t="str">
        <f ca="1">IF(Table1[[#This Row],[Days_to_Expiry]]&lt;0,"Expired",
IF(Table1[[#This Row],[Days_to_Expiry]]&lt;30,"High Risk",
IF(Table1[[#This Row],[Days_to_Expiry]]&lt;=60,"Medium Risk",
"Safe")))</f>
        <v>Expired</v>
      </c>
    </row>
    <row r="274" spans="1:15" x14ac:dyDescent="0.35">
      <c r="A274" t="s">
        <v>599</v>
      </c>
      <c r="B274" t="s">
        <v>177</v>
      </c>
      <c r="C274" t="s">
        <v>600</v>
      </c>
      <c r="D274" s="1">
        <v>45142</v>
      </c>
      <c r="E274" s="1">
        <v>45507</v>
      </c>
      <c r="F274">
        <v>3754</v>
      </c>
      <c r="G274">
        <v>7075</v>
      </c>
      <c r="H274">
        <v>6.49</v>
      </c>
      <c r="I274">
        <f t="shared" si="9"/>
        <v>5369</v>
      </c>
      <c r="J274">
        <f t="shared" si="8"/>
        <v>5717.4480999999996</v>
      </c>
      <c r="K274" s="5">
        <f>IF(Table1[[#This Row],[Expected_Rent]]&lt;&gt;"", F274/Table1[[#This Row],[Expected_Rent]], "")</f>
        <v>0.65658663346677348</v>
      </c>
      <c r="L274" t="s">
        <v>12</v>
      </c>
      <c r="M274">
        <f ca="1">IF(Table1[[#This Row],[Renewal_Status]]="Expired",TODAY()-Table1[[#This Row],[Lease_End]],0)</f>
        <v>0</v>
      </c>
      <c r="N274" s="16">
        <f ca="1">Table1[[#This Row],[Lease_End]]-TODAY()</f>
        <v>-560</v>
      </c>
      <c r="O274" t="str">
        <f ca="1">IF(Table1[[#This Row],[Days_to_Expiry]]&lt;0,"Expired",
IF(Table1[[#This Row],[Days_to_Expiry]]&lt;30,"High Risk",
IF(Table1[[#This Row],[Days_to_Expiry]]&lt;=60,"Medium Risk",
"Safe")))</f>
        <v>Expired</v>
      </c>
    </row>
    <row r="275" spans="1:15" x14ac:dyDescent="0.35">
      <c r="A275" t="s">
        <v>389</v>
      </c>
      <c r="B275" t="s">
        <v>390</v>
      </c>
      <c r="C275" t="s">
        <v>391</v>
      </c>
      <c r="D275" s="1">
        <v>45150</v>
      </c>
      <c r="E275" s="1">
        <v>45515</v>
      </c>
      <c r="F275">
        <v>2686</v>
      </c>
      <c r="G275">
        <v>15759</v>
      </c>
      <c r="H275">
        <v>4.97</v>
      </c>
      <c r="I275" t="str">
        <f t="shared" si="9"/>
        <v/>
      </c>
      <c r="J275" t="str">
        <f t="shared" si="8"/>
        <v/>
      </c>
      <c r="K275" s="5" t="str">
        <f>IF(Table1[[#This Row],[Expected_Rent]]&lt;&gt;"", F275/Table1[[#This Row],[Expected_Rent]], "")</f>
        <v/>
      </c>
      <c r="L275" t="s">
        <v>12</v>
      </c>
      <c r="M275">
        <f ca="1">IF(Table1[[#This Row],[Renewal_Status]]="Expired",TODAY()-Table1[[#This Row],[Lease_End]],0)</f>
        <v>0</v>
      </c>
      <c r="N275" s="16">
        <f ca="1">Table1[[#This Row],[Lease_End]]-TODAY()</f>
        <v>-552</v>
      </c>
      <c r="O275" t="str">
        <f ca="1">IF(Table1[[#This Row],[Days_to_Expiry]]&lt;0,"Expired",
IF(Table1[[#This Row],[Days_to_Expiry]]&lt;30,"High Risk",
IF(Table1[[#This Row],[Days_to_Expiry]]&lt;=60,"Medium Risk",
"Safe")))</f>
        <v>Expired</v>
      </c>
    </row>
    <row r="276" spans="1:15" x14ac:dyDescent="0.35">
      <c r="A276" t="s">
        <v>127</v>
      </c>
      <c r="B276" t="s">
        <v>128</v>
      </c>
      <c r="C276" t="s">
        <v>129</v>
      </c>
      <c r="D276" s="1">
        <v>44760</v>
      </c>
      <c r="E276" s="1">
        <v>45125</v>
      </c>
      <c r="F276">
        <v>5985</v>
      </c>
      <c r="G276">
        <v>9903</v>
      </c>
      <c r="H276">
        <v>7.67</v>
      </c>
      <c r="I276" t="str">
        <f t="shared" si="9"/>
        <v/>
      </c>
      <c r="J276" t="str">
        <f t="shared" si="8"/>
        <v/>
      </c>
      <c r="K276" s="5" t="str">
        <f>IF(Table1[[#This Row],[Expected_Rent]]&lt;&gt;"", F276/Table1[[#This Row],[Expected_Rent]], "")</f>
        <v/>
      </c>
      <c r="L276" t="s">
        <v>16</v>
      </c>
      <c r="M276">
        <f ca="1">IF(Table1[[#This Row],[Renewal_Status]]="Expired",TODAY()-Table1[[#This Row],[Lease_End]],0)</f>
        <v>0</v>
      </c>
      <c r="N276" s="16">
        <f ca="1">Table1[[#This Row],[Lease_End]]-TODAY()</f>
        <v>-942</v>
      </c>
      <c r="O276" t="str">
        <f ca="1">IF(Table1[[#This Row],[Days_to_Expiry]]&lt;0,"Expired",
IF(Table1[[#This Row],[Days_to_Expiry]]&lt;30,"High Risk",
IF(Table1[[#This Row],[Days_to_Expiry]]&lt;=60,"Medium Risk",
"Safe")))</f>
        <v>Expired</v>
      </c>
    </row>
    <row r="277" spans="1:15" x14ac:dyDescent="0.35">
      <c r="A277" t="s">
        <v>64</v>
      </c>
      <c r="B277" t="s">
        <v>65</v>
      </c>
      <c r="C277" t="s">
        <v>66</v>
      </c>
      <c r="D277" s="1">
        <v>45134</v>
      </c>
      <c r="E277" s="1">
        <v>46229</v>
      </c>
      <c r="F277">
        <v>2001</v>
      </c>
      <c r="G277">
        <v>12153</v>
      </c>
      <c r="H277">
        <v>6.82</v>
      </c>
      <c r="I277" t="str">
        <f t="shared" si="9"/>
        <v/>
      </c>
      <c r="J277" t="str">
        <f t="shared" si="8"/>
        <v/>
      </c>
      <c r="K277" s="5" t="str">
        <f>IF(Table1[[#This Row],[Expected_Rent]]&lt;&gt;"", F277/Table1[[#This Row],[Expected_Rent]], "")</f>
        <v/>
      </c>
      <c r="L277" t="s">
        <v>16</v>
      </c>
      <c r="M277">
        <f ca="1">IF(Table1[[#This Row],[Renewal_Status]]="Expired",TODAY()-Table1[[#This Row],[Lease_End]],0)</f>
        <v>0</v>
      </c>
      <c r="N277" s="16">
        <f ca="1">Table1[[#This Row],[Lease_End]]-TODAY()</f>
        <v>162</v>
      </c>
      <c r="O277" t="str">
        <f ca="1">IF(Table1[[#This Row],[Days_to_Expiry]]&lt;0,"Expired",
IF(Table1[[#This Row],[Days_to_Expiry]]&lt;30,"High Risk",
IF(Table1[[#This Row],[Days_to_Expiry]]&lt;=60,"Medium Risk",
"Safe")))</f>
        <v>Safe</v>
      </c>
    </row>
    <row r="278" spans="1:15" x14ac:dyDescent="0.35">
      <c r="A278" t="s">
        <v>67</v>
      </c>
      <c r="B278" t="s">
        <v>68</v>
      </c>
      <c r="C278" t="s">
        <v>69</v>
      </c>
      <c r="D278" s="1">
        <v>44609</v>
      </c>
      <c r="E278" s="1">
        <v>45339</v>
      </c>
      <c r="F278">
        <v>4496</v>
      </c>
      <c r="G278">
        <v>19415</v>
      </c>
      <c r="H278">
        <v>3.51</v>
      </c>
      <c r="I278" t="str">
        <f t="shared" si="9"/>
        <v/>
      </c>
      <c r="J278" t="str">
        <f t="shared" si="8"/>
        <v/>
      </c>
      <c r="K278" s="5" t="str">
        <f>IF(Table1[[#This Row],[Expected_Rent]]&lt;&gt;"", F278/Table1[[#This Row],[Expected_Rent]], "")</f>
        <v/>
      </c>
      <c r="L278" t="s">
        <v>16</v>
      </c>
      <c r="M278">
        <f ca="1">IF(Table1[[#This Row],[Renewal_Status]]="Expired",TODAY()-Table1[[#This Row],[Lease_End]],0)</f>
        <v>0</v>
      </c>
      <c r="N278" s="16">
        <f ca="1">Table1[[#This Row],[Lease_End]]-TODAY()</f>
        <v>-728</v>
      </c>
      <c r="O278" t="str">
        <f ca="1">IF(Table1[[#This Row],[Days_to_Expiry]]&lt;0,"Expired",
IF(Table1[[#This Row],[Days_to_Expiry]]&lt;30,"High Risk",
IF(Table1[[#This Row],[Days_to_Expiry]]&lt;=60,"Medium Risk",
"Safe")))</f>
        <v>Expired</v>
      </c>
    </row>
    <row r="279" spans="1:15" x14ac:dyDescent="0.35">
      <c r="A279" t="s">
        <v>173</v>
      </c>
      <c r="B279" t="s">
        <v>174</v>
      </c>
      <c r="C279" t="s">
        <v>175</v>
      </c>
      <c r="D279" s="1">
        <v>44607</v>
      </c>
      <c r="E279" s="1">
        <v>44972</v>
      </c>
      <c r="F279">
        <v>6348</v>
      </c>
      <c r="G279">
        <v>18410</v>
      </c>
      <c r="H279">
        <v>3.81</v>
      </c>
      <c r="I279" t="str">
        <f t="shared" si="9"/>
        <v/>
      </c>
      <c r="J279" t="str">
        <f t="shared" si="8"/>
        <v/>
      </c>
      <c r="K279" s="5" t="str">
        <f>IF(Table1[[#This Row],[Expected_Rent]]&lt;&gt;"", F279/Table1[[#This Row],[Expected_Rent]], "")</f>
        <v/>
      </c>
      <c r="L279" t="s">
        <v>16</v>
      </c>
      <c r="M279">
        <f ca="1">IF(Table1[[#This Row],[Renewal_Status]]="Expired",TODAY()-Table1[[#This Row],[Lease_End]],0)</f>
        <v>0</v>
      </c>
      <c r="N279" s="16">
        <f ca="1">Table1[[#This Row],[Lease_End]]-TODAY()</f>
        <v>-1095</v>
      </c>
      <c r="O279" t="str">
        <f ca="1">IF(Table1[[#This Row],[Days_to_Expiry]]&lt;0,"Expired",
IF(Table1[[#This Row],[Days_to_Expiry]]&lt;30,"High Risk",
IF(Table1[[#This Row],[Days_to_Expiry]]&lt;=60,"Medium Risk",
"Safe")))</f>
        <v>Expired</v>
      </c>
    </row>
    <row r="280" spans="1:15" x14ac:dyDescent="0.35">
      <c r="A280" t="s">
        <v>351</v>
      </c>
      <c r="B280" t="s">
        <v>174</v>
      </c>
      <c r="C280" t="s">
        <v>352</v>
      </c>
      <c r="D280" s="1">
        <v>44761</v>
      </c>
      <c r="E280" s="1">
        <v>45491</v>
      </c>
      <c r="F280">
        <v>2449</v>
      </c>
      <c r="G280">
        <v>18178</v>
      </c>
      <c r="H280">
        <v>5.54</v>
      </c>
      <c r="I280">
        <f t="shared" si="9"/>
        <v>6348</v>
      </c>
      <c r="J280">
        <f t="shared" si="8"/>
        <v>6699.6791999999996</v>
      </c>
      <c r="K280" s="5">
        <f>IF(Table1[[#This Row],[Expected_Rent]]&lt;&gt;"", F280/Table1[[#This Row],[Expected_Rent]], "")</f>
        <v>0.3655398903278832</v>
      </c>
      <c r="L280" t="s">
        <v>16</v>
      </c>
      <c r="M280">
        <f ca="1">IF(Table1[[#This Row],[Renewal_Status]]="Expired",TODAY()-Table1[[#This Row],[Lease_End]],0)</f>
        <v>0</v>
      </c>
      <c r="N280" s="16">
        <f ca="1">Table1[[#This Row],[Lease_End]]-TODAY()</f>
        <v>-576</v>
      </c>
      <c r="O280" t="str">
        <f ca="1">IF(Table1[[#This Row],[Days_to_Expiry]]&lt;0,"Expired",
IF(Table1[[#This Row],[Days_to_Expiry]]&lt;30,"High Risk",
IF(Table1[[#This Row],[Days_to_Expiry]]&lt;=60,"Medium Risk",
"Safe")))</f>
        <v>Expired</v>
      </c>
    </row>
    <row r="281" spans="1:15" x14ac:dyDescent="0.35">
      <c r="A281" t="s">
        <v>404</v>
      </c>
      <c r="B281" t="s">
        <v>174</v>
      </c>
      <c r="C281" t="s">
        <v>405</v>
      </c>
      <c r="D281" s="1">
        <v>44981</v>
      </c>
      <c r="E281" s="1">
        <v>45346</v>
      </c>
      <c r="F281">
        <v>4188</v>
      </c>
      <c r="G281">
        <v>19525</v>
      </c>
      <c r="H281">
        <v>5.54</v>
      </c>
      <c r="I281">
        <f t="shared" si="9"/>
        <v>2449</v>
      </c>
      <c r="J281">
        <f t="shared" si="8"/>
        <v>2584.6745999999998</v>
      </c>
      <c r="K281" s="5">
        <f>IF(Table1[[#This Row],[Expected_Rent]]&lt;&gt;"", F281/Table1[[#This Row],[Expected_Rent]], "")</f>
        <v>1.6203200201681094</v>
      </c>
      <c r="L281" t="s">
        <v>12</v>
      </c>
      <c r="M281">
        <f ca="1">IF(Table1[[#This Row],[Renewal_Status]]="Expired",TODAY()-Table1[[#This Row],[Lease_End]],0)</f>
        <v>0</v>
      </c>
      <c r="N281" s="16">
        <f ca="1">Table1[[#This Row],[Lease_End]]-TODAY()</f>
        <v>-721</v>
      </c>
      <c r="O281" t="str">
        <f ca="1">IF(Table1[[#This Row],[Days_to_Expiry]]&lt;0,"Expired",
IF(Table1[[#This Row],[Days_to_Expiry]]&lt;30,"High Risk",
IF(Table1[[#This Row],[Days_to_Expiry]]&lt;=60,"Medium Risk",
"Safe")))</f>
        <v>Expired</v>
      </c>
    </row>
    <row r="282" spans="1:15" x14ac:dyDescent="0.35">
      <c r="A282" t="s">
        <v>462</v>
      </c>
      <c r="B282" t="s">
        <v>463</v>
      </c>
      <c r="C282" t="s">
        <v>464</v>
      </c>
      <c r="D282" s="1">
        <v>44577</v>
      </c>
      <c r="E282" s="1">
        <v>44942</v>
      </c>
      <c r="F282">
        <v>3209</v>
      </c>
      <c r="G282">
        <v>10802</v>
      </c>
      <c r="H282">
        <v>6.52</v>
      </c>
      <c r="I282" t="str">
        <f t="shared" si="9"/>
        <v/>
      </c>
      <c r="J282" t="str">
        <f t="shared" si="8"/>
        <v/>
      </c>
      <c r="K282" s="5" t="str">
        <f>IF(Table1[[#This Row],[Expected_Rent]]&lt;&gt;"", F282/Table1[[#This Row],[Expected_Rent]], "")</f>
        <v/>
      </c>
      <c r="L282" t="s">
        <v>16</v>
      </c>
      <c r="M282">
        <f ca="1">IF(Table1[[#This Row],[Renewal_Status]]="Expired",TODAY()-Table1[[#This Row],[Lease_End]],0)</f>
        <v>0</v>
      </c>
      <c r="N282" s="16">
        <f ca="1">Table1[[#This Row],[Lease_End]]-TODAY()</f>
        <v>-1125</v>
      </c>
      <c r="O282" t="str">
        <f ca="1">IF(Table1[[#This Row],[Days_to_Expiry]]&lt;0,"Expired",
IF(Table1[[#This Row],[Days_to_Expiry]]&lt;30,"High Risk",
IF(Table1[[#This Row],[Days_to_Expiry]]&lt;=60,"Medium Risk",
"Safe")))</f>
        <v>Expired</v>
      </c>
    </row>
    <row r="283" spans="1:15" x14ac:dyDescent="0.35">
      <c r="A283" t="s">
        <v>149</v>
      </c>
      <c r="B283" t="s">
        <v>99</v>
      </c>
      <c r="C283" t="s">
        <v>150</v>
      </c>
      <c r="D283" s="1">
        <v>44811</v>
      </c>
      <c r="E283" s="1">
        <v>45541</v>
      </c>
      <c r="F283">
        <v>3791</v>
      </c>
      <c r="G283">
        <v>12958</v>
      </c>
      <c r="H283">
        <v>5.48</v>
      </c>
      <c r="I283" t="str">
        <f t="shared" si="9"/>
        <v/>
      </c>
      <c r="J283" t="str">
        <f t="shared" si="8"/>
        <v/>
      </c>
      <c r="K283" s="5" t="str">
        <f>IF(Table1[[#This Row],[Expected_Rent]]&lt;&gt;"", F283/Table1[[#This Row],[Expected_Rent]], "")</f>
        <v/>
      </c>
      <c r="L283" t="s">
        <v>20</v>
      </c>
      <c r="M283">
        <f ca="1">IF(Table1[[#This Row],[Renewal_Status]]="Expired",TODAY()-Table1[[#This Row],[Lease_End]],0)</f>
        <v>526</v>
      </c>
      <c r="N283" s="16">
        <f ca="1">Table1[[#This Row],[Lease_End]]-TODAY()</f>
        <v>-526</v>
      </c>
      <c r="O283" t="str">
        <f ca="1">IF(Table1[[#This Row],[Days_to_Expiry]]&lt;0,"Expired",
IF(Table1[[#This Row],[Days_to_Expiry]]&lt;30,"High Risk",
IF(Table1[[#This Row],[Days_to_Expiry]]&lt;=60,"Medium Risk",
"Safe")))</f>
        <v>Expired</v>
      </c>
    </row>
    <row r="284" spans="1:15" x14ac:dyDescent="0.35">
      <c r="A284" t="s">
        <v>98</v>
      </c>
      <c r="B284" t="s">
        <v>99</v>
      </c>
      <c r="C284" t="s">
        <v>100</v>
      </c>
      <c r="D284" s="1">
        <v>45087</v>
      </c>
      <c r="E284" s="1">
        <v>46182</v>
      </c>
      <c r="F284">
        <v>4428</v>
      </c>
      <c r="G284">
        <v>5720</v>
      </c>
      <c r="H284">
        <v>4.17</v>
      </c>
      <c r="I284">
        <f t="shared" si="9"/>
        <v>3791</v>
      </c>
      <c r="J284">
        <f t="shared" si="8"/>
        <v>3949.0847000000003</v>
      </c>
      <c r="K284" s="5">
        <f>IF(Table1[[#This Row],[Expected_Rent]]&lt;&gt;"", F284/Table1[[#This Row],[Expected_Rent]], "")</f>
        <v>1.1212724811903882</v>
      </c>
      <c r="L284" t="s">
        <v>20</v>
      </c>
      <c r="M284">
        <f ca="1">IF(Table1[[#This Row],[Renewal_Status]]="Expired",TODAY()-Table1[[#This Row],[Lease_End]],0)</f>
        <v>-115</v>
      </c>
      <c r="N284" s="16">
        <f ca="1">Table1[[#This Row],[Lease_End]]-TODAY()</f>
        <v>115</v>
      </c>
      <c r="O284" t="str">
        <f ca="1">IF(Table1[[#This Row],[Days_to_Expiry]]&lt;0,"Expired",
IF(Table1[[#This Row],[Days_to_Expiry]]&lt;30,"High Risk",
IF(Table1[[#This Row],[Days_to_Expiry]]&lt;=60,"Medium Risk",
"Safe")))</f>
        <v>Safe</v>
      </c>
    </row>
    <row r="285" spans="1:15" x14ac:dyDescent="0.35">
      <c r="A285" t="s">
        <v>338</v>
      </c>
      <c r="B285" t="s">
        <v>99</v>
      </c>
      <c r="C285" t="s">
        <v>339</v>
      </c>
      <c r="D285" s="1">
        <v>45226</v>
      </c>
      <c r="E285" s="1">
        <v>45956</v>
      </c>
      <c r="F285">
        <v>3793</v>
      </c>
      <c r="G285">
        <v>6696</v>
      </c>
      <c r="H285">
        <v>5.05</v>
      </c>
      <c r="I285">
        <f t="shared" si="9"/>
        <v>4428</v>
      </c>
      <c r="J285">
        <f t="shared" si="8"/>
        <v>4651.6139999999996</v>
      </c>
      <c r="K285" s="5">
        <f>IF(Table1[[#This Row],[Expected_Rent]]&lt;&gt;"", F285/Table1[[#This Row],[Expected_Rent]], "")</f>
        <v>0.81541589650388024</v>
      </c>
      <c r="L285" t="s">
        <v>20</v>
      </c>
      <c r="M285">
        <f ca="1">IF(Table1[[#This Row],[Renewal_Status]]="Expired",TODAY()-Table1[[#This Row],[Lease_End]],0)</f>
        <v>111</v>
      </c>
      <c r="N285" s="16">
        <f ca="1">Table1[[#This Row],[Lease_End]]-TODAY()</f>
        <v>-111</v>
      </c>
      <c r="O285" t="str">
        <f ca="1">IF(Table1[[#This Row],[Days_to_Expiry]]&lt;0,"Expired",
IF(Table1[[#This Row],[Days_to_Expiry]]&lt;30,"High Risk",
IF(Table1[[#This Row],[Days_to_Expiry]]&lt;=60,"Medium Risk",
"Safe")))</f>
        <v>Expired</v>
      </c>
    </row>
    <row r="286" spans="1:15" x14ac:dyDescent="0.35">
      <c r="A286" t="s">
        <v>455</v>
      </c>
      <c r="B286" t="s">
        <v>456</v>
      </c>
      <c r="C286" t="s">
        <v>457</v>
      </c>
      <c r="D286" s="1">
        <v>44604</v>
      </c>
      <c r="E286" s="1">
        <v>44969</v>
      </c>
      <c r="F286">
        <v>3418</v>
      </c>
      <c r="G286">
        <v>7344</v>
      </c>
      <c r="H286">
        <v>4.8499999999999996</v>
      </c>
      <c r="I286" t="str">
        <f t="shared" si="9"/>
        <v/>
      </c>
      <c r="J286" t="str">
        <f t="shared" si="8"/>
        <v/>
      </c>
      <c r="K286" s="5" t="str">
        <f>IF(Table1[[#This Row],[Expected_Rent]]&lt;&gt;"", F286/Table1[[#This Row],[Expected_Rent]], "")</f>
        <v/>
      </c>
      <c r="L286" t="s">
        <v>16</v>
      </c>
      <c r="M286">
        <f ca="1">IF(Table1[[#This Row],[Renewal_Status]]="Expired",TODAY()-Table1[[#This Row],[Lease_End]],0)</f>
        <v>0</v>
      </c>
      <c r="N286" s="16">
        <f ca="1">Table1[[#This Row],[Lease_End]]-TODAY()</f>
        <v>-1098</v>
      </c>
      <c r="O286" t="str">
        <f ca="1">IF(Table1[[#This Row],[Days_to_Expiry]]&lt;0,"Expired",
IF(Table1[[#This Row],[Days_to_Expiry]]&lt;30,"High Risk",
IF(Table1[[#This Row],[Days_to_Expiry]]&lt;=60,"Medium Risk",
"Safe")))</f>
        <v>Expired</v>
      </c>
    </row>
    <row r="287" spans="1:15" x14ac:dyDescent="0.35">
      <c r="A287" t="s">
        <v>460</v>
      </c>
      <c r="B287" t="s">
        <v>456</v>
      </c>
      <c r="C287" t="s">
        <v>461</v>
      </c>
      <c r="D287" s="1">
        <v>44866</v>
      </c>
      <c r="E287" s="1">
        <v>45231</v>
      </c>
      <c r="F287">
        <v>3307</v>
      </c>
      <c r="G287">
        <v>13976</v>
      </c>
      <c r="H287">
        <v>6.74</v>
      </c>
      <c r="I287">
        <f t="shared" si="9"/>
        <v>3418</v>
      </c>
      <c r="J287">
        <f t="shared" si="8"/>
        <v>3648.3731999999995</v>
      </c>
      <c r="K287" s="5">
        <f>IF(Table1[[#This Row],[Expected_Rent]]&lt;&gt;"", F287/Table1[[#This Row],[Expected_Rent]], "")</f>
        <v>0.90643139249022009</v>
      </c>
      <c r="L287" t="s">
        <v>16</v>
      </c>
      <c r="M287">
        <f ca="1">IF(Table1[[#This Row],[Renewal_Status]]="Expired",TODAY()-Table1[[#This Row],[Lease_End]],0)</f>
        <v>0</v>
      </c>
      <c r="N287" s="16">
        <f ca="1">Table1[[#This Row],[Lease_End]]-TODAY()</f>
        <v>-836</v>
      </c>
      <c r="O287" t="str">
        <f ca="1">IF(Table1[[#This Row],[Days_to_Expiry]]&lt;0,"Expired",
IF(Table1[[#This Row],[Days_to_Expiry]]&lt;30,"High Risk",
IF(Table1[[#This Row],[Days_to_Expiry]]&lt;=60,"Medium Risk",
"Safe")))</f>
        <v>Expired</v>
      </c>
    </row>
    <row r="288" spans="1:15" x14ac:dyDescent="0.35">
      <c r="A288" t="s">
        <v>633</v>
      </c>
      <c r="B288" t="s">
        <v>456</v>
      </c>
      <c r="C288" t="s">
        <v>634</v>
      </c>
      <c r="D288" s="1">
        <v>44951</v>
      </c>
      <c r="E288" s="1">
        <v>45316</v>
      </c>
      <c r="F288">
        <v>3085</v>
      </c>
      <c r="G288">
        <v>10295</v>
      </c>
      <c r="H288">
        <v>5.97</v>
      </c>
      <c r="I288">
        <f t="shared" si="9"/>
        <v>3307</v>
      </c>
      <c r="J288">
        <f t="shared" si="8"/>
        <v>3504.4279000000001</v>
      </c>
      <c r="K288" s="5">
        <f>IF(Table1[[#This Row],[Expected_Rent]]&lt;&gt;"", F288/Table1[[#This Row],[Expected_Rent]], "")</f>
        <v>0.88031487250743545</v>
      </c>
      <c r="L288" t="s">
        <v>16</v>
      </c>
      <c r="M288">
        <f ca="1">IF(Table1[[#This Row],[Renewal_Status]]="Expired",TODAY()-Table1[[#This Row],[Lease_End]],0)</f>
        <v>0</v>
      </c>
      <c r="N288" s="16">
        <f ca="1">Table1[[#This Row],[Lease_End]]-TODAY()</f>
        <v>-751</v>
      </c>
      <c r="O288" t="str">
        <f ca="1">IF(Table1[[#This Row],[Days_to_Expiry]]&lt;0,"Expired",
IF(Table1[[#This Row],[Days_to_Expiry]]&lt;30,"High Risk",
IF(Table1[[#This Row],[Days_to_Expiry]]&lt;=60,"Medium Risk",
"Safe")))</f>
        <v>Expired</v>
      </c>
    </row>
    <row r="289" spans="1:15" x14ac:dyDescent="0.35">
      <c r="A289" t="s">
        <v>647</v>
      </c>
      <c r="B289" t="s">
        <v>102</v>
      </c>
      <c r="C289" t="s">
        <v>648</v>
      </c>
      <c r="D289" s="1">
        <v>44625</v>
      </c>
      <c r="E289" s="1">
        <v>45355</v>
      </c>
      <c r="F289">
        <v>2067</v>
      </c>
      <c r="G289">
        <v>15341</v>
      </c>
      <c r="H289">
        <v>4.0999999999999996</v>
      </c>
      <c r="I289" t="str">
        <f t="shared" si="9"/>
        <v/>
      </c>
      <c r="J289" t="str">
        <f t="shared" si="8"/>
        <v/>
      </c>
      <c r="K289" s="5" t="str">
        <f>IF(Table1[[#This Row],[Expected_Rent]]&lt;&gt;"", F289/Table1[[#This Row],[Expected_Rent]], "")</f>
        <v/>
      </c>
      <c r="L289" t="s">
        <v>20</v>
      </c>
      <c r="M289">
        <f ca="1">IF(Table1[[#This Row],[Renewal_Status]]="Expired",TODAY()-Table1[[#This Row],[Lease_End]],0)</f>
        <v>712</v>
      </c>
      <c r="N289" s="16">
        <f ca="1">Table1[[#This Row],[Lease_End]]-TODAY()</f>
        <v>-712</v>
      </c>
      <c r="O289" t="str">
        <f ca="1">IF(Table1[[#This Row],[Days_to_Expiry]]&lt;0,"Expired",
IF(Table1[[#This Row],[Days_to_Expiry]]&lt;30,"High Risk",
IF(Table1[[#This Row],[Days_to_Expiry]]&lt;=60,"Medium Risk",
"Safe")))</f>
        <v>Expired</v>
      </c>
    </row>
    <row r="290" spans="1:15" x14ac:dyDescent="0.35">
      <c r="A290" t="s">
        <v>101</v>
      </c>
      <c r="B290" t="s">
        <v>102</v>
      </c>
      <c r="C290" t="s">
        <v>103</v>
      </c>
      <c r="D290" s="1">
        <v>45148</v>
      </c>
      <c r="E290" s="1">
        <v>45513</v>
      </c>
      <c r="F290">
        <v>4171</v>
      </c>
      <c r="G290">
        <v>7316</v>
      </c>
      <c r="H290">
        <v>4.49</v>
      </c>
      <c r="I290">
        <f t="shared" si="9"/>
        <v>2067</v>
      </c>
      <c r="J290">
        <f t="shared" si="8"/>
        <v>2159.8082999999997</v>
      </c>
      <c r="K290" s="5">
        <f>IF(Table1[[#This Row],[Expected_Rent]]&lt;&gt;"", F290/Table1[[#This Row],[Expected_Rent]], "")</f>
        <v>1.9311899116231754</v>
      </c>
      <c r="L290" t="s">
        <v>20</v>
      </c>
      <c r="M290">
        <f ca="1">IF(Table1[[#This Row],[Renewal_Status]]="Expired",TODAY()-Table1[[#This Row],[Lease_End]],0)</f>
        <v>554</v>
      </c>
      <c r="N290" s="16">
        <f ca="1">Table1[[#This Row],[Lease_End]]-TODAY()</f>
        <v>-554</v>
      </c>
      <c r="O290" t="str">
        <f ca="1">IF(Table1[[#This Row],[Days_to_Expiry]]&lt;0,"Expired",
IF(Table1[[#This Row],[Days_to_Expiry]]&lt;30,"High Risk",
IF(Table1[[#This Row],[Days_to_Expiry]]&lt;=60,"Medium Risk",
"Safe")))</f>
        <v>Expired</v>
      </c>
    </row>
    <row r="291" spans="1:15" x14ac:dyDescent="0.35">
      <c r="A291" t="s">
        <v>604</v>
      </c>
      <c r="B291" t="s">
        <v>281</v>
      </c>
      <c r="C291" t="s">
        <v>605</v>
      </c>
      <c r="D291" s="1">
        <v>44840</v>
      </c>
      <c r="E291" s="1">
        <v>45935</v>
      </c>
      <c r="F291">
        <v>6840</v>
      </c>
      <c r="G291">
        <v>9942</v>
      </c>
      <c r="H291">
        <v>6.15</v>
      </c>
      <c r="I291" t="str">
        <f t="shared" si="9"/>
        <v/>
      </c>
      <c r="J291" t="str">
        <f t="shared" si="8"/>
        <v/>
      </c>
      <c r="K291" s="5" t="str">
        <f>IF(Table1[[#This Row],[Expected_Rent]]&lt;&gt;"", F291/Table1[[#This Row],[Expected_Rent]], "")</f>
        <v/>
      </c>
      <c r="L291" t="s">
        <v>12</v>
      </c>
      <c r="M291">
        <f ca="1">IF(Table1[[#This Row],[Renewal_Status]]="Expired",TODAY()-Table1[[#This Row],[Lease_End]],0)</f>
        <v>0</v>
      </c>
      <c r="N291" s="16">
        <f ca="1">Table1[[#This Row],[Lease_End]]-TODAY()</f>
        <v>-132</v>
      </c>
      <c r="O291" t="str">
        <f ca="1">IF(Table1[[#This Row],[Days_to_Expiry]]&lt;0,"Expired",
IF(Table1[[#This Row],[Days_to_Expiry]]&lt;30,"High Risk",
IF(Table1[[#This Row],[Days_to_Expiry]]&lt;=60,"Medium Risk",
"Safe")))</f>
        <v>Expired</v>
      </c>
    </row>
    <row r="292" spans="1:15" x14ac:dyDescent="0.35">
      <c r="A292" t="s">
        <v>280</v>
      </c>
      <c r="B292" t="s">
        <v>281</v>
      </c>
      <c r="C292" t="s">
        <v>282</v>
      </c>
      <c r="D292" s="1">
        <v>44887</v>
      </c>
      <c r="E292" s="1">
        <v>45617</v>
      </c>
      <c r="F292">
        <v>5968</v>
      </c>
      <c r="G292">
        <v>10530</v>
      </c>
      <c r="H292">
        <v>5.18</v>
      </c>
      <c r="I292">
        <f t="shared" si="9"/>
        <v>6840</v>
      </c>
      <c r="J292">
        <f t="shared" si="8"/>
        <v>7194.3120000000008</v>
      </c>
      <c r="K292" s="5">
        <f>IF(Table1[[#This Row],[Expected_Rent]]&lt;&gt;"", F292/Table1[[#This Row],[Expected_Rent]], "")</f>
        <v>0.82954422882966428</v>
      </c>
      <c r="L292" t="s">
        <v>16</v>
      </c>
      <c r="M292">
        <f ca="1">IF(Table1[[#This Row],[Renewal_Status]]="Expired",TODAY()-Table1[[#This Row],[Lease_End]],0)</f>
        <v>0</v>
      </c>
      <c r="N292" s="16">
        <f ca="1">Table1[[#This Row],[Lease_End]]-TODAY()</f>
        <v>-450</v>
      </c>
      <c r="O292" t="str">
        <f ca="1">IF(Table1[[#This Row],[Days_to_Expiry]]&lt;0,"Expired",
IF(Table1[[#This Row],[Days_to_Expiry]]&lt;30,"High Risk",
IF(Table1[[#This Row],[Days_to_Expiry]]&lt;=60,"Medium Risk",
"Safe")))</f>
        <v>Expired</v>
      </c>
    </row>
    <row r="293" spans="1:15" x14ac:dyDescent="0.35">
      <c r="A293" t="s">
        <v>713</v>
      </c>
      <c r="B293" t="s">
        <v>281</v>
      </c>
      <c r="C293" t="s">
        <v>714</v>
      </c>
      <c r="D293" s="1">
        <v>45210</v>
      </c>
      <c r="E293" s="1">
        <v>45940</v>
      </c>
      <c r="F293">
        <v>5639</v>
      </c>
      <c r="G293">
        <v>15262</v>
      </c>
      <c r="H293">
        <v>4.41</v>
      </c>
      <c r="I293">
        <f t="shared" si="9"/>
        <v>5968</v>
      </c>
      <c r="J293">
        <f t="shared" si="8"/>
        <v>6231.1887999999999</v>
      </c>
      <c r="K293" s="5">
        <f>IF(Table1[[#This Row],[Expected_Rent]]&lt;&gt;"", F293/Table1[[#This Row],[Expected_Rent]], "")</f>
        <v>0.90496375266305529</v>
      </c>
      <c r="L293" t="s">
        <v>12</v>
      </c>
      <c r="M293">
        <f ca="1">IF(Table1[[#This Row],[Renewal_Status]]="Expired",TODAY()-Table1[[#This Row],[Lease_End]],0)</f>
        <v>0</v>
      </c>
      <c r="N293" s="16">
        <f ca="1">Table1[[#This Row],[Lease_End]]-TODAY()</f>
        <v>-127</v>
      </c>
      <c r="O293" t="str">
        <f ca="1">IF(Table1[[#This Row],[Days_to_Expiry]]&lt;0,"Expired",
IF(Table1[[#This Row],[Days_to_Expiry]]&lt;30,"High Risk",
IF(Table1[[#This Row],[Days_to_Expiry]]&lt;=60,"Medium Risk",
"Safe")))</f>
        <v>Expired</v>
      </c>
    </row>
    <row r="294" spans="1:15" x14ac:dyDescent="0.35">
      <c r="A294" t="s">
        <v>612</v>
      </c>
      <c r="B294" t="s">
        <v>122</v>
      </c>
      <c r="C294" t="s">
        <v>613</v>
      </c>
      <c r="D294" s="1">
        <v>45017</v>
      </c>
      <c r="E294" s="1">
        <v>46112</v>
      </c>
      <c r="F294">
        <v>2600</v>
      </c>
      <c r="G294">
        <v>7675</v>
      </c>
      <c r="H294">
        <v>4.26</v>
      </c>
      <c r="I294" t="str">
        <f t="shared" si="9"/>
        <v/>
      </c>
      <c r="J294" t="str">
        <f t="shared" si="8"/>
        <v/>
      </c>
      <c r="K294" s="5" t="str">
        <f>IF(Table1[[#This Row],[Expected_Rent]]&lt;&gt;"", F294/Table1[[#This Row],[Expected_Rent]], "")</f>
        <v/>
      </c>
      <c r="L294" t="s">
        <v>16</v>
      </c>
      <c r="M294">
        <f ca="1">IF(Table1[[#This Row],[Renewal_Status]]="Expired",TODAY()-Table1[[#This Row],[Lease_End]],0)</f>
        <v>0</v>
      </c>
      <c r="N294" s="16">
        <f ca="1">Table1[[#This Row],[Lease_End]]-TODAY()</f>
        <v>45</v>
      </c>
      <c r="O294" t="str">
        <f ca="1">IF(Table1[[#This Row],[Days_to_Expiry]]&lt;0,"Expired",
IF(Table1[[#This Row],[Days_to_Expiry]]&lt;30,"High Risk",
IF(Table1[[#This Row],[Days_to_Expiry]]&lt;=60,"Medium Risk",
"Safe")))</f>
        <v>Medium Risk</v>
      </c>
    </row>
    <row r="295" spans="1:15" x14ac:dyDescent="0.35">
      <c r="A295" t="s">
        <v>121</v>
      </c>
      <c r="B295" t="s">
        <v>122</v>
      </c>
      <c r="C295" t="s">
        <v>123</v>
      </c>
      <c r="D295" s="1">
        <v>45060</v>
      </c>
      <c r="E295" s="1">
        <v>45790</v>
      </c>
      <c r="F295">
        <v>5443</v>
      </c>
      <c r="G295">
        <v>13027</v>
      </c>
      <c r="H295">
        <v>6.65</v>
      </c>
      <c r="I295">
        <f t="shared" si="9"/>
        <v>2600</v>
      </c>
      <c r="J295">
        <f t="shared" si="8"/>
        <v>2772.9</v>
      </c>
      <c r="K295" s="5">
        <f>IF(Table1[[#This Row],[Expected_Rent]]&lt;&gt;"", F295/Table1[[#This Row],[Expected_Rent]], "")</f>
        <v>1.9629268996357603</v>
      </c>
      <c r="L295" t="s">
        <v>12</v>
      </c>
      <c r="M295">
        <f ca="1">IF(Table1[[#This Row],[Renewal_Status]]="Expired",TODAY()-Table1[[#This Row],[Lease_End]],0)</f>
        <v>0</v>
      </c>
      <c r="N295" s="16">
        <f ca="1">Table1[[#This Row],[Lease_End]]-TODAY()</f>
        <v>-277</v>
      </c>
      <c r="O295" t="str">
        <f ca="1">IF(Table1[[#This Row],[Days_to_Expiry]]&lt;0,"Expired",
IF(Table1[[#This Row],[Days_to_Expiry]]&lt;30,"High Risk",
IF(Table1[[#This Row],[Days_to_Expiry]]&lt;=60,"Medium Risk",
"Safe")))</f>
        <v>Expired</v>
      </c>
    </row>
    <row r="296" spans="1:15" x14ac:dyDescent="0.35">
      <c r="A296" t="s">
        <v>248</v>
      </c>
      <c r="B296" t="s">
        <v>122</v>
      </c>
      <c r="C296" t="s">
        <v>249</v>
      </c>
      <c r="D296" s="1">
        <v>45131</v>
      </c>
      <c r="E296" s="1">
        <v>46226</v>
      </c>
      <c r="F296">
        <v>3326</v>
      </c>
      <c r="G296">
        <v>9540</v>
      </c>
      <c r="H296">
        <v>5.22</v>
      </c>
      <c r="I296">
        <f t="shared" si="9"/>
        <v>5443</v>
      </c>
      <c r="J296">
        <f t="shared" si="8"/>
        <v>5727.1246000000001</v>
      </c>
      <c r="K296" s="5">
        <f>IF(Table1[[#This Row],[Expected_Rent]]&lt;&gt;"", F296/Table1[[#This Row],[Expected_Rent]], "")</f>
        <v>0.58074517882848231</v>
      </c>
      <c r="L296" t="s">
        <v>16</v>
      </c>
      <c r="M296">
        <f ca="1">IF(Table1[[#This Row],[Renewal_Status]]="Expired",TODAY()-Table1[[#This Row],[Lease_End]],0)</f>
        <v>0</v>
      </c>
      <c r="N296" s="16">
        <f ca="1">Table1[[#This Row],[Lease_End]]-TODAY()</f>
        <v>159</v>
      </c>
      <c r="O296" t="str">
        <f ca="1">IF(Table1[[#This Row],[Days_to_Expiry]]&lt;0,"Expired",
IF(Table1[[#This Row],[Days_to_Expiry]]&lt;30,"High Risk",
IF(Table1[[#This Row],[Days_to_Expiry]]&lt;=60,"Medium Risk",
"Safe")))</f>
        <v>Safe</v>
      </c>
    </row>
    <row r="297" spans="1:15" x14ac:dyDescent="0.35">
      <c r="A297" t="s">
        <v>649</v>
      </c>
      <c r="B297" t="s">
        <v>74</v>
      </c>
      <c r="C297" t="s">
        <v>650</v>
      </c>
      <c r="D297" s="1">
        <v>44937</v>
      </c>
      <c r="E297" s="1">
        <v>45302</v>
      </c>
      <c r="F297">
        <v>3485</v>
      </c>
      <c r="G297">
        <v>14030</v>
      </c>
      <c r="H297">
        <v>4.12</v>
      </c>
      <c r="I297" t="str">
        <f t="shared" si="9"/>
        <v/>
      </c>
      <c r="J297" t="str">
        <f t="shared" si="8"/>
        <v/>
      </c>
      <c r="K297" s="5" t="str">
        <f>IF(Table1[[#This Row],[Expected_Rent]]&lt;&gt;"", F297/Table1[[#This Row],[Expected_Rent]], "")</f>
        <v/>
      </c>
      <c r="L297" t="s">
        <v>16</v>
      </c>
      <c r="M297">
        <f ca="1">IF(Table1[[#This Row],[Renewal_Status]]="Expired",TODAY()-Table1[[#This Row],[Lease_End]],0)</f>
        <v>0</v>
      </c>
      <c r="N297" s="16">
        <f ca="1">Table1[[#This Row],[Lease_End]]-TODAY()</f>
        <v>-765</v>
      </c>
      <c r="O297" t="str">
        <f ca="1">IF(Table1[[#This Row],[Days_to_Expiry]]&lt;0,"Expired",
IF(Table1[[#This Row],[Days_to_Expiry]]&lt;30,"High Risk",
IF(Table1[[#This Row],[Days_to_Expiry]]&lt;=60,"Medium Risk",
"Safe")))</f>
        <v>Expired</v>
      </c>
    </row>
    <row r="298" spans="1:15" x14ac:dyDescent="0.35">
      <c r="A298" t="s">
        <v>73</v>
      </c>
      <c r="B298" t="s">
        <v>74</v>
      </c>
      <c r="C298" t="s">
        <v>75</v>
      </c>
      <c r="D298" s="1">
        <v>44994</v>
      </c>
      <c r="E298" s="1">
        <v>45724</v>
      </c>
      <c r="F298">
        <v>3034</v>
      </c>
      <c r="G298">
        <v>8948</v>
      </c>
      <c r="H298">
        <v>5.53</v>
      </c>
      <c r="I298">
        <f t="shared" si="9"/>
        <v>3485</v>
      </c>
      <c r="J298">
        <f t="shared" si="8"/>
        <v>3677.7204999999994</v>
      </c>
      <c r="K298" s="5">
        <f>IF(Table1[[#This Row],[Expected_Rent]]&lt;&gt;"", F298/Table1[[#This Row],[Expected_Rent]], "")</f>
        <v>0.82496753083873564</v>
      </c>
      <c r="L298" t="s">
        <v>12</v>
      </c>
      <c r="M298">
        <f ca="1">IF(Table1[[#This Row],[Renewal_Status]]="Expired",TODAY()-Table1[[#This Row],[Lease_End]],0)</f>
        <v>0</v>
      </c>
      <c r="N298" s="16">
        <f ca="1">Table1[[#This Row],[Lease_End]]-TODAY()</f>
        <v>-343</v>
      </c>
      <c r="O298" t="str">
        <f ca="1">IF(Table1[[#This Row],[Days_to_Expiry]]&lt;0,"Expired",
IF(Table1[[#This Row],[Days_to_Expiry]]&lt;30,"High Risk",
IF(Table1[[#This Row],[Days_to_Expiry]]&lt;=60,"Medium Risk",
"Safe")))</f>
        <v>Expired</v>
      </c>
    </row>
    <row r="299" spans="1:15" x14ac:dyDescent="0.35">
      <c r="A299" t="s">
        <v>569</v>
      </c>
      <c r="B299" t="s">
        <v>570</v>
      </c>
      <c r="C299" t="s">
        <v>571</v>
      </c>
      <c r="D299" s="1">
        <v>45001</v>
      </c>
      <c r="E299" s="1">
        <v>46096</v>
      </c>
      <c r="F299">
        <v>2676</v>
      </c>
      <c r="G299">
        <v>6872</v>
      </c>
      <c r="H299">
        <v>3.33</v>
      </c>
      <c r="I299" t="str">
        <f t="shared" si="9"/>
        <v/>
      </c>
      <c r="J299" t="str">
        <f t="shared" si="8"/>
        <v/>
      </c>
      <c r="K299" s="5" t="str">
        <f>IF(Table1[[#This Row],[Expected_Rent]]&lt;&gt;"", F299/Table1[[#This Row],[Expected_Rent]], "")</f>
        <v/>
      </c>
      <c r="L299" t="s">
        <v>20</v>
      </c>
      <c r="M299">
        <f ca="1">IF(Table1[[#This Row],[Renewal_Status]]="Expired",TODAY()-Table1[[#This Row],[Lease_End]],0)</f>
        <v>-29</v>
      </c>
      <c r="N299" s="16">
        <f ca="1">Table1[[#This Row],[Lease_End]]-TODAY()</f>
        <v>29</v>
      </c>
      <c r="O299" t="str">
        <f ca="1">IF(Table1[[#This Row],[Days_to_Expiry]]&lt;0,"Expired",
IF(Table1[[#This Row],[Days_to_Expiry]]&lt;30,"High Risk",
IF(Table1[[#This Row],[Days_to_Expiry]]&lt;=60,"Medium Risk",
"Safe")))</f>
        <v>High Risk</v>
      </c>
    </row>
    <row r="300" spans="1:15" x14ac:dyDescent="0.35">
      <c r="A300" t="s">
        <v>137</v>
      </c>
      <c r="B300" t="s">
        <v>138</v>
      </c>
      <c r="C300" t="s">
        <v>139</v>
      </c>
      <c r="D300" s="1">
        <v>44585</v>
      </c>
      <c r="E300" s="1">
        <v>45315</v>
      </c>
      <c r="F300">
        <v>3658</v>
      </c>
      <c r="G300">
        <v>15053</v>
      </c>
      <c r="H300">
        <v>6.74</v>
      </c>
      <c r="I300" t="str">
        <f t="shared" si="9"/>
        <v/>
      </c>
      <c r="J300" t="str">
        <f t="shared" si="8"/>
        <v/>
      </c>
      <c r="K300" s="5" t="str">
        <f>IF(Table1[[#This Row],[Expected_Rent]]&lt;&gt;"", F300/Table1[[#This Row],[Expected_Rent]], "")</f>
        <v/>
      </c>
      <c r="L300" t="s">
        <v>16</v>
      </c>
      <c r="M300">
        <f ca="1">IF(Table1[[#This Row],[Renewal_Status]]="Expired",TODAY()-Table1[[#This Row],[Lease_End]],0)</f>
        <v>0</v>
      </c>
      <c r="N300" s="16">
        <f ca="1">Table1[[#This Row],[Lease_End]]-TODAY()</f>
        <v>-752</v>
      </c>
      <c r="O300" t="str">
        <f ca="1">IF(Table1[[#This Row],[Days_to_Expiry]]&lt;0,"Expired",
IF(Table1[[#This Row],[Days_to_Expiry]]&lt;30,"High Risk",
IF(Table1[[#This Row],[Days_to_Expiry]]&lt;=60,"Medium Risk",
"Safe")))</f>
        <v>Expired</v>
      </c>
    </row>
    <row r="301" spans="1:15" x14ac:dyDescent="0.35">
      <c r="A301" t="s">
        <v>586</v>
      </c>
      <c r="B301" t="s">
        <v>138</v>
      </c>
      <c r="C301" t="s">
        <v>587</v>
      </c>
      <c r="D301" s="1">
        <v>44619</v>
      </c>
      <c r="E301" s="1">
        <v>44984</v>
      </c>
      <c r="F301">
        <v>6540</v>
      </c>
      <c r="G301">
        <v>14319</v>
      </c>
      <c r="H301">
        <v>6.12</v>
      </c>
      <c r="I301">
        <f t="shared" si="9"/>
        <v>3658</v>
      </c>
      <c r="J301">
        <f t="shared" si="8"/>
        <v>3881.8695999999995</v>
      </c>
      <c r="K301" s="5">
        <f>IF(Table1[[#This Row],[Expected_Rent]]&lt;&gt;"", F301/Table1[[#This Row],[Expected_Rent]], "")</f>
        <v>1.6847552014627181</v>
      </c>
      <c r="L301" t="s">
        <v>16</v>
      </c>
      <c r="M301">
        <f ca="1">IF(Table1[[#This Row],[Renewal_Status]]="Expired",TODAY()-Table1[[#This Row],[Lease_End]],0)</f>
        <v>0</v>
      </c>
      <c r="N301" s="16">
        <f ca="1">Table1[[#This Row],[Lease_End]]-TODAY()</f>
        <v>-1083</v>
      </c>
      <c r="O301" t="str">
        <f ca="1">IF(Table1[[#This Row],[Days_to_Expiry]]&lt;0,"Expired",
IF(Table1[[#This Row],[Days_to_Expiry]]&lt;30,"High Risk",
IF(Table1[[#This Row],[Days_to_Expiry]]&lt;=60,"Medium Risk",
"Safe")))</f>
        <v>Expired</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01"/>
  <sheetViews>
    <sheetView workbookViewId="0">
      <selection activeCell="I4" sqref="I4"/>
    </sheetView>
  </sheetViews>
  <sheetFormatPr defaultRowHeight="14.5" x14ac:dyDescent="0.35"/>
  <cols>
    <col min="1" max="1" width="11.6328125" customWidth="1"/>
    <col min="2" max="2" width="9" bestFit="1" customWidth="1"/>
    <col min="3" max="3" width="14.54296875" bestFit="1" customWidth="1"/>
    <col min="4" max="4" width="15" bestFit="1" customWidth="1"/>
    <col min="5" max="5" width="21.90625" bestFit="1" customWidth="1"/>
    <col min="6" max="6" width="15.54296875" customWidth="1"/>
    <col min="7" max="7" width="13" bestFit="1" customWidth="1"/>
    <col min="8" max="8" width="16.36328125" bestFit="1" customWidth="1"/>
    <col min="9" max="9" width="19.54296875" bestFit="1" customWidth="1"/>
    <col min="10" max="10" width="24.453125" bestFit="1" customWidth="1"/>
    <col min="11" max="11" width="18.1796875" bestFit="1" customWidth="1"/>
    <col min="12" max="12" width="17.90625" bestFit="1" customWidth="1"/>
    <col min="13" max="13" width="20.54296875" bestFit="1" customWidth="1"/>
    <col min="14" max="14" width="21.1796875" bestFit="1" customWidth="1"/>
    <col min="16" max="16" width="12" bestFit="1" customWidth="1"/>
  </cols>
  <sheetData>
    <row r="1" spans="1:16" x14ac:dyDescent="0.35">
      <c r="A1" s="2" t="s">
        <v>2</v>
      </c>
      <c r="B1" s="2" t="s">
        <v>738</v>
      </c>
      <c r="C1" s="2" t="s">
        <v>739</v>
      </c>
      <c r="D1" s="2" t="s">
        <v>740</v>
      </c>
      <c r="E1" s="2" t="s">
        <v>817</v>
      </c>
      <c r="F1" s="2" t="s">
        <v>741</v>
      </c>
      <c r="G1" s="2" t="s">
        <v>742</v>
      </c>
      <c r="H1" s="2" t="s">
        <v>790</v>
      </c>
      <c r="I1" s="7" t="s">
        <v>797</v>
      </c>
      <c r="J1" s="2" t="s">
        <v>824</v>
      </c>
      <c r="K1" s="2" t="s">
        <v>825</v>
      </c>
      <c r="L1" s="2" t="s">
        <v>826</v>
      </c>
      <c r="M1" s="2" t="s">
        <v>827</v>
      </c>
      <c r="N1" s="2" t="s">
        <v>828</v>
      </c>
    </row>
    <row r="2" spans="1:16" x14ac:dyDescent="0.35">
      <c r="A2" t="s">
        <v>442</v>
      </c>
      <c r="B2" t="s">
        <v>743</v>
      </c>
      <c r="C2">
        <v>5348</v>
      </c>
      <c r="D2">
        <v>5348</v>
      </c>
      <c r="E2">
        <f>Table2[[#This Row],[Due_Amount]]-Table2[[#This Row],[Paid_Amount]]</f>
        <v>0</v>
      </c>
      <c r="F2" s="1">
        <v>45859</v>
      </c>
      <c r="G2">
        <v>3</v>
      </c>
      <c r="H2">
        <f>Table2[[#This Row],[Due_Amount]]*Table2[[#This Row],[Delay_Days]]</f>
        <v>16044</v>
      </c>
      <c r="I2" s="3" t="str">
        <f>IF(Table2[[#This Row],[Delay_Days]]=0,"On Time",IF(Table2[[#This Row],[Delay_Days]]&lt;=7,"Low Risk(1-7)",IF(Table2[[#This Row],[Delay_Days]]&lt;=15,"Medium Risk(8-15)",IF(Table2[[#This Row],[Delay_Days]]&lt;=30,"High Risk(16-30)","Severe Risk(30+)"))))</f>
        <v>Low Risk(1-7)</v>
      </c>
      <c r="J2" s="5">
        <f>AVERAGE(Table2[Due_Amount])</f>
        <v>4635.1866666666665</v>
      </c>
      <c r="K2" s="5">
        <f>Table2[[#This Row],[Estimated_Market_Rent]]-Table2[[#This Row],[Due_Amount]]</f>
        <v>-712.8133333333335</v>
      </c>
      <c r="L2" s="6">
        <f>IF(Table2[[#This Row],[Current Rent Gap]]&gt;0,Table2[[#This Row],[Current Rent Gap]]/Table2[[#This Row],[Estimated_Market_Rent]],0)</f>
        <v>0</v>
      </c>
      <c r="M2" s="3" t="str">
        <f>IF(Table2[[#This Row],[Under_Market %]]&gt;0.1,"Underpriced","OK")</f>
        <v>OK</v>
      </c>
      <c r="N2" s="5">
        <f>SUMIFS(Table2[[#This Row],[Current Rent Gap]],Table2[[#This Row],[Current Rent Gap]],"&gt;0")</f>
        <v>0</v>
      </c>
    </row>
    <row r="3" spans="1:16" x14ac:dyDescent="0.35">
      <c r="A3" t="s">
        <v>78</v>
      </c>
      <c r="B3" t="s">
        <v>744</v>
      </c>
      <c r="C3">
        <v>5995</v>
      </c>
      <c r="D3">
        <v>5538</v>
      </c>
      <c r="E3">
        <f>Table2[[#This Row],[Due_Amount]]-Table2[[#This Row],[Paid_Amount]]</f>
        <v>457</v>
      </c>
      <c r="F3" s="1">
        <v>45949</v>
      </c>
      <c r="G3">
        <v>12</v>
      </c>
      <c r="H3">
        <f>Table2[[#This Row],[Due_Amount]]*Table2[[#This Row],[Delay_Days]]</f>
        <v>71940</v>
      </c>
      <c r="I3" s="3" t="str">
        <f>IF(Table2[[#This Row],[Delay_Days]]=0,"On Time",IF(Table2[[#This Row],[Delay_Days]]&lt;=7,"Low Risk(1-7)",IF(Table2[[#This Row],[Delay_Days]]&lt;=15,"Medium Risk(8-15)",IF(Table2[[#This Row],[Delay_Days]]&lt;=30,"High Risk(16-30)","Severe Risk(30+)"))))</f>
        <v>Medium Risk(8-15)</v>
      </c>
      <c r="J3" s="5">
        <f>AVERAGE(Table2[Due_Amount])</f>
        <v>4635.1866666666665</v>
      </c>
      <c r="K3" s="5">
        <f>Table2[[#This Row],[Estimated_Market_Rent]]-Table2[[#This Row],[Due_Amount]]</f>
        <v>-1359.8133333333335</v>
      </c>
      <c r="L3" s="6">
        <f>IF(Table2[[#This Row],[Current Rent Gap]]&gt;0,Table2[[#This Row],[Current Rent Gap]]/Table2[[#This Row],[Estimated_Market_Rent]],0)</f>
        <v>0</v>
      </c>
      <c r="M3" s="3" t="str">
        <f>IF(Table2[[#This Row],[Under_Market %]]&gt;0.1,"Underpriced","OK")</f>
        <v>OK</v>
      </c>
      <c r="N3" s="5">
        <f>SUMIFS(Table2[[#This Row],[Current Rent Gap]],Table2[[#This Row],[Current Rent Gap]],"&gt;0")</f>
        <v>0</v>
      </c>
    </row>
    <row r="4" spans="1:16" x14ac:dyDescent="0.35">
      <c r="A4" t="s">
        <v>260</v>
      </c>
      <c r="B4" t="s">
        <v>745</v>
      </c>
      <c r="C4">
        <v>6229</v>
      </c>
      <c r="D4">
        <v>5932</v>
      </c>
      <c r="E4">
        <f>Table2[[#This Row],[Due_Amount]]-Table2[[#This Row],[Paid_Amount]]</f>
        <v>297</v>
      </c>
      <c r="F4" s="1">
        <v>45877</v>
      </c>
      <c r="G4">
        <v>23</v>
      </c>
      <c r="H4">
        <f>Table2[[#This Row],[Due_Amount]]*Table2[[#This Row],[Delay_Days]]</f>
        <v>143267</v>
      </c>
      <c r="I4" s="3" t="str">
        <f>IF(Table2[[#This Row],[Delay_Days]]=0,"On Time",IF(Table2[[#This Row],[Delay_Days]]&lt;=7,"Low Risk(1-7)",IF(Table2[[#This Row],[Delay_Days]]&lt;=15,"Medium Risk(8-15)",IF(Table2[[#This Row],[Delay_Days]]&lt;=30,"High Risk(16-30)","Severe Risk(30+)"))))</f>
        <v>High Risk(16-30)</v>
      </c>
      <c r="J4" s="5">
        <f>AVERAGE(Table2[Due_Amount])</f>
        <v>4635.1866666666665</v>
      </c>
      <c r="K4" s="5">
        <f>Table2[[#This Row],[Estimated_Market_Rent]]-Table2[[#This Row],[Due_Amount]]</f>
        <v>-1593.8133333333335</v>
      </c>
      <c r="L4" s="6">
        <f>IF(Table2[[#This Row],[Current Rent Gap]]&gt;0,Table2[[#This Row],[Current Rent Gap]]/Table2[[#This Row],[Estimated_Market_Rent]],0)</f>
        <v>0</v>
      </c>
      <c r="M4" s="3" t="str">
        <f>IF(Table2[[#This Row],[Under_Market %]]&gt;0.1,"Underpriced","OK")</f>
        <v>OK</v>
      </c>
      <c r="N4" s="5">
        <f>SUMIFS(Table2[[#This Row],[Current Rent Gap]],Table2[[#This Row],[Current Rent Gap]],"&gt;0")</f>
        <v>0</v>
      </c>
    </row>
    <row r="5" spans="1:16" x14ac:dyDescent="0.35">
      <c r="A5" t="s">
        <v>327</v>
      </c>
      <c r="B5" t="s">
        <v>746</v>
      </c>
      <c r="C5">
        <v>2720</v>
      </c>
      <c r="D5">
        <v>1870</v>
      </c>
      <c r="E5">
        <f>Table2[[#This Row],[Due_Amount]]-Table2[[#This Row],[Paid_Amount]]</f>
        <v>850</v>
      </c>
      <c r="F5" s="1">
        <v>45844</v>
      </c>
      <c r="G5">
        <v>14</v>
      </c>
      <c r="H5">
        <f>Table2[[#This Row],[Due_Amount]]*Table2[[#This Row],[Delay_Days]]</f>
        <v>38080</v>
      </c>
      <c r="I5" s="3" t="str">
        <f>IF(Table2[[#This Row],[Delay_Days]]=0,"On Time",IF(Table2[[#This Row],[Delay_Days]]&lt;=7,"Low Risk(1-7)",IF(Table2[[#This Row],[Delay_Days]]&lt;=15,"Medium Risk(8-15)",IF(Table2[[#This Row],[Delay_Days]]&lt;=30,"High Risk(16-30)","Severe Risk(30+)"))))</f>
        <v>Medium Risk(8-15)</v>
      </c>
      <c r="J5" s="5">
        <f>AVERAGE(Table2[Due_Amount])</f>
        <v>4635.1866666666665</v>
      </c>
      <c r="K5" s="5">
        <f>Table2[[#This Row],[Estimated_Market_Rent]]-Table2[[#This Row],[Due_Amount]]</f>
        <v>1915.1866666666665</v>
      </c>
      <c r="L5" s="6">
        <f>IF(Table2[[#This Row],[Current Rent Gap]]&gt;0,Table2[[#This Row],[Current Rent Gap]]/Table2[[#This Row],[Estimated_Market_Rent]],0)</f>
        <v>0.41318436654115331</v>
      </c>
      <c r="M5" s="3" t="str">
        <f>IF(Table2[[#This Row],[Under_Market %]]&gt;0.1,"Underpriced","OK")</f>
        <v>Underpriced</v>
      </c>
      <c r="N5" s="5">
        <f>SUMIFS(Table2[[#This Row],[Current Rent Gap]],Table2[[#This Row],[Current Rent Gap]],"&gt;0")</f>
        <v>1915.1866666666665</v>
      </c>
      <c r="P5" s="5">
        <f>SUM(Table2[[#All],[Current Rent Gap]])</f>
        <v>4.0017766878008842E-11</v>
      </c>
    </row>
    <row r="6" spans="1:16" x14ac:dyDescent="0.35">
      <c r="A6" t="s">
        <v>228</v>
      </c>
      <c r="B6" t="s">
        <v>747</v>
      </c>
      <c r="C6">
        <v>4248</v>
      </c>
      <c r="D6">
        <v>3532</v>
      </c>
      <c r="E6">
        <f>Table2[[#This Row],[Due_Amount]]-Table2[[#This Row],[Paid_Amount]]</f>
        <v>716</v>
      </c>
      <c r="F6" s="1">
        <v>45661</v>
      </c>
      <c r="G6">
        <v>25</v>
      </c>
      <c r="H6">
        <f>Table2[[#This Row],[Due_Amount]]*Table2[[#This Row],[Delay_Days]]</f>
        <v>106200</v>
      </c>
      <c r="I6" s="3" t="str">
        <f>IF(Table2[[#This Row],[Delay_Days]]=0,"On Time",IF(Table2[[#This Row],[Delay_Days]]&lt;=7,"Low Risk(1-7)",IF(Table2[[#This Row],[Delay_Days]]&lt;=15,"Medium Risk(8-15)",IF(Table2[[#This Row],[Delay_Days]]&lt;=30,"High Risk(16-30)","Severe Risk(30+)"))))</f>
        <v>High Risk(16-30)</v>
      </c>
      <c r="J6" s="5">
        <f>AVERAGE(Table2[Due_Amount])</f>
        <v>4635.1866666666665</v>
      </c>
      <c r="K6" s="5">
        <f>Table2[[#This Row],[Estimated_Market_Rent]]-Table2[[#This Row],[Due_Amount]]</f>
        <v>387.1866666666665</v>
      </c>
      <c r="L6" s="6">
        <f>IF(Table2[[#This Row],[Current Rent Gap]]&gt;0,Table2[[#This Row],[Current Rent Gap]]/Table2[[#This Row],[Estimated_Market_Rent]],0)</f>
        <v>8.3532054803977657E-2</v>
      </c>
      <c r="M6" s="3" t="str">
        <f>IF(Table2[[#This Row],[Under_Market %]]&gt;0.1,"Underpriced","OK")</f>
        <v>OK</v>
      </c>
      <c r="N6" s="5">
        <f>SUMIFS(Table2[[#This Row],[Current Rent Gap]],Table2[[#This Row],[Current Rent Gap]],"&gt;0")</f>
        <v>387.1866666666665</v>
      </c>
      <c r="P6" s="5">
        <f>SUM(Table2[Current Rent Gap])</f>
        <v>4.0017766878008842E-11</v>
      </c>
    </row>
    <row r="7" spans="1:16" x14ac:dyDescent="0.35">
      <c r="A7" t="s">
        <v>654</v>
      </c>
      <c r="B7" t="s">
        <v>748</v>
      </c>
      <c r="C7">
        <v>6634</v>
      </c>
      <c r="D7">
        <v>6622</v>
      </c>
      <c r="E7">
        <f>Table2[[#This Row],[Due_Amount]]-Table2[[#This Row],[Paid_Amount]]</f>
        <v>12</v>
      </c>
      <c r="F7" s="1">
        <v>45926</v>
      </c>
      <c r="G7">
        <v>16</v>
      </c>
      <c r="H7">
        <f>Table2[[#This Row],[Due_Amount]]*Table2[[#This Row],[Delay_Days]]</f>
        <v>106144</v>
      </c>
      <c r="I7" s="3" t="str">
        <f>IF(Table2[[#This Row],[Delay_Days]]=0,"On Time",IF(Table2[[#This Row],[Delay_Days]]&lt;=7,"Low Risk(1-7)",IF(Table2[[#This Row],[Delay_Days]]&lt;=15,"Medium Risk(8-15)",IF(Table2[[#This Row],[Delay_Days]]&lt;=30,"High Risk(16-30)","Severe Risk(30+)"))))</f>
        <v>High Risk(16-30)</v>
      </c>
      <c r="J7" s="5">
        <f>AVERAGE(Table2[Due_Amount])</f>
        <v>4635.1866666666665</v>
      </c>
      <c r="K7" s="5">
        <f>Table2[[#This Row],[Estimated_Market_Rent]]-Table2[[#This Row],[Due_Amount]]</f>
        <v>-1998.8133333333335</v>
      </c>
      <c r="L7" s="6">
        <f>IF(Table2[[#This Row],[Current Rent Gap]]&gt;0,Table2[[#This Row],[Current Rent Gap]]/Table2[[#This Row],[Estimated_Market_Rent]],0)</f>
        <v>0</v>
      </c>
      <c r="M7" s="3" t="str">
        <f>IF(Table2[[#This Row],[Under_Market %]]&gt;0.1,"Underpriced","OK")</f>
        <v>OK</v>
      </c>
      <c r="N7" s="5">
        <f>SUMIFS(Table2[[#This Row],[Current Rent Gap]],Table2[[#This Row],[Current Rent Gap]],"&gt;0")</f>
        <v>0</v>
      </c>
      <c r="P7" s="6">
        <f>SUM(Table2[[#All],[Current Rent Gap]])</f>
        <v>4.0017766878008842E-11</v>
      </c>
    </row>
    <row r="8" spans="1:16" x14ac:dyDescent="0.35">
      <c r="A8" t="s">
        <v>373</v>
      </c>
      <c r="B8" t="s">
        <v>749</v>
      </c>
      <c r="C8">
        <v>4029</v>
      </c>
      <c r="D8">
        <v>3445</v>
      </c>
      <c r="E8">
        <f>Table2[[#This Row],[Due_Amount]]-Table2[[#This Row],[Paid_Amount]]</f>
        <v>584</v>
      </c>
      <c r="F8" s="1">
        <v>45956</v>
      </c>
      <c r="G8">
        <v>24</v>
      </c>
      <c r="H8">
        <f>Table2[[#This Row],[Due_Amount]]*Table2[[#This Row],[Delay_Days]]</f>
        <v>96696</v>
      </c>
      <c r="I8" s="3" t="str">
        <f>IF(Table2[[#This Row],[Delay_Days]]=0,"On Time",IF(Table2[[#This Row],[Delay_Days]]&lt;=7,"Low Risk(1-7)",IF(Table2[[#This Row],[Delay_Days]]&lt;=15,"Medium Risk(8-15)",IF(Table2[[#This Row],[Delay_Days]]&lt;=30,"High Risk(16-30)","Severe Risk(30+)"))))</f>
        <v>High Risk(16-30)</v>
      </c>
      <c r="J8" s="5">
        <f>AVERAGE(Table2[Due_Amount])</f>
        <v>4635.1866666666665</v>
      </c>
      <c r="K8" s="5">
        <f>Table2[[#This Row],[Estimated_Market_Rent]]-Table2[[#This Row],[Due_Amount]]</f>
        <v>606.1866666666665</v>
      </c>
      <c r="L8" s="6">
        <f>IF(Table2[[#This Row],[Current Rent Gap]]&gt;0,Table2[[#This Row],[Current Rent Gap]]/Table2[[#This Row],[Estimated_Market_Rent]],0)</f>
        <v>0.13077934293908333</v>
      </c>
      <c r="M8" s="3" t="str">
        <f>IF(Table2[[#This Row],[Under_Market %]]&gt;0.1,"Underpriced","OK")</f>
        <v>Underpriced</v>
      </c>
      <c r="N8" s="5">
        <f>SUMIFS(Table2[[#This Row],[Current Rent Gap]],Table2[[#This Row],[Current Rent Gap]],"&gt;0")</f>
        <v>606.1866666666665</v>
      </c>
    </row>
    <row r="9" spans="1:16" x14ac:dyDescent="0.35">
      <c r="A9" t="s">
        <v>710</v>
      </c>
      <c r="B9" t="s">
        <v>745</v>
      </c>
      <c r="C9">
        <v>5965</v>
      </c>
      <c r="D9">
        <v>5188</v>
      </c>
      <c r="E9">
        <f>Table2[[#This Row],[Due_Amount]]-Table2[[#This Row],[Paid_Amount]]</f>
        <v>777</v>
      </c>
      <c r="F9" s="1">
        <v>45665</v>
      </c>
      <c r="G9">
        <v>12</v>
      </c>
      <c r="H9">
        <f>Table2[[#This Row],[Due_Amount]]*Table2[[#This Row],[Delay_Days]]</f>
        <v>71580</v>
      </c>
      <c r="I9" s="3" t="str">
        <f>IF(Table2[[#This Row],[Delay_Days]]=0,"On Time",IF(Table2[[#This Row],[Delay_Days]]&lt;=7,"Low Risk(1-7)",IF(Table2[[#This Row],[Delay_Days]]&lt;=15,"Medium Risk(8-15)",IF(Table2[[#This Row],[Delay_Days]]&lt;=30,"High Risk(16-30)","Severe Risk(30+)"))))</f>
        <v>Medium Risk(8-15)</v>
      </c>
      <c r="J9" s="5">
        <f>AVERAGE(Table2[Due_Amount])</f>
        <v>4635.1866666666665</v>
      </c>
      <c r="K9" s="5">
        <f>Table2[[#This Row],[Estimated_Market_Rent]]-Table2[[#This Row],[Due_Amount]]</f>
        <v>-1329.8133333333335</v>
      </c>
      <c r="L9" s="6">
        <f>IF(Table2[[#This Row],[Current Rent Gap]]&gt;0,Table2[[#This Row],[Current Rent Gap]]/Table2[[#This Row],[Estimated_Market_Rent]],0)</f>
        <v>0</v>
      </c>
      <c r="M9" s="3" t="str">
        <f>IF(Table2[[#This Row],[Under_Market %]]&gt;0.1,"Underpriced","OK")</f>
        <v>OK</v>
      </c>
      <c r="N9" s="5">
        <f>SUMIFS(Table2[[#This Row],[Current Rent Gap]],Table2[[#This Row],[Current Rent Gap]],"&gt;0")</f>
        <v>0</v>
      </c>
    </row>
    <row r="10" spans="1:16" x14ac:dyDescent="0.35">
      <c r="A10" t="s">
        <v>357</v>
      </c>
      <c r="B10" t="s">
        <v>748</v>
      </c>
      <c r="C10">
        <v>2716</v>
      </c>
      <c r="D10">
        <v>2668</v>
      </c>
      <c r="E10">
        <f>Table2[[#This Row],[Due_Amount]]-Table2[[#This Row],[Paid_Amount]]</f>
        <v>48</v>
      </c>
      <c r="F10" s="1">
        <v>45737</v>
      </c>
      <c r="G10">
        <v>24</v>
      </c>
      <c r="H10">
        <f>Table2[[#This Row],[Due_Amount]]*Table2[[#This Row],[Delay_Days]]</f>
        <v>65184</v>
      </c>
      <c r="I10" s="3" t="str">
        <f>IF(Table2[[#This Row],[Delay_Days]]=0,"On Time",IF(Table2[[#This Row],[Delay_Days]]&lt;=7,"Low Risk(1-7)",IF(Table2[[#This Row],[Delay_Days]]&lt;=15,"Medium Risk(8-15)",IF(Table2[[#This Row],[Delay_Days]]&lt;=30,"High Risk(16-30)","Severe Risk(30+)"))))</f>
        <v>High Risk(16-30)</v>
      </c>
      <c r="J10" s="5">
        <f>AVERAGE(Table2[Due_Amount])</f>
        <v>4635.1866666666665</v>
      </c>
      <c r="K10" s="5">
        <f>Table2[[#This Row],[Estimated_Market_Rent]]-Table2[[#This Row],[Due_Amount]]</f>
        <v>1919.1866666666665</v>
      </c>
      <c r="L10" s="6">
        <f>IF(Table2[[#This Row],[Current Rent Gap]]&gt;0,Table2[[#This Row],[Current Rent Gap]]/Table2[[#This Row],[Estimated_Market_Rent]],0)</f>
        <v>0.41404733070800454</v>
      </c>
      <c r="M10" s="3" t="str">
        <f>IF(Table2[[#This Row],[Under_Market %]]&gt;0.1,"Underpriced","OK")</f>
        <v>Underpriced</v>
      </c>
      <c r="N10" s="5">
        <f>SUMIFS(Table2[[#This Row],[Current Rent Gap]],Table2[[#This Row],[Current Rent Gap]],"&gt;0")</f>
        <v>1919.1866666666665</v>
      </c>
    </row>
    <row r="11" spans="1:16" x14ac:dyDescent="0.35">
      <c r="A11" t="s">
        <v>131</v>
      </c>
      <c r="B11" t="s">
        <v>750</v>
      </c>
      <c r="C11">
        <v>5095</v>
      </c>
      <c r="D11">
        <v>4128</v>
      </c>
      <c r="E11">
        <f>Table2[[#This Row],[Due_Amount]]-Table2[[#This Row],[Paid_Amount]]</f>
        <v>967</v>
      </c>
      <c r="F11" s="1">
        <v>45847</v>
      </c>
      <c r="G11">
        <v>23</v>
      </c>
      <c r="H11">
        <f>Table2[[#This Row],[Due_Amount]]*Table2[[#This Row],[Delay_Days]]</f>
        <v>117185</v>
      </c>
      <c r="I11" s="3" t="str">
        <f>IF(Table2[[#This Row],[Delay_Days]]=0,"On Time",IF(Table2[[#This Row],[Delay_Days]]&lt;=7,"Low Risk(1-7)",IF(Table2[[#This Row],[Delay_Days]]&lt;=15,"Medium Risk(8-15)",IF(Table2[[#This Row],[Delay_Days]]&lt;=30,"High Risk(16-30)","Severe Risk(30+)"))))</f>
        <v>High Risk(16-30)</v>
      </c>
      <c r="J11" s="5">
        <f>AVERAGE(Table2[Due_Amount])</f>
        <v>4635.1866666666665</v>
      </c>
      <c r="K11" s="5">
        <f>Table2[[#This Row],[Estimated_Market_Rent]]-Table2[[#This Row],[Due_Amount]]</f>
        <v>-459.8133333333335</v>
      </c>
      <c r="L11" s="6">
        <f>IF(Table2[[#This Row],[Current Rent Gap]]&gt;0,Table2[[#This Row],[Current Rent Gap]]/Table2[[#This Row],[Estimated_Market_Rent]],0)</f>
        <v>0</v>
      </c>
      <c r="M11" s="3" t="str">
        <f>IF(Table2[[#This Row],[Under_Market %]]&gt;0.1,"Underpriced","OK")</f>
        <v>OK</v>
      </c>
      <c r="N11" s="5">
        <f>SUMIFS(Table2[[#This Row],[Current Rent Gap]],Table2[[#This Row],[Current Rent Gap]],"&gt;0")</f>
        <v>0</v>
      </c>
    </row>
    <row r="12" spans="1:16" x14ac:dyDescent="0.35">
      <c r="A12" t="s">
        <v>542</v>
      </c>
      <c r="B12" t="s">
        <v>751</v>
      </c>
      <c r="C12">
        <v>2052</v>
      </c>
      <c r="D12">
        <v>2052</v>
      </c>
      <c r="E12">
        <f>Table2[[#This Row],[Due_Amount]]-Table2[[#This Row],[Paid_Amount]]</f>
        <v>0</v>
      </c>
      <c r="F12" s="1">
        <v>45700</v>
      </c>
      <c r="G12">
        <v>0</v>
      </c>
      <c r="H12">
        <f>Table2[[#This Row],[Due_Amount]]*Table2[[#This Row],[Delay_Days]]</f>
        <v>0</v>
      </c>
      <c r="I12" s="3" t="str">
        <f>IF(Table2[[#This Row],[Delay_Days]]=0,"On Time",IF(Table2[[#This Row],[Delay_Days]]&lt;=7,"Low Risk(1-7)",IF(Table2[[#This Row],[Delay_Days]]&lt;=15,"Medium Risk(8-15)",IF(Table2[[#This Row],[Delay_Days]]&lt;=30,"High Risk(16-30)","Severe Risk(30+)"))))</f>
        <v>On Time</v>
      </c>
      <c r="J12" s="5">
        <f>AVERAGE(Table2[Due_Amount])</f>
        <v>4635.1866666666665</v>
      </c>
      <c r="K12" s="5">
        <f>Table2[[#This Row],[Estimated_Market_Rent]]-Table2[[#This Row],[Due_Amount]]</f>
        <v>2583.1866666666665</v>
      </c>
      <c r="L12" s="6">
        <f>IF(Table2[[#This Row],[Current Rent Gap]]&gt;0,Table2[[#This Row],[Current Rent Gap]]/Table2[[#This Row],[Estimated_Market_Rent]],0)</f>
        <v>0.55729938240531129</v>
      </c>
      <c r="M12" s="3" t="str">
        <f>IF(Table2[[#This Row],[Under_Market %]]&gt;0.1,"Underpriced","OK")</f>
        <v>Underpriced</v>
      </c>
      <c r="N12" s="5">
        <f>SUMIFS(Table2[[#This Row],[Current Rent Gap]],Table2[[#This Row],[Current Rent Gap]],"&gt;0")</f>
        <v>2583.1866666666665</v>
      </c>
    </row>
    <row r="13" spans="1:16" x14ac:dyDescent="0.35">
      <c r="A13" t="s">
        <v>368</v>
      </c>
      <c r="B13" t="s">
        <v>745</v>
      </c>
      <c r="C13">
        <v>5412</v>
      </c>
      <c r="D13">
        <v>5412</v>
      </c>
      <c r="E13">
        <f>Table2[[#This Row],[Due_Amount]]-Table2[[#This Row],[Paid_Amount]]</f>
        <v>0</v>
      </c>
      <c r="F13" s="1">
        <v>45723</v>
      </c>
      <c r="G13">
        <v>6</v>
      </c>
      <c r="H13">
        <f>Table2[[#This Row],[Due_Amount]]*Table2[[#This Row],[Delay_Days]]</f>
        <v>32472</v>
      </c>
      <c r="I13" s="3" t="str">
        <f>IF(Table2[[#This Row],[Delay_Days]]=0,"On Time",IF(Table2[[#This Row],[Delay_Days]]&lt;=7,"Low Risk(1-7)",IF(Table2[[#This Row],[Delay_Days]]&lt;=15,"Medium Risk(8-15)",IF(Table2[[#This Row],[Delay_Days]]&lt;=30,"High Risk(16-30)","Severe Risk(30+)"))))</f>
        <v>Low Risk(1-7)</v>
      </c>
      <c r="J13" s="5">
        <f>AVERAGE(Table2[Due_Amount])</f>
        <v>4635.1866666666665</v>
      </c>
      <c r="K13" s="5">
        <f>Table2[[#This Row],[Estimated_Market_Rent]]-Table2[[#This Row],[Due_Amount]]</f>
        <v>-776.8133333333335</v>
      </c>
      <c r="L13" s="6">
        <f>IF(Table2[[#This Row],[Current Rent Gap]]&gt;0,Table2[[#This Row],[Current Rent Gap]]/Table2[[#This Row],[Estimated_Market_Rent]],0)</f>
        <v>0</v>
      </c>
      <c r="M13" s="3" t="str">
        <f>IF(Table2[[#This Row],[Under_Market %]]&gt;0.1,"Underpriced","OK")</f>
        <v>OK</v>
      </c>
      <c r="N13" s="5">
        <f>SUMIFS(Table2[[#This Row],[Current Rent Gap]],Table2[[#This Row],[Current Rent Gap]],"&gt;0")</f>
        <v>0</v>
      </c>
    </row>
    <row r="14" spans="1:16" x14ac:dyDescent="0.35">
      <c r="A14" t="s">
        <v>225</v>
      </c>
      <c r="B14" t="s">
        <v>743</v>
      </c>
      <c r="C14">
        <v>3722</v>
      </c>
      <c r="D14">
        <v>3532</v>
      </c>
      <c r="E14">
        <f>Table2[[#This Row],[Due_Amount]]-Table2[[#This Row],[Paid_Amount]]</f>
        <v>190</v>
      </c>
      <c r="F14" s="1">
        <v>45967</v>
      </c>
      <c r="G14">
        <v>21</v>
      </c>
      <c r="H14">
        <f>Table2[[#This Row],[Due_Amount]]*Table2[[#This Row],[Delay_Days]]</f>
        <v>78162</v>
      </c>
      <c r="I14" s="3" t="str">
        <f>IF(Table2[[#This Row],[Delay_Days]]=0,"On Time",IF(Table2[[#This Row],[Delay_Days]]&lt;=7,"Low Risk(1-7)",IF(Table2[[#This Row],[Delay_Days]]&lt;=15,"Medium Risk(8-15)",IF(Table2[[#This Row],[Delay_Days]]&lt;=30,"High Risk(16-30)","Severe Risk(30+)"))))</f>
        <v>High Risk(16-30)</v>
      </c>
      <c r="J14" s="5">
        <f>AVERAGE(Table2[Due_Amount])</f>
        <v>4635.1866666666665</v>
      </c>
      <c r="K14" s="5">
        <f>Table2[[#This Row],[Estimated_Market_Rent]]-Table2[[#This Row],[Due_Amount]]</f>
        <v>913.1866666666665</v>
      </c>
      <c r="L14" s="6">
        <f>IF(Table2[[#This Row],[Current Rent Gap]]&gt;0,Table2[[#This Row],[Current Rent Gap]]/Table2[[#This Row],[Estimated_Market_Rent]],0)</f>
        <v>0.1970118427449164</v>
      </c>
      <c r="M14" s="3" t="str">
        <f>IF(Table2[[#This Row],[Under_Market %]]&gt;0.1,"Underpriced","OK")</f>
        <v>Underpriced</v>
      </c>
      <c r="N14" s="5">
        <f>SUMIFS(Table2[[#This Row],[Current Rent Gap]],Table2[[#This Row],[Current Rent Gap]],"&gt;0")</f>
        <v>913.1866666666665</v>
      </c>
    </row>
    <row r="15" spans="1:16" x14ac:dyDescent="0.35">
      <c r="A15" t="s">
        <v>273</v>
      </c>
      <c r="B15" t="s">
        <v>745</v>
      </c>
      <c r="C15">
        <v>4264</v>
      </c>
      <c r="D15">
        <v>4264</v>
      </c>
      <c r="E15">
        <f>Table2[[#This Row],[Due_Amount]]-Table2[[#This Row],[Paid_Amount]]</f>
        <v>0</v>
      </c>
      <c r="F15" s="1">
        <v>45957</v>
      </c>
      <c r="G15">
        <v>6</v>
      </c>
      <c r="H15">
        <f>Table2[[#This Row],[Due_Amount]]*Table2[[#This Row],[Delay_Days]]</f>
        <v>25584</v>
      </c>
      <c r="I15" s="3" t="str">
        <f>IF(Table2[[#This Row],[Delay_Days]]=0,"On Time",IF(Table2[[#This Row],[Delay_Days]]&lt;=7,"Low Risk(1-7)",IF(Table2[[#This Row],[Delay_Days]]&lt;=15,"Medium Risk(8-15)",IF(Table2[[#This Row],[Delay_Days]]&lt;=30,"High Risk(16-30)","Severe Risk(30+)"))))</f>
        <v>Low Risk(1-7)</v>
      </c>
      <c r="J15" s="5">
        <f>AVERAGE(Table2[Due_Amount])</f>
        <v>4635.1866666666665</v>
      </c>
      <c r="K15" s="5">
        <f>Table2[[#This Row],[Estimated_Market_Rent]]-Table2[[#This Row],[Due_Amount]]</f>
        <v>371.1866666666665</v>
      </c>
      <c r="L15" s="6">
        <f>IF(Table2[[#This Row],[Current Rent Gap]]&gt;0,Table2[[#This Row],[Current Rent Gap]]/Table2[[#This Row],[Estimated_Market_Rent]],0)</f>
        <v>8.0080198136572675E-2</v>
      </c>
      <c r="M15" s="3" t="str">
        <f>IF(Table2[[#This Row],[Under_Market %]]&gt;0.1,"Underpriced","OK")</f>
        <v>OK</v>
      </c>
      <c r="N15" s="5">
        <f>SUMIFS(Table2[[#This Row],[Current Rent Gap]],Table2[[#This Row],[Current Rent Gap]],"&gt;0")</f>
        <v>371.1866666666665</v>
      </c>
    </row>
    <row r="16" spans="1:16" x14ac:dyDescent="0.35">
      <c r="A16" t="s">
        <v>352</v>
      </c>
      <c r="B16" t="s">
        <v>747</v>
      </c>
      <c r="C16">
        <v>5047</v>
      </c>
      <c r="D16">
        <v>5047</v>
      </c>
      <c r="E16">
        <f>Table2[[#This Row],[Due_Amount]]-Table2[[#This Row],[Paid_Amount]]</f>
        <v>0</v>
      </c>
      <c r="F16" s="1">
        <v>45894</v>
      </c>
      <c r="G16">
        <v>9</v>
      </c>
      <c r="H16">
        <f>Table2[[#This Row],[Due_Amount]]*Table2[[#This Row],[Delay_Days]]</f>
        <v>45423</v>
      </c>
      <c r="I16" s="3" t="str">
        <f>IF(Table2[[#This Row],[Delay_Days]]=0,"On Time",IF(Table2[[#This Row],[Delay_Days]]&lt;=7,"Low Risk(1-7)",IF(Table2[[#This Row],[Delay_Days]]&lt;=15,"Medium Risk(8-15)",IF(Table2[[#This Row],[Delay_Days]]&lt;=30,"High Risk(16-30)","Severe Risk(30+)"))))</f>
        <v>Medium Risk(8-15)</v>
      </c>
      <c r="J16" s="5">
        <f>AVERAGE(Table2[Due_Amount])</f>
        <v>4635.1866666666665</v>
      </c>
      <c r="K16" s="5">
        <f>Table2[[#This Row],[Estimated_Market_Rent]]-Table2[[#This Row],[Due_Amount]]</f>
        <v>-411.8133333333335</v>
      </c>
      <c r="L16" s="6">
        <f>IF(Table2[[#This Row],[Current Rent Gap]]&gt;0,Table2[[#This Row],[Current Rent Gap]]/Table2[[#This Row],[Estimated_Market_Rent]],0)</f>
        <v>0</v>
      </c>
      <c r="M16" s="3" t="str">
        <f>IF(Table2[[#This Row],[Under_Market %]]&gt;0.1,"Underpriced","OK")</f>
        <v>OK</v>
      </c>
      <c r="N16" s="5">
        <f>SUMIFS(Table2[[#This Row],[Current Rent Gap]],Table2[[#This Row],[Current Rent Gap]],"&gt;0")</f>
        <v>0</v>
      </c>
    </row>
    <row r="17" spans="1:14" x14ac:dyDescent="0.35">
      <c r="A17" t="s">
        <v>355</v>
      </c>
      <c r="B17" t="s">
        <v>749</v>
      </c>
      <c r="C17">
        <v>2140</v>
      </c>
      <c r="D17">
        <v>2140</v>
      </c>
      <c r="E17">
        <f>Table2[[#This Row],[Due_Amount]]-Table2[[#This Row],[Paid_Amount]]</f>
        <v>0</v>
      </c>
      <c r="F17" s="1">
        <v>45816</v>
      </c>
      <c r="G17">
        <v>0</v>
      </c>
      <c r="H17">
        <f>Table2[[#This Row],[Due_Amount]]*Table2[[#This Row],[Delay_Days]]</f>
        <v>0</v>
      </c>
      <c r="I17" s="3" t="str">
        <f>IF(Table2[[#This Row],[Delay_Days]]=0,"On Time",IF(Table2[[#This Row],[Delay_Days]]&lt;=7,"Low Risk(1-7)",IF(Table2[[#This Row],[Delay_Days]]&lt;=15,"Medium Risk(8-15)",IF(Table2[[#This Row],[Delay_Days]]&lt;=30,"High Risk(16-30)","Severe Risk(30+)"))))</f>
        <v>On Time</v>
      </c>
      <c r="J17" s="5">
        <f>AVERAGE(Table2[Due_Amount])</f>
        <v>4635.1866666666665</v>
      </c>
      <c r="K17" s="5">
        <f>Table2[[#This Row],[Estimated_Market_Rent]]-Table2[[#This Row],[Due_Amount]]</f>
        <v>2495.1866666666665</v>
      </c>
      <c r="L17" s="6">
        <f>IF(Table2[[#This Row],[Current Rent Gap]]&gt;0,Table2[[#This Row],[Current Rent Gap]]/Table2[[#This Row],[Estimated_Market_Rent]],0)</f>
        <v>0.53831417073458387</v>
      </c>
      <c r="M17" s="3" t="str">
        <f>IF(Table2[[#This Row],[Under_Market %]]&gt;0.1,"Underpriced","OK")</f>
        <v>Underpriced</v>
      </c>
      <c r="N17" s="5">
        <f>SUMIFS(Table2[[#This Row],[Current Rent Gap]],Table2[[#This Row],[Current Rent Gap]],"&gt;0")</f>
        <v>2495.1866666666665</v>
      </c>
    </row>
    <row r="18" spans="1:14" x14ac:dyDescent="0.35">
      <c r="A18" t="s">
        <v>535</v>
      </c>
      <c r="B18" t="s">
        <v>750</v>
      </c>
      <c r="C18">
        <v>4324</v>
      </c>
      <c r="D18">
        <v>3959</v>
      </c>
      <c r="E18">
        <f>Table2[[#This Row],[Due_Amount]]-Table2[[#This Row],[Paid_Amount]]</f>
        <v>365</v>
      </c>
      <c r="F18" s="1">
        <v>45919</v>
      </c>
      <c r="G18">
        <v>17</v>
      </c>
      <c r="H18">
        <f>Table2[[#This Row],[Due_Amount]]*Table2[[#This Row],[Delay_Days]]</f>
        <v>73508</v>
      </c>
      <c r="I18" s="3" t="str">
        <f>IF(Table2[[#This Row],[Delay_Days]]=0,"On Time",IF(Table2[[#This Row],[Delay_Days]]&lt;=7,"Low Risk(1-7)",IF(Table2[[#This Row],[Delay_Days]]&lt;=15,"Medium Risk(8-15)",IF(Table2[[#This Row],[Delay_Days]]&lt;=30,"High Risk(16-30)","Severe Risk(30+)"))))</f>
        <v>High Risk(16-30)</v>
      </c>
      <c r="J18" s="5">
        <f>AVERAGE(Table2[Due_Amount])</f>
        <v>4635.1866666666665</v>
      </c>
      <c r="K18" s="5">
        <f>Table2[[#This Row],[Estimated_Market_Rent]]-Table2[[#This Row],[Due_Amount]]</f>
        <v>311.1866666666665</v>
      </c>
      <c r="L18" s="6">
        <f>IF(Table2[[#This Row],[Current Rent Gap]]&gt;0,Table2[[#This Row],[Current Rent Gap]]/Table2[[#This Row],[Estimated_Market_Rent]],0)</f>
        <v>6.7135735633803997E-2</v>
      </c>
      <c r="M18" s="3" t="str">
        <f>IF(Table2[[#This Row],[Under_Market %]]&gt;0.1,"Underpriced","OK")</f>
        <v>OK</v>
      </c>
      <c r="N18" s="5">
        <f>SUMIFS(Table2[[#This Row],[Current Rent Gap]],Table2[[#This Row],[Current Rent Gap]],"&gt;0")</f>
        <v>311.1866666666665</v>
      </c>
    </row>
    <row r="19" spans="1:14" x14ac:dyDescent="0.35">
      <c r="A19" t="s">
        <v>282</v>
      </c>
      <c r="B19" t="s">
        <v>745</v>
      </c>
      <c r="C19">
        <v>5814</v>
      </c>
      <c r="D19">
        <v>5250</v>
      </c>
      <c r="E19">
        <f>Table2[[#This Row],[Due_Amount]]-Table2[[#This Row],[Paid_Amount]]</f>
        <v>564</v>
      </c>
      <c r="F19" s="1">
        <v>45699</v>
      </c>
      <c r="G19">
        <v>13</v>
      </c>
      <c r="H19">
        <f>Table2[[#This Row],[Due_Amount]]*Table2[[#This Row],[Delay_Days]]</f>
        <v>75582</v>
      </c>
      <c r="I19" s="3" t="str">
        <f>IF(Table2[[#This Row],[Delay_Days]]=0,"On Time",IF(Table2[[#This Row],[Delay_Days]]&lt;=7,"Low Risk(1-7)",IF(Table2[[#This Row],[Delay_Days]]&lt;=15,"Medium Risk(8-15)",IF(Table2[[#This Row],[Delay_Days]]&lt;=30,"High Risk(16-30)","Severe Risk(30+)"))))</f>
        <v>Medium Risk(8-15)</v>
      </c>
      <c r="J19" s="5">
        <f>AVERAGE(Table2[Due_Amount])</f>
        <v>4635.1866666666665</v>
      </c>
      <c r="K19" s="5">
        <f>Table2[[#This Row],[Estimated_Market_Rent]]-Table2[[#This Row],[Due_Amount]]</f>
        <v>-1178.8133333333335</v>
      </c>
      <c r="L19" s="6">
        <f>IF(Table2[[#This Row],[Current Rent Gap]]&gt;0,Table2[[#This Row],[Current Rent Gap]]/Table2[[#This Row],[Estimated_Market_Rent]],0)</f>
        <v>0</v>
      </c>
      <c r="M19" s="3" t="str">
        <f>IF(Table2[[#This Row],[Under_Market %]]&gt;0.1,"Underpriced","OK")</f>
        <v>OK</v>
      </c>
      <c r="N19" s="5">
        <f>SUMIFS(Table2[[#This Row],[Current Rent Gap]],Table2[[#This Row],[Current Rent Gap]],"&gt;0")</f>
        <v>0</v>
      </c>
    </row>
    <row r="20" spans="1:14" x14ac:dyDescent="0.35">
      <c r="A20" t="s">
        <v>264</v>
      </c>
      <c r="B20" t="s">
        <v>750</v>
      </c>
      <c r="C20">
        <v>3488</v>
      </c>
      <c r="D20">
        <v>3488</v>
      </c>
      <c r="E20">
        <f>Table2[[#This Row],[Due_Amount]]-Table2[[#This Row],[Paid_Amount]]</f>
        <v>0</v>
      </c>
      <c r="F20" s="1">
        <v>45713</v>
      </c>
      <c r="G20">
        <v>6</v>
      </c>
      <c r="H20">
        <f>Table2[[#This Row],[Due_Amount]]*Table2[[#This Row],[Delay_Days]]</f>
        <v>20928</v>
      </c>
      <c r="I20" s="3" t="str">
        <f>IF(Table2[[#This Row],[Delay_Days]]=0,"On Time",IF(Table2[[#This Row],[Delay_Days]]&lt;=7,"Low Risk(1-7)",IF(Table2[[#This Row],[Delay_Days]]&lt;=15,"Medium Risk(8-15)",IF(Table2[[#This Row],[Delay_Days]]&lt;=30,"High Risk(16-30)","Severe Risk(30+)"))))</f>
        <v>Low Risk(1-7)</v>
      </c>
      <c r="J20" s="5">
        <f>AVERAGE(Table2[Due_Amount])</f>
        <v>4635.1866666666665</v>
      </c>
      <c r="K20" s="5">
        <f>Table2[[#This Row],[Estimated_Market_Rent]]-Table2[[#This Row],[Due_Amount]]</f>
        <v>1147.1866666666665</v>
      </c>
      <c r="L20" s="6">
        <f>IF(Table2[[#This Row],[Current Rent Gap]]&gt;0,Table2[[#This Row],[Current Rent Gap]]/Table2[[#This Row],[Estimated_Market_Rent]],0)</f>
        <v>0.24749524650571422</v>
      </c>
      <c r="M20" s="3" t="str">
        <f>IF(Table2[[#This Row],[Under_Market %]]&gt;0.1,"Underpriced","OK")</f>
        <v>Underpriced</v>
      </c>
      <c r="N20" s="5">
        <f>SUMIFS(Table2[[#This Row],[Current Rent Gap]],Table2[[#This Row],[Current Rent Gap]],"&gt;0")</f>
        <v>1147.1866666666665</v>
      </c>
    </row>
    <row r="21" spans="1:14" x14ac:dyDescent="0.35">
      <c r="A21" t="s">
        <v>565</v>
      </c>
      <c r="B21" t="s">
        <v>751</v>
      </c>
      <c r="C21">
        <v>6126</v>
      </c>
      <c r="D21">
        <v>6126</v>
      </c>
      <c r="E21">
        <f>Table2[[#This Row],[Due_Amount]]-Table2[[#This Row],[Paid_Amount]]</f>
        <v>0</v>
      </c>
      <c r="F21" s="1">
        <v>45843</v>
      </c>
      <c r="G21">
        <v>9</v>
      </c>
      <c r="H21">
        <f>Table2[[#This Row],[Due_Amount]]*Table2[[#This Row],[Delay_Days]]</f>
        <v>55134</v>
      </c>
      <c r="I21" s="3" t="str">
        <f>IF(Table2[[#This Row],[Delay_Days]]=0,"On Time",IF(Table2[[#This Row],[Delay_Days]]&lt;=7,"Low Risk(1-7)",IF(Table2[[#This Row],[Delay_Days]]&lt;=15,"Medium Risk(8-15)",IF(Table2[[#This Row],[Delay_Days]]&lt;=30,"High Risk(16-30)","Severe Risk(30+)"))))</f>
        <v>Medium Risk(8-15)</v>
      </c>
      <c r="J21" s="5">
        <f>AVERAGE(Table2[Due_Amount])</f>
        <v>4635.1866666666665</v>
      </c>
      <c r="K21" s="5">
        <f>Table2[[#This Row],[Estimated_Market_Rent]]-Table2[[#This Row],[Due_Amount]]</f>
        <v>-1490.8133333333335</v>
      </c>
      <c r="L21" s="6">
        <f>IF(Table2[[#This Row],[Current Rent Gap]]&gt;0,Table2[[#This Row],[Current Rent Gap]]/Table2[[#This Row],[Estimated_Market_Rent]],0)</f>
        <v>0</v>
      </c>
      <c r="M21" s="3" t="str">
        <f>IF(Table2[[#This Row],[Under_Market %]]&gt;0.1,"Underpriced","OK")</f>
        <v>OK</v>
      </c>
      <c r="N21" s="5">
        <f>SUMIFS(Table2[[#This Row],[Current Rent Gap]],Table2[[#This Row],[Current Rent Gap]],"&gt;0")</f>
        <v>0</v>
      </c>
    </row>
    <row r="22" spans="1:14" x14ac:dyDescent="0.35">
      <c r="A22" t="s">
        <v>221</v>
      </c>
      <c r="B22" t="s">
        <v>745</v>
      </c>
      <c r="C22">
        <v>3664</v>
      </c>
      <c r="D22">
        <v>3664</v>
      </c>
      <c r="E22">
        <f>Table2[[#This Row],[Due_Amount]]-Table2[[#This Row],[Paid_Amount]]</f>
        <v>0</v>
      </c>
      <c r="F22" s="1">
        <v>45787</v>
      </c>
      <c r="G22">
        <v>9</v>
      </c>
      <c r="H22">
        <f>Table2[[#This Row],[Due_Amount]]*Table2[[#This Row],[Delay_Days]]</f>
        <v>32976</v>
      </c>
      <c r="I22" s="3" t="str">
        <f>IF(Table2[[#This Row],[Delay_Days]]=0,"On Time",IF(Table2[[#This Row],[Delay_Days]]&lt;=7,"Low Risk(1-7)",IF(Table2[[#This Row],[Delay_Days]]&lt;=15,"Medium Risk(8-15)",IF(Table2[[#This Row],[Delay_Days]]&lt;=30,"High Risk(16-30)","Severe Risk(30+)"))))</f>
        <v>Medium Risk(8-15)</v>
      </c>
      <c r="J22" s="5">
        <f>AVERAGE(Table2[Due_Amount])</f>
        <v>4635.1866666666665</v>
      </c>
      <c r="K22" s="5">
        <f>Table2[[#This Row],[Estimated_Market_Rent]]-Table2[[#This Row],[Due_Amount]]</f>
        <v>971.1866666666665</v>
      </c>
      <c r="L22" s="6">
        <f>IF(Table2[[#This Row],[Current Rent Gap]]&gt;0,Table2[[#This Row],[Current Rent Gap]]/Table2[[#This Row],[Estimated_Market_Rent]],0)</f>
        <v>0.20952482316425944</v>
      </c>
      <c r="M22" s="3" t="str">
        <f>IF(Table2[[#This Row],[Under_Market %]]&gt;0.1,"Underpriced","OK")</f>
        <v>Underpriced</v>
      </c>
      <c r="N22" s="5">
        <f>SUMIFS(Table2[[#This Row],[Current Rent Gap]],Table2[[#This Row],[Current Rent Gap]],"&gt;0")</f>
        <v>971.1866666666665</v>
      </c>
    </row>
    <row r="23" spans="1:14" x14ac:dyDescent="0.35">
      <c r="A23" t="s">
        <v>284</v>
      </c>
      <c r="B23" t="s">
        <v>752</v>
      </c>
      <c r="C23">
        <v>6573</v>
      </c>
      <c r="D23">
        <v>5750</v>
      </c>
      <c r="E23">
        <f>Table2[[#This Row],[Due_Amount]]-Table2[[#This Row],[Paid_Amount]]</f>
        <v>823</v>
      </c>
      <c r="F23" s="1">
        <v>45683</v>
      </c>
      <c r="G23">
        <v>14</v>
      </c>
      <c r="H23">
        <f>Table2[[#This Row],[Due_Amount]]*Table2[[#This Row],[Delay_Days]]</f>
        <v>92022</v>
      </c>
      <c r="I23" s="3" t="str">
        <f>IF(Table2[[#This Row],[Delay_Days]]=0,"On Time",IF(Table2[[#This Row],[Delay_Days]]&lt;=7,"Low Risk(1-7)",IF(Table2[[#This Row],[Delay_Days]]&lt;=15,"Medium Risk(8-15)",IF(Table2[[#This Row],[Delay_Days]]&lt;=30,"High Risk(16-30)","Severe Risk(30+)"))))</f>
        <v>Medium Risk(8-15)</v>
      </c>
      <c r="J23" s="5">
        <f>AVERAGE(Table2[Due_Amount])</f>
        <v>4635.1866666666665</v>
      </c>
      <c r="K23" s="5">
        <f>Table2[[#This Row],[Estimated_Market_Rent]]-Table2[[#This Row],[Due_Amount]]</f>
        <v>-1937.8133333333335</v>
      </c>
      <c r="L23" s="6">
        <f>IF(Table2[[#This Row],[Current Rent Gap]]&gt;0,Table2[[#This Row],[Current Rent Gap]]/Table2[[#This Row],[Estimated_Market_Rent]],0)</f>
        <v>0</v>
      </c>
      <c r="M23" s="3" t="str">
        <f>IF(Table2[[#This Row],[Under_Market %]]&gt;0.1,"Underpriced","OK")</f>
        <v>OK</v>
      </c>
      <c r="N23" s="5">
        <f>SUMIFS(Table2[[#This Row],[Current Rent Gap]],Table2[[#This Row],[Current Rent Gap]],"&gt;0")</f>
        <v>0</v>
      </c>
    </row>
    <row r="24" spans="1:14" x14ac:dyDescent="0.35">
      <c r="A24" t="s">
        <v>556</v>
      </c>
      <c r="B24" t="s">
        <v>749</v>
      </c>
      <c r="C24">
        <v>5625</v>
      </c>
      <c r="D24">
        <v>4642</v>
      </c>
      <c r="E24">
        <f>Table2[[#This Row],[Due_Amount]]-Table2[[#This Row],[Paid_Amount]]</f>
        <v>983</v>
      </c>
      <c r="F24" s="1">
        <v>45852</v>
      </c>
      <c r="G24">
        <v>13</v>
      </c>
      <c r="H24">
        <f>Table2[[#This Row],[Due_Amount]]*Table2[[#This Row],[Delay_Days]]</f>
        <v>73125</v>
      </c>
      <c r="I24" s="3" t="str">
        <f>IF(Table2[[#This Row],[Delay_Days]]=0,"On Time",IF(Table2[[#This Row],[Delay_Days]]&lt;=7,"Low Risk(1-7)",IF(Table2[[#This Row],[Delay_Days]]&lt;=15,"Medium Risk(8-15)",IF(Table2[[#This Row],[Delay_Days]]&lt;=30,"High Risk(16-30)","Severe Risk(30+)"))))</f>
        <v>Medium Risk(8-15)</v>
      </c>
      <c r="J24" s="5">
        <f>AVERAGE(Table2[Due_Amount])</f>
        <v>4635.1866666666665</v>
      </c>
      <c r="K24" s="5">
        <f>Table2[[#This Row],[Estimated_Market_Rent]]-Table2[[#This Row],[Due_Amount]]</f>
        <v>-989.8133333333335</v>
      </c>
      <c r="L24" s="6">
        <f>IF(Table2[[#This Row],[Current Rent Gap]]&gt;0,Table2[[#This Row],[Current Rent Gap]]/Table2[[#This Row],[Estimated_Market_Rent]],0)</f>
        <v>0</v>
      </c>
      <c r="M24" s="3" t="str">
        <f>IF(Table2[[#This Row],[Under_Market %]]&gt;0.1,"Underpriced","OK")</f>
        <v>OK</v>
      </c>
      <c r="N24" s="5">
        <f>SUMIFS(Table2[[#This Row],[Current Rent Gap]],Table2[[#This Row],[Current Rent Gap]],"&gt;0")</f>
        <v>0</v>
      </c>
    </row>
    <row r="25" spans="1:14" x14ac:dyDescent="0.35">
      <c r="A25" t="s">
        <v>591</v>
      </c>
      <c r="B25" t="s">
        <v>745</v>
      </c>
      <c r="C25">
        <v>6414</v>
      </c>
      <c r="D25">
        <v>6414</v>
      </c>
      <c r="E25">
        <f>Table2[[#This Row],[Due_Amount]]-Table2[[#This Row],[Paid_Amount]]</f>
        <v>0</v>
      </c>
      <c r="F25" s="1">
        <v>45836</v>
      </c>
      <c r="G25">
        <v>0</v>
      </c>
      <c r="H25">
        <f>Table2[[#This Row],[Due_Amount]]*Table2[[#This Row],[Delay_Days]]</f>
        <v>0</v>
      </c>
      <c r="I25" s="3" t="str">
        <f>IF(Table2[[#This Row],[Delay_Days]]=0,"On Time",IF(Table2[[#This Row],[Delay_Days]]&lt;=7,"Low Risk(1-7)",IF(Table2[[#This Row],[Delay_Days]]&lt;=15,"Medium Risk(8-15)",IF(Table2[[#This Row],[Delay_Days]]&lt;=30,"High Risk(16-30)","Severe Risk(30+)"))))</f>
        <v>On Time</v>
      </c>
      <c r="J25" s="5">
        <f>AVERAGE(Table2[Due_Amount])</f>
        <v>4635.1866666666665</v>
      </c>
      <c r="K25" s="5">
        <f>Table2[[#This Row],[Estimated_Market_Rent]]-Table2[[#This Row],[Due_Amount]]</f>
        <v>-1778.8133333333335</v>
      </c>
      <c r="L25" s="6">
        <f>IF(Table2[[#This Row],[Current Rent Gap]]&gt;0,Table2[[#This Row],[Current Rent Gap]]/Table2[[#This Row],[Estimated_Market_Rent]],0)</f>
        <v>0</v>
      </c>
      <c r="M25" s="3" t="str">
        <f>IF(Table2[[#This Row],[Under_Market %]]&gt;0.1,"Underpriced","OK")</f>
        <v>OK</v>
      </c>
      <c r="N25" s="5">
        <f>SUMIFS(Table2[[#This Row],[Current Rent Gap]],Table2[[#This Row],[Current Rent Gap]],"&gt;0")</f>
        <v>0</v>
      </c>
    </row>
    <row r="26" spans="1:14" x14ac:dyDescent="0.35">
      <c r="A26" t="s">
        <v>531</v>
      </c>
      <c r="B26" t="s">
        <v>745</v>
      </c>
      <c r="C26">
        <v>5691</v>
      </c>
      <c r="D26">
        <v>5691</v>
      </c>
      <c r="E26">
        <f>Table2[[#This Row],[Due_Amount]]-Table2[[#This Row],[Paid_Amount]]</f>
        <v>0</v>
      </c>
      <c r="F26" s="1">
        <v>45783</v>
      </c>
      <c r="G26">
        <v>2</v>
      </c>
      <c r="H26">
        <f>Table2[[#This Row],[Due_Amount]]*Table2[[#This Row],[Delay_Days]]</f>
        <v>11382</v>
      </c>
      <c r="I26" s="3" t="str">
        <f>IF(Table2[[#This Row],[Delay_Days]]=0,"On Time",IF(Table2[[#This Row],[Delay_Days]]&lt;=7,"Low Risk(1-7)",IF(Table2[[#This Row],[Delay_Days]]&lt;=15,"Medium Risk(8-15)",IF(Table2[[#This Row],[Delay_Days]]&lt;=30,"High Risk(16-30)","Severe Risk(30+)"))))</f>
        <v>Low Risk(1-7)</v>
      </c>
      <c r="J26" s="5">
        <f>AVERAGE(Table2[Due_Amount])</f>
        <v>4635.1866666666665</v>
      </c>
      <c r="K26" s="5">
        <f>Table2[[#This Row],[Estimated_Market_Rent]]-Table2[[#This Row],[Due_Amount]]</f>
        <v>-1055.8133333333335</v>
      </c>
      <c r="L26" s="6">
        <f>IF(Table2[[#This Row],[Current Rent Gap]]&gt;0,Table2[[#This Row],[Current Rent Gap]]/Table2[[#This Row],[Estimated_Market_Rent]],0)</f>
        <v>0</v>
      </c>
      <c r="M26" s="3" t="str">
        <f>IF(Table2[[#This Row],[Under_Market %]]&gt;0.1,"Underpriced","OK")</f>
        <v>OK</v>
      </c>
      <c r="N26" s="5">
        <f>SUMIFS(Table2[[#This Row],[Current Rent Gap]],Table2[[#This Row],[Current Rent Gap]],"&gt;0")</f>
        <v>0</v>
      </c>
    </row>
    <row r="27" spans="1:14" x14ac:dyDescent="0.35">
      <c r="A27" t="s">
        <v>704</v>
      </c>
      <c r="B27" t="s">
        <v>746</v>
      </c>
      <c r="C27">
        <v>3158</v>
      </c>
      <c r="D27">
        <v>2731</v>
      </c>
      <c r="E27">
        <f>Table2[[#This Row],[Due_Amount]]-Table2[[#This Row],[Paid_Amount]]</f>
        <v>427</v>
      </c>
      <c r="F27" s="1">
        <v>45957</v>
      </c>
      <c r="G27">
        <v>12</v>
      </c>
      <c r="H27">
        <f>Table2[[#This Row],[Due_Amount]]*Table2[[#This Row],[Delay_Days]]</f>
        <v>37896</v>
      </c>
      <c r="I27" s="3" t="str">
        <f>IF(Table2[[#This Row],[Delay_Days]]=0,"On Time",IF(Table2[[#This Row],[Delay_Days]]&lt;=7,"Low Risk(1-7)",IF(Table2[[#This Row],[Delay_Days]]&lt;=15,"Medium Risk(8-15)",IF(Table2[[#This Row],[Delay_Days]]&lt;=30,"High Risk(16-30)","Severe Risk(30+)"))))</f>
        <v>Medium Risk(8-15)</v>
      </c>
      <c r="J27" s="5">
        <f>AVERAGE(Table2[Due_Amount])</f>
        <v>4635.1866666666665</v>
      </c>
      <c r="K27" s="5">
        <f>Table2[[#This Row],[Estimated_Market_Rent]]-Table2[[#This Row],[Due_Amount]]</f>
        <v>1477.1866666666665</v>
      </c>
      <c r="L27" s="6">
        <f>IF(Table2[[#This Row],[Current Rent Gap]]&gt;0,Table2[[#This Row],[Current Rent Gap]]/Table2[[#This Row],[Estimated_Market_Rent]],0)</f>
        <v>0.31868979027094196</v>
      </c>
      <c r="M27" s="3" t="str">
        <f>IF(Table2[[#This Row],[Under_Market %]]&gt;0.1,"Underpriced","OK")</f>
        <v>Underpriced</v>
      </c>
      <c r="N27" s="5">
        <f>SUMIFS(Table2[[#This Row],[Current Rent Gap]],Table2[[#This Row],[Current Rent Gap]],"&gt;0")</f>
        <v>1477.1866666666665</v>
      </c>
    </row>
    <row r="28" spans="1:14" x14ac:dyDescent="0.35">
      <c r="A28" t="s">
        <v>388</v>
      </c>
      <c r="B28" t="s">
        <v>748</v>
      </c>
      <c r="C28">
        <v>4638</v>
      </c>
      <c r="D28">
        <v>4323</v>
      </c>
      <c r="E28">
        <f>Table2[[#This Row],[Due_Amount]]-Table2[[#This Row],[Paid_Amount]]</f>
        <v>315</v>
      </c>
      <c r="F28" s="1">
        <v>45895</v>
      </c>
      <c r="G28">
        <v>17</v>
      </c>
      <c r="H28">
        <f>Table2[[#This Row],[Due_Amount]]*Table2[[#This Row],[Delay_Days]]</f>
        <v>78846</v>
      </c>
      <c r="I28" s="3" t="str">
        <f>IF(Table2[[#This Row],[Delay_Days]]=0,"On Time",IF(Table2[[#This Row],[Delay_Days]]&lt;=7,"Low Risk(1-7)",IF(Table2[[#This Row],[Delay_Days]]&lt;=15,"Medium Risk(8-15)",IF(Table2[[#This Row],[Delay_Days]]&lt;=30,"High Risk(16-30)","Severe Risk(30+)"))))</f>
        <v>High Risk(16-30)</v>
      </c>
      <c r="J28" s="5">
        <f>AVERAGE(Table2[Due_Amount])</f>
        <v>4635.1866666666665</v>
      </c>
      <c r="K28" s="5">
        <f>Table2[[#This Row],[Estimated_Market_Rent]]-Table2[[#This Row],[Due_Amount]]</f>
        <v>-2.8133333333335031</v>
      </c>
      <c r="L28" s="6">
        <f>IF(Table2[[#This Row],[Current Rent Gap]]&gt;0,Table2[[#This Row],[Current Rent Gap]]/Table2[[#This Row],[Estimated_Market_Rent]],0)</f>
        <v>0</v>
      </c>
      <c r="M28" s="3" t="str">
        <f>IF(Table2[[#This Row],[Under_Market %]]&gt;0.1,"Underpriced","OK")</f>
        <v>OK</v>
      </c>
      <c r="N28" s="5">
        <f>SUMIFS(Table2[[#This Row],[Current Rent Gap]],Table2[[#This Row],[Current Rent Gap]],"&gt;0")</f>
        <v>0</v>
      </c>
    </row>
    <row r="29" spans="1:14" x14ac:dyDescent="0.35">
      <c r="A29" t="s">
        <v>482</v>
      </c>
      <c r="B29" t="s">
        <v>744</v>
      </c>
      <c r="C29">
        <v>5659</v>
      </c>
      <c r="D29">
        <v>4794</v>
      </c>
      <c r="E29">
        <f>Table2[[#This Row],[Due_Amount]]-Table2[[#This Row],[Paid_Amount]]</f>
        <v>865</v>
      </c>
      <c r="F29" s="1">
        <v>45762</v>
      </c>
      <c r="G29">
        <v>18</v>
      </c>
      <c r="H29">
        <f>Table2[[#This Row],[Due_Amount]]*Table2[[#This Row],[Delay_Days]]</f>
        <v>101862</v>
      </c>
      <c r="I29" s="3" t="str">
        <f>IF(Table2[[#This Row],[Delay_Days]]=0,"On Time",IF(Table2[[#This Row],[Delay_Days]]&lt;=7,"Low Risk(1-7)",IF(Table2[[#This Row],[Delay_Days]]&lt;=15,"Medium Risk(8-15)",IF(Table2[[#This Row],[Delay_Days]]&lt;=30,"High Risk(16-30)","Severe Risk(30+)"))))</f>
        <v>High Risk(16-30)</v>
      </c>
      <c r="J29" s="5">
        <f>AVERAGE(Table2[Due_Amount])</f>
        <v>4635.1866666666665</v>
      </c>
      <c r="K29" s="5">
        <f>Table2[[#This Row],[Estimated_Market_Rent]]-Table2[[#This Row],[Due_Amount]]</f>
        <v>-1023.8133333333335</v>
      </c>
      <c r="L29" s="6">
        <f>IF(Table2[[#This Row],[Current Rent Gap]]&gt;0,Table2[[#This Row],[Current Rent Gap]]/Table2[[#This Row],[Estimated_Market_Rent]],0)</f>
        <v>0</v>
      </c>
      <c r="M29" s="3" t="str">
        <f>IF(Table2[[#This Row],[Under_Market %]]&gt;0.1,"Underpriced","OK")</f>
        <v>OK</v>
      </c>
      <c r="N29" s="5">
        <f>SUMIFS(Table2[[#This Row],[Current Rent Gap]],Table2[[#This Row],[Current Rent Gap]],"&gt;0")</f>
        <v>0</v>
      </c>
    </row>
    <row r="30" spans="1:14" x14ac:dyDescent="0.35">
      <c r="A30" t="s">
        <v>199</v>
      </c>
      <c r="B30" t="s">
        <v>744</v>
      </c>
      <c r="C30">
        <v>2249</v>
      </c>
      <c r="D30">
        <v>2249</v>
      </c>
      <c r="E30">
        <f>Table2[[#This Row],[Due_Amount]]-Table2[[#This Row],[Paid_Amount]]</f>
        <v>0</v>
      </c>
      <c r="F30" s="1">
        <v>45682</v>
      </c>
      <c r="G30">
        <v>1</v>
      </c>
      <c r="H30">
        <f>Table2[[#This Row],[Due_Amount]]*Table2[[#This Row],[Delay_Days]]</f>
        <v>2249</v>
      </c>
      <c r="I30" s="3" t="str">
        <f>IF(Table2[[#This Row],[Delay_Days]]=0,"On Time",IF(Table2[[#This Row],[Delay_Days]]&lt;=7,"Low Risk(1-7)",IF(Table2[[#This Row],[Delay_Days]]&lt;=15,"Medium Risk(8-15)",IF(Table2[[#This Row],[Delay_Days]]&lt;=30,"High Risk(16-30)","Severe Risk(30+)"))))</f>
        <v>Low Risk(1-7)</v>
      </c>
      <c r="J30" s="5">
        <f>AVERAGE(Table2[Due_Amount])</f>
        <v>4635.1866666666665</v>
      </c>
      <c r="K30" s="5">
        <f>Table2[[#This Row],[Estimated_Market_Rent]]-Table2[[#This Row],[Due_Amount]]</f>
        <v>2386.1866666666665</v>
      </c>
      <c r="L30" s="6">
        <f>IF(Table2[[#This Row],[Current Rent Gap]]&gt;0,Table2[[#This Row],[Current Rent Gap]]/Table2[[#This Row],[Estimated_Market_Rent]],0)</f>
        <v>0.51479839718788745</v>
      </c>
      <c r="M30" s="3" t="str">
        <f>IF(Table2[[#This Row],[Under_Market %]]&gt;0.1,"Underpriced","OK")</f>
        <v>Underpriced</v>
      </c>
      <c r="N30" s="5">
        <f>SUMIFS(Table2[[#This Row],[Current Rent Gap]],Table2[[#This Row],[Current Rent Gap]],"&gt;0")</f>
        <v>2386.1866666666665</v>
      </c>
    </row>
    <row r="31" spans="1:14" x14ac:dyDescent="0.35">
      <c r="A31" t="s">
        <v>701</v>
      </c>
      <c r="B31" t="s">
        <v>753</v>
      </c>
      <c r="C31">
        <v>6450</v>
      </c>
      <c r="D31">
        <v>6386</v>
      </c>
      <c r="E31">
        <f>Table2[[#This Row],[Due_Amount]]-Table2[[#This Row],[Paid_Amount]]</f>
        <v>64</v>
      </c>
      <c r="F31" s="1">
        <v>45724</v>
      </c>
      <c r="G31">
        <v>14</v>
      </c>
      <c r="H31">
        <f>Table2[[#This Row],[Due_Amount]]*Table2[[#This Row],[Delay_Days]]</f>
        <v>90300</v>
      </c>
      <c r="I31" s="3" t="str">
        <f>IF(Table2[[#This Row],[Delay_Days]]=0,"On Time",IF(Table2[[#This Row],[Delay_Days]]&lt;=7,"Low Risk(1-7)",IF(Table2[[#This Row],[Delay_Days]]&lt;=15,"Medium Risk(8-15)",IF(Table2[[#This Row],[Delay_Days]]&lt;=30,"High Risk(16-30)","Severe Risk(30+)"))))</f>
        <v>Medium Risk(8-15)</v>
      </c>
      <c r="J31" s="5">
        <f>AVERAGE(Table2[Due_Amount])</f>
        <v>4635.1866666666665</v>
      </c>
      <c r="K31" s="5">
        <f>Table2[[#This Row],[Estimated_Market_Rent]]-Table2[[#This Row],[Due_Amount]]</f>
        <v>-1814.8133333333335</v>
      </c>
      <c r="L31" s="6">
        <f>IF(Table2[[#This Row],[Current Rent Gap]]&gt;0,Table2[[#This Row],[Current Rent Gap]]/Table2[[#This Row],[Estimated_Market_Rent]],0)</f>
        <v>0</v>
      </c>
      <c r="M31" s="3" t="str">
        <f>IF(Table2[[#This Row],[Under_Market %]]&gt;0.1,"Underpriced","OK")</f>
        <v>OK</v>
      </c>
      <c r="N31" s="5">
        <f>SUMIFS(Table2[[#This Row],[Current Rent Gap]],Table2[[#This Row],[Current Rent Gap]],"&gt;0")</f>
        <v>0</v>
      </c>
    </row>
    <row r="32" spans="1:14" x14ac:dyDescent="0.35">
      <c r="A32" t="s">
        <v>418</v>
      </c>
      <c r="B32" t="s">
        <v>754</v>
      </c>
      <c r="C32">
        <v>2561</v>
      </c>
      <c r="D32">
        <v>1977</v>
      </c>
      <c r="E32">
        <f>Table2[[#This Row],[Due_Amount]]-Table2[[#This Row],[Paid_Amount]]</f>
        <v>584</v>
      </c>
      <c r="F32" s="1">
        <v>45854</v>
      </c>
      <c r="G32">
        <v>10</v>
      </c>
      <c r="H32">
        <f>Table2[[#This Row],[Due_Amount]]*Table2[[#This Row],[Delay_Days]]</f>
        <v>25610</v>
      </c>
      <c r="I32" s="3" t="str">
        <f>IF(Table2[[#This Row],[Delay_Days]]=0,"On Time",IF(Table2[[#This Row],[Delay_Days]]&lt;=7,"Low Risk(1-7)",IF(Table2[[#This Row],[Delay_Days]]&lt;=15,"Medium Risk(8-15)",IF(Table2[[#This Row],[Delay_Days]]&lt;=30,"High Risk(16-30)","Severe Risk(30+)"))))</f>
        <v>Medium Risk(8-15)</v>
      </c>
      <c r="J32" s="5">
        <f>AVERAGE(Table2[Due_Amount])</f>
        <v>4635.1866666666665</v>
      </c>
      <c r="K32" s="5">
        <f>Table2[[#This Row],[Estimated_Market_Rent]]-Table2[[#This Row],[Due_Amount]]</f>
        <v>2074.1866666666665</v>
      </c>
      <c r="L32" s="6">
        <f>IF(Table2[[#This Row],[Current Rent Gap]]&gt;0,Table2[[#This Row],[Current Rent Gap]]/Table2[[#This Row],[Estimated_Market_Rent]],0)</f>
        <v>0.44748719217349031</v>
      </c>
      <c r="M32" s="3" t="str">
        <f>IF(Table2[[#This Row],[Under_Market %]]&gt;0.1,"Underpriced","OK")</f>
        <v>Underpriced</v>
      </c>
      <c r="N32" s="5">
        <f>SUMIFS(Table2[[#This Row],[Current Rent Gap]],Table2[[#This Row],[Current Rent Gap]],"&gt;0")</f>
        <v>2074.1866666666665</v>
      </c>
    </row>
    <row r="33" spans="1:14" x14ac:dyDescent="0.35">
      <c r="A33" t="s">
        <v>646</v>
      </c>
      <c r="B33" t="s">
        <v>745</v>
      </c>
      <c r="C33">
        <v>5351</v>
      </c>
      <c r="D33">
        <v>5237</v>
      </c>
      <c r="E33">
        <f>Table2[[#This Row],[Due_Amount]]-Table2[[#This Row],[Paid_Amount]]</f>
        <v>114</v>
      </c>
      <c r="F33" s="1">
        <v>45812</v>
      </c>
      <c r="G33">
        <v>12</v>
      </c>
      <c r="H33">
        <f>Table2[[#This Row],[Due_Amount]]*Table2[[#This Row],[Delay_Days]]</f>
        <v>64212</v>
      </c>
      <c r="I33" s="3" t="str">
        <f>IF(Table2[[#This Row],[Delay_Days]]=0,"On Time",IF(Table2[[#This Row],[Delay_Days]]&lt;=7,"Low Risk(1-7)",IF(Table2[[#This Row],[Delay_Days]]&lt;=15,"Medium Risk(8-15)",IF(Table2[[#This Row],[Delay_Days]]&lt;=30,"High Risk(16-30)","Severe Risk(30+)"))))</f>
        <v>Medium Risk(8-15)</v>
      </c>
      <c r="J33" s="5">
        <f>AVERAGE(Table2[Due_Amount])</f>
        <v>4635.1866666666665</v>
      </c>
      <c r="K33" s="5">
        <f>Table2[[#This Row],[Estimated_Market_Rent]]-Table2[[#This Row],[Due_Amount]]</f>
        <v>-715.8133333333335</v>
      </c>
      <c r="L33" s="6">
        <f>IF(Table2[[#This Row],[Current Rent Gap]]&gt;0,Table2[[#This Row],[Current Rent Gap]]/Table2[[#This Row],[Estimated_Market_Rent]],0)</f>
        <v>0</v>
      </c>
      <c r="M33" s="3" t="str">
        <f>IF(Table2[[#This Row],[Under_Market %]]&gt;0.1,"Underpriced","OK")</f>
        <v>OK</v>
      </c>
      <c r="N33" s="5">
        <f>SUMIFS(Table2[[#This Row],[Current Rent Gap]],Table2[[#This Row],[Current Rent Gap]],"&gt;0")</f>
        <v>0</v>
      </c>
    </row>
    <row r="34" spans="1:14" x14ac:dyDescent="0.35">
      <c r="A34" t="s">
        <v>676</v>
      </c>
      <c r="B34" t="s">
        <v>754</v>
      </c>
      <c r="C34">
        <v>5462</v>
      </c>
      <c r="D34">
        <v>5306</v>
      </c>
      <c r="E34">
        <f>Table2[[#This Row],[Due_Amount]]-Table2[[#This Row],[Paid_Amount]]</f>
        <v>156</v>
      </c>
      <c r="F34" s="1">
        <v>45904</v>
      </c>
      <c r="G34">
        <v>11</v>
      </c>
      <c r="H34">
        <f>Table2[[#This Row],[Due_Amount]]*Table2[[#This Row],[Delay_Days]]</f>
        <v>60082</v>
      </c>
      <c r="I34" s="3" t="str">
        <f>IF(Table2[[#This Row],[Delay_Days]]=0,"On Time",IF(Table2[[#This Row],[Delay_Days]]&lt;=7,"Low Risk(1-7)",IF(Table2[[#This Row],[Delay_Days]]&lt;=15,"Medium Risk(8-15)",IF(Table2[[#This Row],[Delay_Days]]&lt;=30,"High Risk(16-30)","Severe Risk(30+)"))))</f>
        <v>Medium Risk(8-15)</v>
      </c>
      <c r="J34" s="5">
        <f>AVERAGE(Table2[Due_Amount])</f>
        <v>4635.1866666666665</v>
      </c>
      <c r="K34" s="5">
        <f>Table2[[#This Row],[Estimated_Market_Rent]]-Table2[[#This Row],[Due_Amount]]</f>
        <v>-826.8133333333335</v>
      </c>
      <c r="L34" s="6">
        <f>IF(Table2[[#This Row],[Current Rent Gap]]&gt;0,Table2[[#This Row],[Current Rent Gap]]/Table2[[#This Row],[Estimated_Market_Rent]],0)</f>
        <v>0</v>
      </c>
      <c r="M34" s="3" t="str">
        <f>IF(Table2[[#This Row],[Under_Market %]]&gt;0.1,"Underpriced","OK")</f>
        <v>OK</v>
      </c>
      <c r="N34" s="5">
        <f>SUMIFS(Table2[[#This Row],[Current Rent Gap]],Table2[[#This Row],[Current Rent Gap]],"&gt;0")</f>
        <v>0</v>
      </c>
    </row>
    <row r="35" spans="1:14" x14ac:dyDescent="0.35">
      <c r="A35" t="s">
        <v>339</v>
      </c>
      <c r="B35" t="s">
        <v>743</v>
      </c>
      <c r="C35">
        <v>2730</v>
      </c>
      <c r="D35">
        <v>2714</v>
      </c>
      <c r="E35">
        <f>Table2[[#This Row],[Due_Amount]]-Table2[[#This Row],[Paid_Amount]]</f>
        <v>16</v>
      </c>
      <c r="F35" s="1">
        <v>45993</v>
      </c>
      <c r="G35">
        <v>13</v>
      </c>
      <c r="H35">
        <f>Table2[[#This Row],[Due_Amount]]*Table2[[#This Row],[Delay_Days]]</f>
        <v>35490</v>
      </c>
      <c r="I35" s="3" t="str">
        <f>IF(Table2[[#This Row],[Delay_Days]]=0,"On Time",IF(Table2[[#This Row],[Delay_Days]]&lt;=7,"Low Risk(1-7)",IF(Table2[[#This Row],[Delay_Days]]&lt;=15,"Medium Risk(8-15)",IF(Table2[[#This Row],[Delay_Days]]&lt;=30,"High Risk(16-30)","Severe Risk(30+)"))))</f>
        <v>Medium Risk(8-15)</v>
      </c>
      <c r="J35" s="5">
        <f>AVERAGE(Table2[Due_Amount])</f>
        <v>4635.1866666666665</v>
      </c>
      <c r="K35" s="5">
        <f>Table2[[#This Row],[Estimated_Market_Rent]]-Table2[[#This Row],[Due_Amount]]</f>
        <v>1905.1866666666665</v>
      </c>
      <c r="L35" s="6">
        <f>IF(Table2[[#This Row],[Current Rent Gap]]&gt;0,Table2[[#This Row],[Current Rent Gap]]/Table2[[#This Row],[Estimated_Market_Rent]],0)</f>
        <v>0.41102695612402518</v>
      </c>
      <c r="M35" s="3" t="str">
        <f>IF(Table2[[#This Row],[Under_Market %]]&gt;0.1,"Underpriced","OK")</f>
        <v>Underpriced</v>
      </c>
      <c r="N35" s="5">
        <f>SUMIFS(Table2[[#This Row],[Current Rent Gap]],Table2[[#This Row],[Current Rent Gap]],"&gt;0")</f>
        <v>1905.1866666666665</v>
      </c>
    </row>
    <row r="36" spans="1:14" x14ac:dyDescent="0.35">
      <c r="A36" t="s">
        <v>669</v>
      </c>
      <c r="B36" t="s">
        <v>745</v>
      </c>
      <c r="C36">
        <v>5491</v>
      </c>
      <c r="D36">
        <v>4809</v>
      </c>
      <c r="E36">
        <f>Table2[[#This Row],[Due_Amount]]-Table2[[#This Row],[Paid_Amount]]</f>
        <v>682</v>
      </c>
      <c r="F36" s="1">
        <v>45852</v>
      </c>
      <c r="G36">
        <v>14</v>
      </c>
      <c r="H36">
        <f>Table2[[#This Row],[Due_Amount]]*Table2[[#This Row],[Delay_Days]]</f>
        <v>76874</v>
      </c>
      <c r="I36" s="3" t="str">
        <f>IF(Table2[[#This Row],[Delay_Days]]=0,"On Time",IF(Table2[[#This Row],[Delay_Days]]&lt;=7,"Low Risk(1-7)",IF(Table2[[#This Row],[Delay_Days]]&lt;=15,"Medium Risk(8-15)",IF(Table2[[#This Row],[Delay_Days]]&lt;=30,"High Risk(16-30)","Severe Risk(30+)"))))</f>
        <v>Medium Risk(8-15)</v>
      </c>
      <c r="J36" s="5">
        <f>AVERAGE(Table2[Due_Amount])</f>
        <v>4635.1866666666665</v>
      </c>
      <c r="K36" s="5">
        <f>Table2[[#This Row],[Estimated_Market_Rent]]-Table2[[#This Row],[Due_Amount]]</f>
        <v>-855.8133333333335</v>
      </c>
      <c r="L36" s="6">
        <f>IF(Table2[[#This Row],[Current Rent Gap]]&gt;0,Table2[[#This Row],[Current Rent Gap]]/Table2[[#This Row],[Estimated_Market_Rent]],0)</f>
        <v>0</v>
      </c>
      <c r="M36" s="3" t="str">
        <f>IF(Table2[[#This Row],[Under_Market %]]&gt;0.1,"Underpriced","OK")</f>
        <v>OK</v>
      </c>
      <c r="N36" s="5">
        <f>SUMIFS(Table2[[#This Row],[Current Rent Gap]],Table2[[#This Row],[Current Rent Gap]],"&gt;0")</f>
        <v>0</v>
      </c>
    </row>
    <row r="37" spans="1:14" x14ac:dyDescent="0.35">
      <c r="A37" t="s">
        <v>467</v>
      </c>
      <c r="B37" t="s">
        <v>750</v>
      </c>
      <c r="C37">
        <v>5363</v>
      </c>
      <c r="D37">
        <v>5141</v>
      </c>
      <c r="E37">
        <f>Table2[[#This Row],[Due_Amount]]-Table2[[#This Row],[Paid_Amount]]</f>
        <v>222</v>
      </c>
      <c r="F37" s="1">
        <v>45971</v>
      </c>
      <c r="G37">
        <v>17</v>
      </c>
      <c r="H37">
        <f>Table2[[#This Row],[Due_Amount]]*Table2[[#This Row],[Delay_Days]]</f>
        <v>91171</v>
      </c>
      <c r="I37" s="3" t="str">
        <f>IF(Table2[[#This Row],[Delay_Days]]=0,"On Time",IF(Table2[[#This Row],[Delay_Days]]&lt;=7,"Low Risk(1-7)",IF(Table2[[#This Row],[Delay_Days]]&lt;=15,"Medium Risk(8-15)",IF(Table2[[#This Row],[Delay_Days]]&lt;=30,"High Risk(16-30)","Severe Risk(30+)"))))</f>
        <v>High Risk(16-30)</v>
      </c>
      <c r="J37" s="5">
        <f>AVERAGE(Table2[Due_Amount])</f>
        <v>4635.1866666666665</v>
      </c>
      <c r="K37" s="5">
        <f>Table2[[#This Row],[Estimated_Market_Rent]]-Table2[[#This Row],[Due_Amount]]</f>
        <v>-727.8133333333335</v>
      </c>
      <c r="L37" s="6">
        <f>IF(Table2[[#This Row],[Current Rent Gap]]&gt;0,Table2[[#This Row],[Current Rent Gap]]/Table2[[#This Row],[Estimated_Market_Rent]],0)</f>
        <v>0</v>
      </c>
      <c r="M37" s="3" t="str">
        <f>IF(Table2[[#This Row],[Under_Market %]]&gt;0.1,"Underpriced","OK")</f>
        <v>OK</v>
      </c>
      <c r="N37" s="5">
        <f>SUMIFS(Table2[[#This Row],[Current Rent Gap]],Table2[[#This Row],[Current Rent Gap]],"&gt;0")</f>
        <v>0</v>
      </c>
    </row>
    <row r="38" spans="1:14" x14ac:dyDescent="0.35">
      <c r="A38" t="s">
        <v>216</v>
      </c>
      <c r="B38" t="s">
        <v>745</v>
      </c>
      <c r="C38">
        <v>2279</v>
      </c>
      <c r="D38">
        <v>1337</v>
      </c>
      <c r="E38">
        <f>Table2[[#This Row],[Due_Amount]]-Table2[[#This Row],[Paid_Amount]]</f>
        <v>942</v>
      </c>
      <c r="F38" s="1">
        <v>45814</v>
      </c>
      <c r="G38">
        <v>18</v>
      </c>
      <c r="H38">
        <f>Table2[[#This Row],[Due_Amount]]*Table2[[#This Row],[Delay_Days]]</f>
        <v>41022</v>
      </c>
      <c r="I38" s="3" t="str">
        <f>IF(Table2[[#This Row],[Delay_Days]]=0,"On Time",IF(Table2[[#This Row],[Delay_Days]]&lt;=7,"Low Risk(1-7)",IF(Table2[[#This Row],[Delay_Days]]&lt;=15,"Medium Risk(8-15)",IF(Table2[[#This Row],[Delay_Days]]&lt;=30,"High Risk(16-30)","Severe Risk(30+)"))))</f>
        <v>High Risk(16-30)</v>
      </c>
      <c r="J38" s="5">
        <f>AVERAGE(Table2[Due_Amount])</f>
        <v>4635.1866666666665</v>
      </c>
      <c r="K38" s="5">
        <f>Table2[[#This Row],[Estimated_Market_Rent]]-Table2[[#This Row],[Due_Amount]]</f>
        <v>2356.1866666666665</v>
      </c>
      <c r="L38" s="6">
        <f>IF(Table2[[#This Row],[Current Rent Gap]]&gt;0,Table2[[#This Row],[Current Rent Gap]]/Table2[[#This Row],[Estimated_Market_Rent]],0)</f>
        <v>0.50832616593650304</v>
      </c>
      <c r="M38" s="3" t="str">
        <f>IF(Table2[[#This Row],[Under_Market %]]&gt;0.1,"Underpriced","OK")</f>
        <v>Underpriced</v>
      </c>
      <c r="N38" s="5">
        <f>SUMIFS(Table2[[#This Row],[Current Rent Gap]],Table2[[#This Row],[Current Rent Gap]],"&gt;0")</f>
        <v>2356.1866666666665</v>
      </c>
    </row>
    <row r="39" spans="1:14" x14ac:dyDescent="0.35">
      <c r="A39" t="s">
        <v>262</v>
      </c>
      <c r="B39" t="s">
        <v>747</v>
      </c>
      <c r="C39">
        <v>4178</v>
      </c>
      <c r="D39">
        <v>4178</v>
      </c>
      <c r="E39">
        <f>Table2[[#This Row],[Due_Amount]]-Table2[[#This Row],[Paid_Amount]]</f>
        <v>0</v>
      </c>
      <c r="F39" s="1">
        <v>46014</v>
      </c>
      <c r="G39">
        <v>6</v>
      </c>
      <c r="H39">
        <f>Table2[[#This Row],[Due_Amount]]*Table2[[#This Row],[Delay_Days]]</f>
        <v>25068</v>
      </c>
      <c r="I39" s="3" t="str">
        <f>IF(Table2[[#This Row],[Delay_Days]]=0,"On Time",IF(Table2[[#This Row],[Delay_Days]]&lt;=7,"Low Risk(1-7)",IF(Table2[[#This Row],[Delay_Days]]&lt;=15,"Medium Risk(8-15)",IF(Table2[[#This Row],[Delay_Days]]&lt;=30,"High Risk(16-30)","Severe Risk(30+)"))))</f>
        <v>Low Risk(1-7)</v>
      </c>
      <c r="J39" s="5">
        <f>AVERAGE(Table2[Due_Amount])</f>
        <v>4635.1866666666665</v>
      </c>
      <c r="K39" s="5">
        <f>Table2[[#This Row],[Estimated_Market_Rent]]-Table2[[#This Row],[Due_Amount]]</f>
        <v>457.1866666666665</v>
      </c>
      <c r="L39" s="6">
        <f>IF(Table2[[#This Row],[Current Rent Gap]]&gt;0,Table2[[#This Row],[Current Rent Gap]]/Table2[[#This Row],[Estimated_Market_Rent]],0)</f>
        <v>9.8633927723874443E-2</v>
      </c>
      <c r="M39" s="3" t="str">
        <f>IF(Table2[[#This Row],[Under_Market %]]&gt;0.1,"Underpriced","OK")</f>
        <v>OK</v>
      </c>
      <c r="N39" s="5">
        <f>SUMIFS(Table2[[#This Row],[Current Rent Gap]],Table2[[#This Row],[Current Rent Gap]],"&gt;0")</f>
        <v>457.1866666666665</v>
      </c>
    </row>
    <row r="40" spans="1:14" x14ac:dyDescent="0.35">
      <c r="A40" t="s">
        <v>433</v>
      </c>
      <c r="B40" t="s">
        <v>744</v>
      </c>
      <c r="C40">
        <v>4996</v>
      </c>
      <c r="D40">
        <v>4996</v>
      </c>
      <c r="E40">
        <f>Table2[[#This Row],[Due_Amount]]-Table2[[#This Row],[Paid_Amount]]</f>
        <v>0</v>
      </c>
      <c r="F40" s="1">
        <v>45720</v>
      </c>
      <c r="G40">
        <v>9</v>
      </c>
      <c r="H40">
        <f>Table2[[#This Row],[Due_Amount]]*Table2[[#This Row],[Delay_Days]]</f>
        <v>44964</v>
      </c>
      <c r="I40" s="3" t="str">
        <f>IF(Table2[[#This Row],[Delay_Days]]=0,"On Time",IF(Table2[[#This Row],[Delay_Days]]&lt;=7,"Low Risk(1-7)",IF(Table2[[#This Row],[Delay_Days]]&lt;=15,"Medium Risk(8-15)",IF(Table2[[#This Row],[Delay_Days]]&lt;=30,"High Risk(16-30)","Severe Risk(30+)"))))</f>
        <v>Medium Risk(8-15)</v>
      </c>
      <c r="J40" s="5">
        <f>AVERAGE(Table2[Due_Amount])</f>
        <v>4635.1866666666665</v>
      </c>
      <c r="K40" s="5">
        <f>Table2[[#This Row],[Estimated_Market_Rent]]-Table2[[#This Row],[Due_Amount]]</f>
        <v>-360.8133333333335</v>
      </c>
      <c r="L40" s="6">
        <f>IF(Table2[[#This Row],[Current Rent Gap]]&gt;0,Table2[[#This Row],[Current Rent Gap]]/Table2[[#This Row],[Estimated_Market_Rent]],0)</f>
        <v>0</v>
      </c>
      <c r="M40" s="3" t="str">
        <f>IF(Table2[[#This Row],[Under_Market %]]&gt;0.1,"Underpriced","OK")</f>
        <v>OK</v>
      </c>
      <c r="N40" s="5">
        <f>SUMIFS(Table2[[#This Row],[Current Rent Gap]],Table2[[#This Row],[Current Rent Gap]],"&gt;0")</f>
        <v>0</v>
      </c>
    </row>
    <row r="41" spans="1:14" x14ac:dyDescent="0.35">
      <c r="A41" t="s">
        <v>401</v>
      </c>
      <c r="B41" t="s">
        <v>743</v>
      </c>
      <c r="C41">
        <v>5713</v>
      </c>
      <c r="D41">
        <v>5713</v>
      </c>
      <c r="E41">
        <f>Table2[[#This Row],[Due_Amount]]-Table2[[#This Row],[Paid_Amount]]</f>
        <v>0</v>
      </c>
      <c r="F41" s="1">
        <v>45887</v>
      </c>
      <c r="G41">
        <v>6</v>
      </c>
      <c r="H41">
        <f>Table2[[#This Row],[Due_Amount]]*Table2[[#This Row],[Delay_Days]]</f>
        <v>34278</v>
      </c>
      <c r="I41" s="3" t="str">
        <f>IF(Table2[[#This Row],[Delay_Days]]=0,"On Time",IF(Table2[[#This Row],[Delay_Days]]&lt;=7,"Low Risk(1-7)",IF(Table2[[#This Row],[Delay_Days]]&lt;=15,"Medium Risk(8-15)",IF(Table2[[#This Row],[Delay_Days]]&lt;=30,"High Risk(16-30)","Severe Risk(30+)"))))</f>
        <v>Low Risk(1-7)</v>
      </c>
      <c r="J41" s="5">
        <f>AVERAGE(Table2[Due_Amount])</f>
        <v>4635.1866666666665</v>
      </c>
      <c r="K41" s="5">
        <f>Table2[[#This Row],[Estimated_Market_Rent]]-Table2[[#This Row],[Due_Amount]]</f>
        <v>-1077.8133333333335</v>
      </c>
      <c r="L41" s="6">
        <f>IF(Table2[[#This Row],[Current Rent Gap]]&gt;0,Table2[[#This Row],[Current Rent Gap]]/Table2[[#This Row],[Estimated_Market_Rent]],0)</f>
        <v>0</v>
      </c>
      <c r="M41" s="3" t="str">
        <f>IF(Table2[[#This Row],[Under_Market %]]&gt;0.1,"Underpriced","OK")</f>
        <v>OK</v>
      </c>
      <c r="N41" s="5">
        <f>SUMIFS(Table2[[#This Row],[Current Rent Gap]],Table2[[#This Row],[Current Rent Gap]],"&gt;0")</f>
        <v>0</v>
      </c>
    </row>
    <row r="42" spans="1:14" x14ac:dyDescent="0.35">
      <c r="A42" t="s">
        <v>357</v>
      </c>
      <c r="B42" t="s">
        <v>743</v>
      </c>
      <c r="C42">
        <v>6144</v>
      </c>
      <c r="D42">
        <v>5526</v>
      </c>
      <c r="E42">
        <f>Table2[[#This Row],[Due_Amount]]-Table2[[#This Row],[Paid_Amount]]</f>
        <v>618</v>
      </c>
      <c r="F42" s="1">
        <v>45945</v>
      </c>
      <c r="G42">
        <v>21</v>
      </c>
      <c r="H42">
        <f>Table2[[#This Row],[Due_Amount]]*Table2[[#This Row],[Delay_Days]]</f>
        <v>129024</v>
      </c>
      <c r="I42" s="3" t="str">
        <f>IF(Table2[[#This Row],[Delay_Days]]=0,"On Time",IF(Table2[[#This Row],[Delay_Days]]&lt;=7,"Low Risk(1-7)",IF(Table2[[#This Row],[Delay_Days]]&lt;=15,"Medium Risk(8-15)",IF(Table2[[#This Row],[Delay_Days]]&lt;=30,"High Risk(16-30)","Severe Risk(30+)"))))</f>
        <v>High Risk(16-30)</v>
      </c>
      <c r="J42" s="5">
        <f>AVERAGE(Table2[Due_Amount])</f>
        <v>4635.1866666666665</v>
      </c>
      <c r="K42" s="5">
        <f>Table2[[#This Row],[Estimated_Market_Rent]]-Table2[[#This Row],[Due_Amount]]</f>
        <v>-1508.8133333333335</v>
      </c>
      <c r="L42" s="6">
        <f>IF(Table2[[#This Row],[Current Rent Gap]]&gt;0,Table2[[#This Row],[Current Rent Gap]]/Table2[[#This Row],[Estimated_Market_Rent]],0)</f>
        <v>0</v>
      </c>
      <c r="M42" s="3" t="str">
        <f>IF(Table2[[#This Row],[Under_Market %]]&gt;0.1,"Underpriced","OK")</f>
        <v>OK</v>
      </c>
      <c r="N42" s="5">
        <f>SUMIFS(Table2[[#This Row],[Current Rent Gap]],Table2[[#This Row],[Current Rent Gap]],"&gt;0")</f>
        <v>0</v>
      </c>
    </row>
    <row r="43" spans="1:14" x14ac:dyDescent="0.35">
      <c r="A43" t="s">
        <v>701</v>
      </c>
      <c r="B43" t="s">
        <v>749</v>
      </c>
      <c r="C43">
        <v>6346</v>
      </c>
      <c r="D43">
        <v>5503</v>
      </c>
      <c r="E43">
        <f>Table2[[#This Row],[Due_Amount]]-Table2[[#This Row],[Paid_Amount]]</f>
        <v>843</v>
      </c>
      <c r="F43" s="1">
        <v>45986</v>
      </c>
      <c r="G43">
        <v>20</v>
      </c>
      <c r="H43">
        <f>Table2[[#This Row],[Due_Amount]]*Table2[[#This Row],[Delay_Days]]</f>
        <v>126920</v>
      </c>
      <c r="I43" s="3" t="str">
        <f>IF(Table2[[#This Row],[Delay_Days]]=0,"On Time",IF(Table2[[#This Row],[Delay_Days]]&lt;=7,"Low Risk(1-7)",IF(Table2[[#This Row],[Delay_Days]]&lt;=15,"Medium Risk(8-15)",IF(Table2[[#This Row],[Delay_Days]]&lt;=30,"High Risk(16-30)","Severe Risk(30+)"))))</f>
        <v>High Risk(16-30)</v>
      </c>
      <c r="J43" s="5">
        <f>AVERAGE(Table2[Due_Amount])</f>
        <v>4635.1866666666665</v>
      </c>
      <c r="K43" s="5">
        <f>Table2[[#This Row],[Estimated_Market_Rent]]-Table2[[#This Row],[Due_Amount]]</f>
        <v>-1710.8133333333335</v>
      </c>
      <c r="L43" s="6">
        <f>IF(Table2[[#This Row],[Current Rent Gap]]&gt;0,Table2[[#This Row],[Current Rent Gap]]/Table2[[#This Row],[Estimated_Market_Rent]],0)</f>
        <v>0</v>
      </c>
      <c r="M43" s="3" t="str">
        <f>IF(Table2[[#This Row],[Under_Market %]]&gt;0.1,"Underpriced","OK")</f>
        <v>OK</v>
      </c>
      <c r="N43" s="5">
        <f>SUMIFS(Table2[[#This Row],[Current Rent Gap]],Table2[[#This Row],[Current Rent Gap]],"&gt;0")</f>
        <v>0</v>
      </c>
    </row>
    <row r="44" spans="1:14" x14ac:dyDescent="0.35">
      <c r="A44" t="s">
        <v>714</v>
      </c>
      <c r="B44" t="s">
        <v>744</v>
      </c>
      <c r="C44">
        <v>2417</v>
      </c>
      <c r="D44">
        <v>1471</v>
      </c>
      <c r="E44">
        <f>Table2[[#This Row],[Due_Amount]]-Table2[[#This Row],[Paid_Amount]]</f>
        <v>946</v>
      </c>
      <c r="F44" s="1">
        <v>45768</v>
      </c>
      <c r="G44">
        <v>22</v>
      </c>
      <c r="H44">
        <f>Table2[[#This Row],[Due_Amount]]*Table2[[#This Row],[Delay_Days]]</f>
        <v>53174</v>
      </c>
      <c r="I44" s="3" t="str">
        <f>IF(Table2[[#This Row],[Delay_Days]]=0,"On Time",IF(Table2[[#This Row],[Delay_Days]]&lt;=7,"Low Risk(1-7)",IF(Table2[[#This Row],[Delay_Days]]&lt;=15,"Medium Risk(8-15)",IF(Table2[[#This Row],[Delay_Days]]&lt;=30,"High Risk(16-30)","Severe Risk(30+)"))))</f>
        <v>High Risk(16-30)</v>
      </c>
      <c r="J44" s="5">
        <f>AVERAGE(Table2[Due_Amount])</f>
        <v>4635.1866666666665</v>
      </c>
      <c r="K44" s="5">
        <f>Table2[[#This Row],[Estimated_Market_Rent]]-Table2[[#This Row],[Due_Amount]]</f>
        <v>2218.1866666666665</v>
      </c>
      <c r="L44" s="6">
        <f>IF(Table2[[#This Row],[Current Rent Gap]]&gt;0,Table2[[#This Row],[Current Rent Gap]]/Table2[[#This Row],[Estimated_Market_Rent]],0)</f>
        <v>0.4785539021801351</v>
      </c>
      <c r="M44" s="3" t="str">
        <f>IF(Table2[[#This Row],[Under_Market %]]&gt;0.1,"Underpriced","OK")</f>
        <v>Underpriced</v>
      </c>
      <c r="N44" s="5">
        <f>SUMIFS(Table2[[#This Row],[Current Rent Gap]],Table2[[#This Row],[Current Rent Gap]],"&gt;0")</f>
        <v>2218.1866666666665</v>
      </c>
    </row>
    <row r="45" spans="1:14" x14ac:dyDescent="0.35">
      <c r="A45" t="s">
        <v>106</v>
      </c>
      <c r="B45" t="s">
        <v>744</v>
      </c>
      <c r="C45">
        <v>4241</v>
      </c>
      <c r="D45">
        <v>3554</v>
      </c>
      <c r="E45">
        <f>Table2[[#This Row],[Due_Amount]]-Table2[[#This Row],[Paid_Amount]]</f>
        <v>687</v>
      </c>
      <c r="F45" s="1">
        <v>45860</v>
      </c>
      <c r="G45">
        <v>11</v>
      </c>
      <c r="H45">
        <f>Table2[[#This Row],[Due_Amount]]*Table2[[#This Row],[Delay_Days]]</f>
        <v>46651</v>
      </c>
      <c r="I45" s="3" t="str">
        <f>IF(Table2[[#This Row],[Delay_Days]]=0,"On Time",IF(Table2[[#This Row],[Delay_Days]]&lt;=7,"Low Risk(1-7)",IF(Table2[[#This Row],[Delay_Days]]&lt;=15,"Medium Risk(8-15)",IF(Table2[[#This Row],[Delay_Days]]&lt;=30,"High Risk(16-30)","Severe Risk(30+)"))))</f>
        <v>Medium Risk(8-15)</v>
      </c>
      <c r="J45" s="5">
        <f>AVERAGE(Table2[Due_Amount])</f>
        <v>4635.1866666666665</v>
      </c>
      <c r="K45" s="5">
        <f>Table2[[#This Row],[Estimated_Market_Rent]]-Table2[[#This Row],[Due_Amount]]</f>
        <v>394.1866666666665</v>
      </c>
      <c r="L45" s="6">
        <f>IF(Table2[[#This Row],[Current Rent Gap]]&gt;0,Table2[[#This Row],[Current Rent Gap]]/Table2[[#This Row],[Estimated_Market_Rent]],0)</f>
        <v>8.5042242095967335E-2</v>
      </c>
      <c r="M45" s="3" t="str">
        <f>IF(Table2[[#This Row],[Under_Market %]]&gt;0.1,"Underpriced","OK")</f>
        <v>OK</v>
      </c>
      <c r="N45" s="5">
        <f>SUMIFS(Table2[[#This Row],[Current Rent Gap]],Table2[[#This Row],[Current Rent Gap]],"&gt;0")</f>
        <v>394.1866666666665</v>
      </c>
    </row>
    <row r="46" spans="1:14" x14ac:dyDescent="0.35">
      <c r="A46" t="s">
        <v>384</v>
      </c>
      <c r="B46" t="s">
        <v>750</v>
      </c>
      <c r="C46">
        <v>4661</v>
      </c>
      <c r="D46">
        <v>4489</v>
      </c>
      <c r="E46">
        <f>Table2[[#This Row],[Due_Amount]]-Table2[[#This Row],[Paid_Amount]]</f>
        <v>172</v>
      </c>
      <c r="F46" s="1">
        <v>45828</v>
      </c>
      <c r="G46">
        <v>16</v>
      </c>
      <c r="H46">
        <f>Table2[[#This Row],[Due_Amount]]*Table2[[#This Row],[Delay_Days]]</f>
        <v>74576</v>
      </c>
      <c r="I46" s="3" t="str">
        <f>IF(Table2[[#This Row],[Delay_Days]]=0,"On Time",IF(Table2[[#This Row],[Delay_Days]]&lt;=7,"Low Risk(1-7)",IF(Table2[[#This Row],[Delay_Days]]&lt;=15,"Medium Risk(8-15)",IF(Table2[[#This Row],[Delay_Days]]&lt;=30,"High Risk(16-30)","Severe Risk(30+)"))))</f>
        <v>High Risk(16-30)</v>
      </c>
      <c r="J46" s="5">
        <f>AVERAGE(Table2[Due_Amount])</f>
        <v>4635.1866666666665</v>
      </c>
      <c r="K46" s="5">
        <f>Table2[[#This Row],[Estimated_Market_Rent]]-Table2[[#This Row],[Due_Amount]]</f>
        <v>-25.813333333333503</v>
      </c>
      <c r="L46" s="6">
        <f>IF(Table2[[#This Row],[Current Rent Gap]]&gt;0,Table2[[#This Row],[Current Rent Gap]]/Table2[[#This Row],[Estimated_Market_Rent]],0)</f>
        <v>0</v>
      </c>
      <c r="M46" s="3" t="str">
        <f>IF(Table2[[#This Row],[Under_Market %]]&gt;0.1,"Underpriced","OK")</f>
        <v>OK</v>
      </c>
      <c r="N46" s="5">
        <f>SUMIFS(Table2[[#This Row],[Current Rent Gap]],Table2[[#This Row],[Current Rent Gap]],"&gt;0")</f>
        <v>0</v>
      </c>
    </row>
    <row r="47" spans="1:14" x14ac:dyDescent="0.35">
      <c r="A47" t="s">
        <v>237</v>
      </c>
      <c r="B47" t="s">
        <v>743</v>
      </c>
      <c r="C47">
        <v>3406</v>
      </c>
      <c r="D47">
        <v>3406</v>
      </c>
      <c r="E47">
        <f>Table2[[#This Row],[Due_Amount]]-Table2[[#This Row],[Paid_Amount]]</f>
        <v>0</v>
      </c>
      <c r="F47" s="1">
        <v>45882</v>
      </c>
      <c r="G47">
        <v>9</v>
      </c>
      <c r="H47">
        <f>Table2[[#This Row],[Due_Amount]]*Table2[[#This Row],[Delay_Days]]</f>
        <v>30654</v>
      </c>
      <c r="I47" s="3" t="str">
        <f>IF(Table2[[#This Row],[Delay_Days]]=0,"On Time",IF(Table2[[#This Row],[Delay_Days]]&lt;=7,"Low Risk(1-7)",IF(Table2[[#This Row],[Delay_Days]]&lt;=15,"Medium Risk(8-15)",IF(Table2[[#This Row],[Delay_Days]]&lt;=30,"High Risk(16-30)","Severe Risk(30+)"))))</f>
        <v>Medium Risk(8-15)</v>
      </c>
      <c r="J47" s="5">
        <f>AVERAGE(Table2[Due_Amount])</f>
        <v>4635.1866666666665</v>
      </c>
      <c r="K47" s="5">
        <f>Table2[[#This Row],[Estimated_Market_Rent]]-Table2[[#This Row],[Due_Amount]]</f>
        <v>1229.1866666666665</v>
      </c>
      <c r="L47" s="6">
        <f>IF(Table2[[#This Row],[Current Rent Gap]]&gt;0,Table2[[#This Row],[Current Rent Gap]]/Table2[[#This Row],[Estimated_Market_Rent]],0)</f>
        <v>0.26518601192616476</v>
      </c>
      <c r="M47" s="3" t="str">
        <f>IF(Table2[[#This Row],[Under_Market %]]&gt;0.1,"Underpriced","OK")</f>
        <v>Underpriced</v>
      </c>
      <c r="N47" s="5">
        <f>SUMIFS(Table2[[#This Row],[Current Rent Gap]],Table2[[#This Row],[Current Rent Gap]],"&gt;0")</f>
        <v>1229.1866666666665</v>
      </c>
    </row>
    <row r="48" spans="1:14" x14ac:dyDescent="0.35">
      <c r="A48" t="s">
        <v>164</v>
      </c>
      <c r="B48" t="s">
        <v>746</v>
      </c>
      <c r="C48">
        <v>4858</v>
      </c>
      <c r="D48">
        <v>4858</v>
      </c>
      <c r="E48">
        <f>Table2[[#This Row],[Due_Amount]]-Table2[[#This Row],[Paid_Amount]]</f>
        <v>0</v>
      </c>
      <c r="F48" s="1">
        <v>45986</v>
      </c>
      <c r="G48">
        <v>0</v>
      </c>
      <c r="H48">
        <f>Table2[[#This Row],[Due_Amount]]*Table2[[#This Row],[Delay_Days]]</f>
        <v>0</v>
      </c>
      <c r="I48" s="3" t="str">
        <f>IF(Table2[[#This Row],[Delay_Days]]=0,"On Time",IF(Table2[[#This Row],[Delay_Days]]&lt;=7,"Low Risk(1-7)",IF(Table2[[#This Row],[Delay_Days]]&lt;=15,"Medium Risk(8-15)",IF(Table2[[#This Row],[Delay_Days]]&lt;=30,"High Risk(16-30)","Severe Risk(30+)"))))</f>
        <v>On Time</v>
      </c>
      <c r="J48" s="5">
        <f>AVERAGE(Table2[Due_Amount])</f>
        <v>4635.1866666666665</v>
      </c>
      <c r="K48" s="5">
        <f>Table2[[#This Row],[Estimated_Market_Rent]]-Table2[[#This Row],[Due_Amount]]</f>
        <v>-222.8133333333335</v>
      </c>
      <c r="L48" s="6">
        <f>IF(Table2[[#This Row],[Current Rent Gap]]&gt;0,Table2[[#This Row],[Current Rent Gap]]/Table2[[#This Row],[Estimated_Market_Rent]],0)</f>
        <v>0</v>
      </c>
      <c r="M48" s="3" t="str">
        <f>IF(Table2[[#This Row],[Under_Market %]]&gt;0.1,"Underpriced","OK")</f>
        <v>OK</v>
      </c>
      <c r="N48" s="5">
        <f>SUMIFS(Table2[[#This Row],[Current Rent Gap]],Table2[[#This Row],[Current Rent Gap]],"&gt;0")</f>
        <v>0</v>
      </c>
    </row>
    <row r="49" spans="1:14" x14ac:dyDescent="0.35">
      <c r="A49" t="s">
        <v>55</v>
      </c>
      <c r="B49" t="s">
        <v>744</v>
      </c>
      <c r="C49">
        <v>2699</v>
      </c>
      <c r="D49">
        <v>2699</v>
      </c>
      <c r="E49">
        <f>Table2[[#This Row],[Due_Amount]]-Table2[[#This Row],[Paid_Amount]]</f>
        <v>0</v>
      </c>
      <c r="F49" s="1">
        <v>45801</v>
      </c>
      <c r="G49">
        <v>2</v>
      </c>
      <c r="H49">
        <f>Table2[[#This Row],[Due_Amount]]*Table2[[#This Row],[Delay_Days]]</f>
        <v>5398</v>
      </c>
      <c r="I49" s="3" t="str">
        <f>IF(Table2[[#This Row],[Delay_Days]]=0,"On Time",IF(Table2[[#This Row],[Delay_Days]]&lt;=7,"Low Risk(1-7)",IF(Table2[[#This Row],[Delay_Days]]&lt;=15,"Medium Risk(8-15)",IF(Table2[[#This Row],[Delay_Days]]&lt;=30,"High Risk(16-30)","Severe Risk(30+)"))))</f>
        <v>Low Risk(1-7)</v>
      </c>
      <c r="J49" s="5">
        <f>AVERAGE(Table2[Due_Amount])</f>
        <v>4635.1866666666665</v>
      </c>
      <c r="K49" s="5">
        <f>Table2[[#This Row],[Estimated_Market_Rent]]-Table2[[#This Row],[Due_Amount]]</f>
        <v>1936.1866666666665</v>
      </c>
      <c r="L49" s="6">
        <f>IF(Table2[[#This Row],[Current Rent Gap]]&gt;0,Table2[[#This Row],[Current Rent Gap]]/Table2[[#This Row],[Estimated_Market_Rent]],0)</f>
        <v>0.41771492841712232</v>
      </c>
      <c r="M49" s="3" t="str">
        <f>IF(Table2[[#This Row],[Under_Market %]]&gt;0.1,"Underpriced","OK")</f>
        <v>Underpriced</v>
      </c>
      <c r="N49" s="5">
        <f>SUMIFS(Table2[[#This Row],[Current Rent Gap]],Table2[[#This Row],[Current Rent Gap]],"&gt;0")</f>
        <v>1936.1866666666665</v>
      </c>
    </row>
    <row r="50" spans="1:14" x14ac:dyDescent="0.35">
      <c r="A50" t="s">
        <v>684</v>
      </c>
      <c r="B50" t="s">
        <v>754</v>
      </c>
      <c r="C50">
        <v>5527</v>
      </c>
      <c r="D50">
        <v>5516</v>
      </c>
      <c r="E50">
        <f>Table2[[#This Row],[Due_Amount]]-Table2[[#This Row],[Paid_Amount]]</f>
        <v>11</v>
      </c>
      <c r="F50" s="1">
        <v>45936</v>
      </c>
      <c r="G50">
        <v>23</v>
      </c>
      <c r="H50">
        <f>Table2[[#This Row],[Due_Amount]]*Table2[[#This Row],[Delay_Days]]</f>
        <v>127121</v>
      </c>
      <c r="I50" s="3" t="str">
        <f>IF(Table2[[#This Row],[Delay_Days]]=0,"On Time",IF(Table2[[#This Row],[Delay_Days]]&lt;=7,"Low Risk(1-7)",IF(Table2[[#This Row],[Delay_Days]]&lt;=15,"Medium Risk(8-15)",IF(Table2[[#This Row],[Delay_Days]]&lt;=30,"High Risk(16-30)","Severe Risk(30+)"))))</f>
        <v>High Risk(16-30)</v>
      </c>
      <c r="J50" s="5">
        <f>AVERAGE(Table2[Due_Amount])</f>
        <v>4635.1866666666665</v>
      </c>
      <c r="K50" s="5">
        <f>Table2[[#This Row],[Estimated_Market_Rent]]-Table2[[#This Row],[Due_Amount]]</f>
        <v>-891.8133333333335</v>
      </c>
      <c r="L50" s="6">
        <f>IF(Table2[[#This Row],[Current Rent Gap]]&gt;0,Table2[[#This Row],[Current Rent Gap]]/Table2[[#This Row],[Estimated_Market_Rent]],0)</f>
        <v>0</v>
      </c>
      <c r="M50" s="3" t="str">
        <f>IF(Table2[[#This Row],[Under_Market %]]&gt;0.1,"Underpriced","OK")</f>
        <v>OK</v>
      </c>
      <c r="N50" s="5">
        <f>SUMIFS(Table2[[#This Row],[Current Rent Gap]],Table2[[#This Row],[Current Rent Gap]],"&gt;0")</f>
        <v>0</v>
      </c>
    </row>
    <row r="51" spans="1:14" x14ac:dyDescent="0.35">
      <c r="A51" t="s">
        <v>327</v>
      </c>
      <c r="B51" t="s">
        <v>749</v>
      </c>
      <c r="C51">
        <v>4851</v>
      </c>
      <c r="D51">
        <v>4851</v>
      </c>
      <c r="E51">
        <f>Table2[[#This Row],[Due_Amount]]-Table2[[#This Row],[Paid_Amount]]</f>
        <v>0</v>
      </c>
      <c r="F51" s="1">
        <v>45885</v>
      </c>
      <c r="G51">
        <v>8</v>
      </c>
      <c r="H51">
        <f>Table2[[#This Row],[Due_Amount]]*Table2[[#This Row],[Delay_Days]]</f>
        <v>38808</v>
      </c>
      <c r="I51" s="3" t="str">
        <f>IF(Table2[[#This Row],[Delay_Days]]=0,"On Time",IF(Table2[[#This Row],[Delay_Days]]&lt;=7,"Low Risk(1-7)",IF(Table2[[#This Row],[Delay_Days]]&lt;=15,"Medium Risk(8-15)",IF(Table2[[#This Row],[Delay_Days]]&lt;=30,"High Risk(16-30)","Severe Risk(30+)"))))</f>
        <v>Medium Risk(8-15)</v>
      </c>
      <c r="J51" s="5">
        <f>AVERAGE(Table2[Due_Amount])</f>
        <v>4635.1866666666665</v>
      </c>
      <c r="K51" s="5">
        <f>Table2[[#This Row],[Estimated_Market_Rent]]-Table2[[#This Row],[Due_Amount]]</f>
        <v>-215.8133333333335</v>
      </c>
      <c r="L51" s="6">
        <f>IF(Table2[[#This Row],[Current Rent Gap]]&gt;0,Table2[[#This Row],[Current Rent Gap]]/Table2[[#This Row],[Estimated_Market_Rent]],0)</f>
        <v>0</v>
      </c>
      <c r="M51" s="3" t="str">
        <f>IF(Table2[[#This Row],[Under_Market %]]&gt;0.1,"Underpriced","OK")</f>
        <v>OK</v>
      </c>
      <c r="N51" s="5">
        <f>SUMIFS(Table2[[#This Row],[Current Rent Gap]],Table2[[#This Row],[Current Rent Gap]],"&gt;0")</f>
        <v>0</v>
      </c>
    </row>
    <row r="52" spans="1:14" x14ac:dyDescent="0.35">
      <c r="A52" t="s">
        <v>589</v>
      </c>
      <c r="B52" t="s">
        <v>752</v>
      </c>
      <c r="C52">
        <v>4205</v>
      </c>
      <c r="D52">
        <v>3530</v>
      </c>
      <c r="E52">
        <f>Table2[[#This Row],[Due_Amount]]-Table2[[#This Row],[Paid_Amount]]</f>
        <v>675</v>
      </c>
      <c r="F52" s="1">
        <v>45843</v>
      </c>
      <c r="G52">
        <v>12</v>
      </c>
      <c r="H52">
        <f>Table2[[#This Row],[Due_Amount]]*Table2[[#This Row],[Delay_Days]]</f>
        <v>50460</v>
      </c>
      <c r="I52" s="3" t="str">
        <f>IF(Table2[[#This Row],[Delay_Days]]=0,"On Time",IF(Table2[[#This Row],[Delay_Days]]&lt;=7,"Low Risk(1-7)",IF(Table2[[#This Row],[Delay_Days]]&lt;=15,"Medium Risk(8-15)",IF(Table2[[#This Row],[Delay_Days]]&lt;=30,"High Risk(16-30)","Severe Risk(30+)"))))</f>
        <v>Medium Risk(8-15)</v>
      </c>
      <c r="J52" s="5">
        <f>AVERAGE(Table2[Due_Amount])</f>
        <v>4635.1866666666665</v>
      </c>
      <c r="K52" s="5">
        <f>Table2[[#This Row],[Estimated_Market_Rent]]-Table2[[#This Row],[Due_Amount]]</f>
        <v>430.1866666666665</v>
      </c>
      <c r="L52" s="6">
        <f>IF(Table2[[#This Row],[Current Rent Gap]]&gt;0,Table2[[#This Row],[Current Rent Gap]]/Table2[[#This Row],[Estimated_Market_Rent]],0)</f>
        <v>9.2808919597628547E-2</v>
      </c>
      <c r="M52" s="3" t="str">
        <f>IF(Table2[[#This Row],[Under_Market %]]&gt;0.1,"Underpriced","OK")</f>
        <v>OK</v>
      </c>
      <c r="N52" s="5">
        <f>SUMIFS(Table2[[#This Row],[Current Rent Gap]],Table2[[#This Row],[Current Rent Gap]],"&gt;0")</f>
        <v>430.1866666666665</v>
      </c>
    </row>
    <row r="53" spans="1:14" x14ac:dyDescent="0.35">
      <c r="A53" t="s">
        <v>58</v>
      </c>
      <c r="B53" t="s">
        <v>749</v>
      </c>
      <c r="C53">
        <v>2539</v>
      </c>
      <c r="D53">
        <v>1672</v>
      </c>
      <c r="E53">
        <f>Table2[[#This Row],[Due_Amount]]-Table2[[#This Row],[Paid_Amount]]</f>
        <v>867</v>
      </c>
      <c r="F53" s="1">
        <v>45905</v>
      </c>
      <c r="G53">
        <v>18</v>
      </c>
      <c r="H53">
        <f>Table2[[#This Row],[Due_Amount]]*Table2[[#This Row],[Delay_Days]]</f>
        <v>45702</v>
      </c>
      <c r="I53" s="3" t="str">
        <f>IF(Table2[[#This Row],[Delay_Days]]=0,"On Time",IF(Table2[[#This Row],[Delay_Days]]&lt;=7,"Low Risk(1-7)",IF(Table2[[#This Row],[Delay_Days]]&lt;=15,"Medium Risk(8-15)",IF(Table2[[#This Row],[Delay_Days]]&lt;=30,"High Risk(16-30)","Severe Risk(30+)"))))</f>
        <v>High Risk(16-30)</v>
      </c>
      <c r="J53" s="5">
        <f>AVERAGE(Table2[Due_Amount])</f>
        <v>4635.1866666666665</v>
      </c>
      <c r="K53" s="5">
        <f>Table2[[#This Row],[Estimated_Market_Rent]]-Table2[[#This Row],[Due_Amount]]</f>
        <v>2096.1866666666665</v>
      </c>
      <c r="L53" s="6">
        <f>IF(Table2[[#This Row],[Current Rent Gap]]&gt;0,Table2[[#This Row],[Current Rent Gap]]/Table2[[#This Row],[Estimated_Market_Rent]],0)</f>
        <v>0.45223349509117217</v>
      </c>
      <c r="M53" s="3" t="str">
        <f>IF(Table2[[#This Row],[Under_Market %]]&gt;0.1,"Underpriced","OK")</f>
        <v>Underpriced</v>
      </c>
      <c r="N53" s="5">
        <f>SUMIFS(Table2[[#This Row],[Current Rent Gap]],Table2[[#This Row],[Current Rent Gap]],"&gt;0")</f>
        <v>2096.1866666666665</v>
      </c>
    </row>
    <row r="54" spans="1:14" x14ac:dyDescent="0.35">
      <c r="A54" t="s">
        <v>469</v>
      </c>
      <c r="B54" t="s">
        <v>746</v>
      </c>
      <c r="C54">
        <v>5920</v>
      </c>
      <c r="D54">
        <v>5342</v>
      </c>
      <c r="E54">
        <f>Table2[[#This Row],[Due_Amount]]-Table2[[#This Row],[Paid_Amount]]</f>
        <v>578</v>
      </c>
      <c r="F54" s="1">
        <v>45953</v>
      </c>
      <c r="G54">
        <v>23</v>
      </c>
      <c r="H54">
        <f>Table2[[#This Row],[Due_Amount]]*Table2[[#This Row],[Delay_Days]]</f>
        <v>136160</v>
      </c>
      <c r="I54" s="3" t="str">
        <f>IF(Table2[[#This Row],[Delay_Days]]=0,"On Time",IF(Table2[[#This Row],[Delay_Days]]&lt;=7,"Low Risk(1-7)",IF(Table2[[#This Row],[Delay_Days]]&lt;=15,"Medium Risk(8-15)",IF(Table2[[#This Row],[Delay_Days]]&lt;=30,"High Risk(16-30)","Severe Risk(30+)"))))</f>
        <v>High Risk(16-30)</v>
      </c>
      <c r="J54" s="5">
        <f>AVERAGE(Table2[Due_Amount])</f>
        <v>4635.1866666666665</v>
      </c>
      <c r="K54" s="5">
        <f>Table2[[#This Row],[Estimated_Market_Rent]]-Table2[[#This Row],[Due_Amount]]</f>
        <v>-1284.8133333333335</v>
      </c>
      <c r="L54" s="6">
        <f>IF(Table2[[#This Row],[Current Rent Gap]]&gt;0,Table2[[#This Row],[Current Rent Gap]]/Table2[[#This Row],[Estimated_Market_Rent]],0)</f>
        <v>0</v>
      </c>
      <c r="M54" s="3" t="str">
        <f>IF(Table2[[#This Row],[Under_Market %]]&gt;0.1,"Underpriced","OK")</f>
        <v>OK</v>
      </c>
      <c r="N54" s="5">
        <f>SUMIFS(Table2[[#This Row],[Current Rent Gap]],Table2[[#This Row],[Current Rent Gap]],"&gt;0")</f>
        <v>0</v>
      </c>
    </row>
    <row r="55" spans="1:14" x14ac:dyDescent="0.35">
      <c r="A55" t="s">
        <v>72</v>
      </c>
      <c r="B55" t="s">
        <v>754</v>
      </c>
      <c r="C55">
        <v>6489</v>
      </c>
      <c r="D55">
        <v>5544</v>
      </c>
      <c r="E55">
        <f>Table2[[#This Row],[Due_Amount]]-Table2[[#This Row],[Paid_Amount]]</f>
        <v>945</v>
      </c>
      <c r="F55" s="1">
        <v>45676</v>
      </c>
      <c r="G55">
        <v>24</v>
      </c>
      <c r="H55">
        <f>Table2[[#This Row],[Due_Amount]]*Table2[[#This Row],[Delay_Days]]</f>
        <v>155736</v>
      </c>
      <c r="I55" s="3" t="str">
        <f>IF(Table2[[#This Row],[Delay_Days]]=0,"On Time",IF(Table2[[#This Row],[Delay_Days]]&lt;=7,"Low Risk(1-7)",IF(Table2[[#This Row],[Delay_Days]]&lt;=15,"Medium Risk(8-15)",IF(Table2[[#This Row],[Delay_Days]]&lt;=30,"High Risk(16-30)","Severe Risk(30+)"))))</f>
        <v>High Risk(16-30)</v>
      </c>
      <c r="J55" s="5">
        <f>AVERAGE(Table2[Due_Amount])</f>
        <v>4635.1866666666665</v>
      </c>
      <c r="K55" s="5">
        <f>Table2[[#This Row],[Estimated_Market_Rent]]-Table2[[#This Row],[Due_Amount]]</f>
        <v>-1853.8133333333335</v>
      </c>
      <c r="L55" s="6">
        <f>IF(Table2[[#This Row],[Current Rent Gap]]&gt;0,Table2[[#This Row],[Current Rent Gap]]/Table2[[#This Row],[Estimated_Market_Rent]],0)</f>
        <v>0</v>
      </c>
      <c r="M55" s="3" t="str">
        <f>IF(Table2[[#This Row],[Under_Market %]]&gt;0.1,"Underpriced","OK")</f>
        <v>OK</v>
      </c>
      <c r="N55" s="5">
        <f>SUMIFS(Table2[[#This Row],[Current Rent Gap]],Table2[[#This Row],[Current Rent Gap]],"&gt;0")</f>
        <v>0</v>
      </c>
    </row>
    <row r="56" spans="1:14" x14ac:dyDescent="0.35">
      <c r="A56" t="s">
        <v>495</v>
      </c>
      <c r="B56" t="s">
        <v>754</v>
      </c>
      <c r="C56">
        <v>4467</v>
      </c>
      <c r="D56">
        <v>4419</v>
      </c>
      <c r="E56">
        <f>Table2[[#This Row],[Due_Amount]]-Table2[[#This Row],[Paid_Amount]]</f>
        <v>48</v>
      </c>
      <c r="F56" s="1">
        <v>45798</v>
      </c>
      <c r="G56">
        <v>12</v>
      </c>
      <c r="H56">
        <f>Table2[[#This Row],[Due_Amount]]*Table2[[#This Row],[Delay_Days]]</f>
        <v>53604</v>
      </c>
      <c r="I56" s="3" t="str">
        <f>IF(Table2[[#This Row],[Delay_Days]]=0,"On Time",IF(Table2[[#This Row],[Delay_Days]]&lt;=7,"Low Risk(1-7)",IF(Table2[[#This Row],[Delay_Days]]&lt;=15,"Medium Risk(8-15)",IF(Table2[[#This Row],[Delay_Days]]&lt;=30,"High Risk(16-30)","Severe Risk(30+)"))))</f>
        <v>Medium Risk(8-15)</v>
      </c>
      <c r="J56" s="5">
        <f>AVERAGE(Table2[Due_Amount])</f>
        <v>4635.1866666666665</v>
      </c>
      <c r="K56" s="5">
        <f>Table2[[#This Row],[Estimated_Market_Rent]]-Table2[[#This Row],[Due_Amount]]</f>
        <v>168.1866666666665</v>
      </c>
      <c r="L56" s="6">
        <f>IF(Table2[[#This Row],[Current Rent Gap]]&gt;0,Table2[[#This Row],[Current Rent Gap]]/Table2[[#This Row],[Estimated_Market_Rent]],0)</f>
        <v>3.6284766668871982E-2</v>
      </c>
      <c r="M56" s="3" t="str">
        <f>IF(Table2[[#This Row],[Under_Market %]]&gt;0.1,"Underpriced","OK")</f>
        <v>OK</v>
      </c>
      <c r="N56" s="5">
        <f>SUMIFS(Table2[[#This Row],[Current Rent Gap]],Table2[[#This Row],[Current Rent Gap]],"&gt;0")</f>
        <v>168.1866666666665</v>
      </c>
    </row>
    <row r="57" spans="1:14" x14ac:dyDescent="0.35">
      <c r="A57" t="s">
        <v>245</v>
      </c>
      <c r="B57" t="s">
        <v>746</v>
      </c>
      <c r="C57">
        <v>5991</v>
      </c>
      <c r="D57">
        <v>5368</v>
      </c>
      <c r="E57">
        <f>Table2[[#This Row],[Due_Amount]]-Table2[[#This Row],[Paid_Amount]]</f>
        <v>623</v>
      </c>
      <c r="F57" s="1">
        <v>45769</v>
      </c>
      <c r="G57">
        <v>24</v>
      </c>
      <c r="H57">
        <f>Table2[[#This Row],[Due_Amount]]*Table2[[#This Row],[Delay_Days]]</f>
        <v>143784</v>
      </c>
      <c r="I57" s="3" t="str">
        <f>IF(Table2[[#This Row],[Delay_Days]]=0,"On Time",IF(Table2[[#This Row],[Delay_Days]]&lt;=7,"Low Risk(1-7)",IF(Table2[[#This Row],[Delay_Days]]&lt;=15,"Medium Risk(8-15)",IF(Table2[[#This Row],[Delay_Days]]&lt;=30,"High Risk(16-30)","Severe Risk(30+)"))))</f>
        <v>High Risk(16-30)</v>
      </c>
      <c r="J57" s="5">
        <f>AVERAGE(Table2[Due_Amount])</f>
        <v>4635.1866666666665</v>
      </c>
      <c r="K57" s="5">
        <f>Table2[[#This Row],[Estimated_Market_Rent]]-Table2[[#This Row],[Due_Amount]]</f>
        <v>-1355.8133333333335</v>
      </c>
      <c r="L57" s="6">
        <f>IF(Table2[[#This Row],[Current Rent Gap]]&gt;0,Table2[[#This Row],[Current Rent Gap]]/Table2[[#This Row],[Estimated_Market_Rent]],0)</f>
        <v>0</v>
      </c>
      <c r="M57" s="3" t="str">
        <f>IF(Table2[[#This Row],[Under_Market %]]&gt;0.1,"Underpriced","OK")</f>
        <v>OK</v>
      </c>
      <c r="N57" s="5">
        <f>SUMIFS(Table2[[#This Row],[Current Rent Gap]],Table2[[#This Row],[Current Rent Gap]],"&gt;0")</f>
        <v>0</v>
      </c>
    </row>
    <row r="58" spans="1:14" x14ac:dyDescent="0.35">
      <c r="A58" t="s">
        <v>502</v>
      </c>
      <c r="B58" t="s">
        <v>750</v>
      </c>
      <c r="C58">
        <v>4192</v>
      </c>
      <c r="D58">
        <v>4192</v>
      </c>
      <c r="E58">
        <f>Table2[[#This Row],[Due_Amount]]-Table2[[#This Row],[Paid_Amount]]</f>
        <v>0</v>
      </c>
      <c r="F58" s="1">
        <v>45897</v>
      </c>
      <c r="G58">
        <v>2</v>
      </c>
      <c r="H58">
        <f>Table2[[#This Row],[Due_Amount]]*Table2[[#This Row],[Delay_Days]]</f>
        <v>8384</v>
      </c>
      <c r="I58" s="3" t="str">
        <f>IF(Table2[[#This Row],[Delay_Days]]=0,"On Time",IF(Table2[[#This Row],[Delay_Days]]&lt;=7,"Low Risk(1-7)",IF(Table2[[#This Row],[Delay_Days]]&lt;=15,"Medium Risk(8-15)",IF(Table2[[#This Row],[Delay_Days]]&lt;=30,"High Risk(16-30)","Severe Risk(30+)"))))</f>
        <v>Low Risk(1-7)</v>
      </c>
      <c r="J58" s="5">
        <f>AVERAGE(Table2[Due_Amount])</f>
        <v>4635.1866666666665</v>
      </c>
      <c r="K58" s="5">
        <f>Table2[[#This Row],[Estimated_Market_Rent]]-Table2[[#This Row],[Due_Amount]]</f>
        <v>443.1866666666665</v>
      </c>
      <c r="L58" s="6">
        <f>IF(Table2[[#This Row],[Current Rent Gap]]&gt;0,Table2[[#This Row],[Current Rent Gap]]/Table2[[#This Row],[Estimated_Market_Rent]],0)</f>
        <v>9.5613553139895086E-2</v>
      </c>
      <c r="M58" s="3" t="str">
        <f>IF(Table2[[#This Row],[Under_Market %]]&gt;0.1,"Underpriced","OK")</f>
        <v>OK</v>
      </c>
      <c r="N58" s="5">
        <f>SUMIFS(Table2[[#This Row],[Current Rent Gap]],Table2[[#This Row],[Current Rent Gap]],"&gt;0")</f>
        <v>443.1866666666665</v>
      </c>
    </row>
    <row r="59" spans="1:14" x14ac:dyDescent="0.35">
      <c r="A59" t="s">
        <v>686</v>
      </c>
      <c r="B59" t="s">
        <v>753</v>
      </c>
      <c r="C59">
        <v>2586</v>
      </c>
      <c r="D59">
        <v>2586</v>
      </c>
      <c r="E59">
        <f>Table2[[#This Row],[Due_Amount]]-Table2[[#This Row],[Paid_Amount]]</f>
        <v>0</v>
      </c>
      <c r="F59" s="1">
        <v>45918</v>
      </c>
      <c r="G59">
        <v>1</v>
      </c>
      <c r="H59">
        <f>Table2[[#This Row],[Due_Amount]]*Table2[[#This Row],[Delay_Days]]</f>
        <v>2586</v>
      </c>
      <c r="I59" s="3" t="str">
        <f>IF(Table2[[#This Row],[Delay_Days]]=0,"On Time",IF(Table2[[#This Row],[Delay_Days]]&lt;=7,"Low Risk(1-7)",IF(Table2[[#This Row],[Delay_Days]]&lt;=15,"Medium Risk(8-15)",IF(Table2[[#This Row],[Delay_Days]]&lt;=30,"High Risk(16-30)","Severe Risk(30+)"))))</f>
        <v>Low Risk(1-7)</v>
      </c>
      <c r="J59" s="5">
        <f>AVERAGE(Table2[Due_Amount])</f>
        <v>4635.1866666666665</v>
      </c>
      <c r="K59" s="5">
        <f>Table2[[#This Row],[Estimated_Market_Rent]]-Table2[[#This Row],[Due_Amount]]</f>
        <v>2049.1866666666665</v>
      </c>
      <c r="L59" s="6">
        <f>IF(Table2[[#This Row],[Current Rent Gap]]&gt;0,Table2[[#This Row],[Current Rent Gap]]/Table2[[#This Row],[Estimated_Market_Rent]],0)</f>
        <v>0.44209366613067003</v>
      </c>
      <c r="M59" s="3" t="str">
        <f>IF(Table2[[#This Row],[Under_Market %]]&gt;0.1,"Underpriced","OK")</f>
        <v>Underpriced</v>
      </c>
      <c r="N59" s="5">
        <f>SUMIFS(Table2[[#This Row],[Current Rent Gap]],Table2[[#This Row],[Current Rent Gap]],"&gt;0")</f>
        <v>2049.1866666666665</v>
      </c>
    </row>
    <row r="60" spans="1:14" x14ac:dyDescent="0.35">
      <c r="A60" t="s">
        <v>19</v>
      </c>
      <c r="B60" t="s">
        <v>749</v>
      </c>
      <c r="C60">
        <v>5799</v>
      </c>
      <c r="D60">
        <v>5799</v>
      </c>
      <c r="E60">
        <f>Table2[[#This Row],[Due_Amount]]-Table2[[#This Row],[Paid_Amount]]</f>
        <v>0</v>
      </c>
      <c r="F60" s="1">
        <v>45857</v>
      </c>
      <c r="G60">
        <v>7</v>
      </c>
      <c r="H60">
        <f>Table2[[#This Row],[Due_Amount]]*Table2[[#This Row],[Delay_Days]]</f>
        <v>40593</v>
      </c>
      <c r="I60" s="3" t="str">
        <f>IF(Table2[[#This Row],[Delay_Days]]=0,"On Time",IF(Table2[[#This Row],[Delay_Days]]&lt;=7,"Low Risk(1-7)",IF(Table2[[#This Row],[Delay_Days]]&lt;=15,"Medium Risk(8-15)",IF(Table2[[#This Row],[Delay_Days]]&lt;=30,"High Risk(16-30)","Severe Risk(30+)"))))</f>
        <v>Low Risk(1-7)</v>
      </c>
      <c r="J60" s="5">
        <f>AVERAGE(Table2[Due_Amount])</f>
        <v>4635.1866666666665</v>
      </c>
      <c r="K60" s="5">
        <f>Table2[[#This Row],[Estimated_Market_Rent]]-Table2[[#This Row],[Due_Amount]]</f>
        <v>-1163.8133333333335</v>
      </c>
      <c r="L60" s="6">
        <f>IF(Table2[[#This Row],[Current Rent Gap]]&gt;0,Table2[[#This Row],[Current Rent Gap]]/Table2[[#This Row],[Estimated_Market_Rent]],0)</f>
        <v>0</v>
      </c>
      <c r="M60" s="3" t="str">
        <f>IF(Table2[[#This Row],[Under_Market %]]&gt;0.1,"Underpriced","OK")</f>
        <v>OK</v>
      </c>
      <c r="N60" s="5">
        <f>SUMIFS(Table2[[#This Row],[Current Rent Gap]],Table2[[#This Row],[Current Rent Gap]],"&gt;0")</f>
        <v>0</v>
      </c>
    </row>
    <row r="61" spans="1:14" x14ac:dyDescent="0.35">
      <c r="A61" t="s">
        <v>519</v>
      </c>
      <c r="B61" t="s">
        <v>743</v>
      </c>
      <c r="C61">
        <v>4885</v>
      </c>
      <c r="D61">
        <v>3981</v>
      </c>
      <c r="E61">
        <f>Table2[[#This Row],[Due_Amount]]-Table2[[#This Row],[Paid_Amount]]</f>
        <v>904</v>
      </c>
      <c r="F61" s="1">
        <v>45967</v>
      </c>
      <c r="G61">
        <v>20</v>
      </c>
      <c r="H61">
        <f>Table2[[#This Row],[Due_Amount]]*Table2[[#This Row],[Delay_Days]]</f>
        <v>97700</v>
      </c>
      <c r="I61" s="3" t="str">
        <f>IF(Table2[[#This Row],[Delay_Days]]=0,"On Time",IF(Table2[[#This Row],[Delay_Days]]&lt;=7,"Low Risk(1-7)",IF(Table2[[#This Row],[Delay_Days]]&lt;=15,"Medium Risk(8-15)",IF(Table2[[#This Row],[Delay_Days]]&lt;=30,"High Risk(16-30)","Severe Risk(30+)"))))</f>
        <v>High Risk(16-30)</v>
      </c>
      <c r="J61" s="5">
        <f>AVERAGE(Table2[Due_Amount])</f>
        <v>4635.1866666666665</v>
      </c>
      <c r="K61" s="5">
        <f>Table2[[#This Row],[Estimated_Market_Rent]]-Table2[[#This Row],[Due_Amount]]</f>
        <v>-249.8133333333335</v>
      </c>
      <c r="L61" s="6">
        <f>IF(Table2[[#This Row],[Current Rent Gap]]&gt;0,Table2[[#This Row],[Current Rent Gap]]/Table2[[#This Row],[Estimated_Market_Rent]],0)</f>
        <v>0</v>
      </c>
      <c r="M61" s="3" t="str">
        <f>IF(Table2[[#This Row],[Under_Market %]]&gt;0.1,"Underpriced","OK")</f>
        <v>OK</v>
      </c>
      <c r="N61" s="5">
        <f>SUMIFS(Table2[[#This Row],[Current Rent Gap]],Table2[[#This Row],[Current Rent Gap]],"&gt;0")</f>
        <v>0</v>
      </c>
    </row>
    <row r="62" spans="1:14" x14ac:dyDescent="0.35">
      <c r="A62" t="s">
        <v>433</v>
      </c>
      <c r="B62" t="s">
        <v>746</v>
      </c>
      <c r="C62">
        <v>5572</v>
      </c>
      <c r="D62">
        <v>5572</v>
      </c>
      <c r="E62">
        <f>Table2[[#This Row],[Due_Amount]]-Table2[[#This Row],[Paid_Amount]]</f>
        <v>0</v>
      </c>
      <c r="F62" s="1">
        <v>45767</v>
      </c>
      <c r="G62">
        <v>9</v>
      </c>
      <c r="H62">
        <f>Table2[[#This Row],[Due_Amount]]*Table2[[#This Row],[Delay_Days]]</f>
        <v>50148</v>
      </c>
      <c r="I62" s="3" t="str">
        <f>IF(Table2[[#This Row],[Delay_Days]]=0,"On Time",IF(Table2[[#This Row],[Delay_Days]]&lt;=7,"Low Risk(1-7)",IF(Table2[[#This Row],[Delay_Days]]&lt;=15,"Medium Risk(8-15)",IF(Table2[[#This Row],[Delay_Days]]&lt;=30,"High Risk(16-30)","Severe Risk(30+)"))))</f>
        <v>Medium Risk(8-15)</v>
      </c>
      <c r="J62" s="5">
        <f>AVERAGE(Table2[Due_Amount])</f>
        <v>4635.1866666666665</v>
      </c>
      <c r="K62" s="5">
        <f>Table2[[#This Row],[Estimated_Market_Rent]]-Table2[[#This Row],[Due_Amount]]</f>
        <v>-936.8133333333335</v>
      </c>
      <c r="L62" s="6">
        <f>IF(Table2[[#This Row],[Current Rent Gap]]&gt;0,Table2[[#This Row],[Current Rent Gap]]/Table2[[#This Row],[Estimated_Market_Rent]],0)</f>
        <v>0</v>
      </c>
      <c r="M62" s="3" t="str">
        <f>IF(Table2[[#This Row],[Under_Market %]]&gt;0.1,"Underpriced","OK")</f>
        <v>OK</v>
      </c>
      <c r="N62" s="5">
        <f>SUMIFS(Table2[[#This Row],[Current Rent Gap]],Table2[[#This Row],[Current Rent Gap]],"&gt;0")</f>
        <v>0</v>
      </c>
    </row>
    <row r="63" spans="1:14" x14ac:dyDescent="0.35">
      <c r="A63" t="s">
        <v>211</v>
      </c>
      <c r="B63" t="s">
        <v>752</v>
      </c>
      <c r="C63">
        <v>4599</v>
      </c>
      <c r="D63">
        <v>4516</v>
      </c>
      <c r="E63">
        <f>Table2[[#This Row],[Due_Amount]]-Table2[[#This Row],[Paid_Amount]]</f>
        <v>83</v>
      </c>
      <c r="F63" s="1">
        <v>45854</v>
      </c>
      <c r="G63">
        <v>21</v>
      </c>
      <c r="H63">
        <f>Table2[[#This Row],[Due_Amount]]*Table2[[#This Row],[Delay_Days]]</f>
        <v>96579</v>
      </c>
      <c r="I63" s="3" t="str">
        <f>IF(Table2[[#This Row],[Delay_Days]]=0,"On Time",IF(Table2[[#This Row],[Delay_Days]]&lt;=7,"Low Risk(1-7)",IF(Table2[[#This Row],[Delay_Days]]&lt;=15,"Medium Risk(8-15)",IF(Table2[[#This Row],[Delay_Days]]&lt;=30,"High Risk(16-30)","Severe Risk(30+)"))))</f>
        <v>High Risk(16-30)</v>
      </c>
      <c r="J63" s="5">
        <f>AVERAGE(Table2[Due_Amount])</f>
        <v>4635.1866666666665</v>
      </c>
      <c r="K63" s="5">
        <f>Table2[[#This Row],[Estimated_Market_Rent]]-Table2[[#This Row],[Due_Amount]]</f>
        <v>36.186666666666497</v>
      </c>
      <c r="L63" s="6">
        <f>IF(Table2[[#This Row],[Current Rent Gap]]&gt;0,Table2[[#This Row],[Current Rent Gap]]/Table2[[#This Row],[Estimated_Market_Rent]],0)</f>
        <v>7.8069491627808943E-3</v>
      </c>
      <c r="M63" s="3" t="str">
        <f>IF(Table2[[#This Row],[Under_Market %]]&gt;0.1,"Underpriced","OK")</f>
        <v>OK</v>
      </c>
      <c r="N63" s="5">
        <f>SUMIFS(Table2[[#This Row],[Current Rent Gap]],Table2[[#This Row],[Current Rent Gap]],"&gt;0")</f>
        <v>36.186666666666497</v>
      </c>
    </row>
    <row r="64" spans="1:14" x14ac:dyDescent="0.35">
      <c r="A64" t="s">
        <v>164</v>
      </c>
      <c r="B64" t="s">
        <v>745</v>
      </c>
      <c r="C64">
        <v>6791</v>
      </c>
      <c r="D64">
        <v>6317</v>
      </c>
      <c r="E64">
        <f>Table2[[#This Row],[Due_Amount]]-Table2[[#This Row],[Paid_Amount]]</f>
        <v>474</v>
      </c>
      <c r="F64" s="1">
        <v>45906</v>
      </c>
      <c r="G64">
        <v>12</v>
      </c>
      <c r="H64">
        <f>Table2[[#This Row],[Due_Amount]]*Table2[[#This Row],[Delay_Days]]</f>
        <v>81492</v>
      </c>
      <c r="I64" s="3" t="str">
        <f>IF(Table2[[#This Row],[Delay_Days]]=0,"On Time",IF(Table2[[#This Row],[Delay_Days]]&lt;=7,"Low Risk(1-7)",IF(Table2[[#This Row],[Delay_Days]]&lt;=15,"Medium Risk(8-15)",IF(Table2[[#This Row],[Delay_Days]]&lt;=30,"High Risk(16-30)","Severe Risk(30+)"))))</f>
        <v>Medium Risk(8-15)</v>
      </c>
      <c r="J64" s="5">
        <f>AVERAGE(Table2[Due_Amount])</f>
        <v>4635.1866666666665</v>
      </c>
      <c r="K64" s="5">
        <f>Table2[[#This Row],[Estimated_Market_Rent]]-Table2[[#This Row],[Due_Amount]]</f>
        <v>-2155.8133333333335</v>
      </c>
      <c r="L64" s="6">
        <f>IF(Table2[[#This Row],[Current Rent Gap]]&gt;0,Table2[[#This Row],[Current Rent Gap]]/Table2[[#This Row],[Estimated_Market_Rent]],0)</f>
        <v>0</v>
      </c>
      <c r="M64" s="3" t="str">
        <f>IF(Table2[[#This Row],[Under_Market %]]&gt;0.1,"Underpriced","OK")</f>
        <v>OK</v>
      </c>
      <c r="N64" s="5">
        <f>SUMIFS(Table2[[#This Row],[Current Rent Gap]],Table2[[#This Row],[Current Rent Gap]],"&gt;0")</f>
        <v>0</v>
      </c>
    </row>
    <row r="65" spans="1:14" x14ac:dyDescent="0.35">
      <c r="A65" t="s">
        <v>457</v>
      </c>
      <c r="B65" t="s">
        <v>751</v>
      </c>
      <c r="C65">
        <v>4225</v>
      </c>
      <c r="D65">
        <v>4068</v>
      </c>
      <c r="E65">
        <f>Table2[[#This Row],[Due_Amount]]-Table2[[#This Row],[Paid_Amount]]</f>
        <v>157</v>
      </c>
      <c r="F65" s="1">
        <v>46002</v>
      </c>
      <c r="G65">
        <v>19</v>
      </c>
      <c r="H65">
        <f>Table2[[#This Row],[Due_Amount]]*Table2[[#This Row],[Delay_Days]]</f>
        <v>80275</v>
      </c>
      <c r="I65" s="3" t="str">
        <f>IF(Table2[[#This Row],[Delay_Days]]=0,"On Time",IF(Table2[[#This Row],[Delay_Days]]&lt;=7,"Low Risk(1-7)",IF(Table2[[#This Row],[Delay_Days]]&lt;=15,"Medium Risk(8-15)",IF(Table2[[#This Row],[Delay_Days]]&lt;=30,"High Risk(16-30)","Severe Risk(30+)"))))</f>
        <v>High Risk(16-30)</v>
      </c>
      <c r="J65" s="5">
        <f>AVERAGE(Table2[Due_Amount])</f>
        <v>4635.1866666666665</v>
      </c>
      <c r="K65" s="5">
        <f>Table2[[#This Row],[Estimated_Market_Rent]]-Table2[[#This Row],[Due_Amount]]</f>
        <v>410.1866666666665</v>
      </c>
      <c r="L65" s="6">
        <f>IF(Table2[[#This Row],[Current Rent Gap]]&gt;0,Table2[[#This Row],[Current Rent Gap]]/Table2[[#This Row],[Estimated_Market_Rent]],0)</f>
        <v>8.8494098763372317E-2</v>
      </c>
      <c r="M65" s="3" t="str">
        <f>IF(Table2[[#This Row],[Under_Market %]]&gt;0.1,"Underpriced","OK")</f>
        <v>OK</v>
      </c>
      <c r="N65" s="5">
        <f>SUMIFS(Table2[[#This Row],[Current Rent Gap]],Table2[[#This Row],[Current Rent Gap]],"&gt;0")</f>
        <v>410.1866666666665</v>
      </c>
    </row>
    <row r="66" spans="1:14" x14ac:dyDescent="0.35">
      <c r="A66" t="s">
        <v>262</v>
      </c>
      <c r="B66" t="s">
        <v>751</v>
      </c>
      <c r="C66">
        <v>6844</v>
      </c>
      <c r="D66">
        <v>6762</v>
      </c>
      <c r="E66">
        <f>Table2[[#This Row],[Due_Amount]]-Table2[[#This Row],[Paid_Amount]]</f>
        <v>82</v>
      </c>
      <c r="F66" s="1">
        <v>46016</v>
      </c>
      <c r="G66">
        <v>12</v>
      </c>
      <c r="H66">
        <f>Table2[[#This Row],[Due_Amount]]*Table2[[#This Row],[Delay_Days]]</f>
        <v>82128</v>
      </c>
      <c r="I66" s="3" t="str">
        <f>IF(Table2[[#This Row],[Delay_Days]]=0,"On Time",IF(Table2[[#This Row],[Delay_Days]]&lt;=7,"Low Risk(1-7)",IF(Table2[[#This Row],[Delay_Days]]&lt;=15,"Medium Risk(8-15)",IF(Table2[[#This Row],[Delay_Days]]&lt;=30,"High Risk(16-30)","Severe Risk(30+)"))))</f>
        <v>Medium Risk(8-15)</v>
      </c>
      <c r="J66" s="5">
        <f>AVERAGE(Table2[Due_Amount])</f>
        <v>4635.1866666666665</v>
      </c>
      <c r="K66" s="5">
        <f>Table2[[#This Row],[Estimated_Market_Rent]]-Table2[[#This Row],[Due_Amount]]</f>
        <v>-2208.8133333333335</v>
      </c>
      <c r="L66" s="6">
        <f>IF(Table2[[#This Row],[Current Rent Gap]]&gt;0,Table2[[#This Row],[Current Rent Gap]]/Table2[[#This Row],[Estimated_Market_Rent]],0)</f>
        <v>0</v>
      </c>
      <c r="M66" s="3" t="str">
        <f>IF(Table2[[#This Row],[Under_Market %]]&gt;0.1,"Underpriced","OK")</f>
        <v>OK</v>
      </c>
      <c r="N66" s="5">
        <f>SUMIFS(Table2[[#This Row],[Current Rent Gap]],Table2[[#This Row],[Current Rent Gap]],"&gt;0")</f>
        <v>0</v>
      </c>
    </row>
    <row r="67" spans="1:14" x14ac:dyDescent="0.35">
      <c r="A67" t="s">
        <v>352</v>
      </c>
      <c r="B67" t="s">
        <v>750</v>
      </c>
      <c r="C67">
        <v>5669</v>
      </c>
      <c r="D67">
        <v>5660</v>
      </c>
      <c r="E67">
        <f>Table2[[#This Row],[Due_Amount]]-Table2[[#This Row],[Paid_Amount]]</f>
        <v>9</v>
      </c>
      <c r="F67" s="1">
        <v>45955</v>
      </c>
      <c r="G67">
        <v>17</v>
      </c>
      <c r="H67">
        <f>Table2[[#This Row],[Due_Amount]]*Table2[[#This Row],[Delay_Days]]</f>
        <v>96373</v>
      </c>
      <c r="I67" s="3" t="str">
        <f>IF(Table2[[#This Row],[Delay_Days]]=0,"On Time",IF(Table2[[#This Row],[Delay_Days]]&lt;=7,"Low Risk(1-7)",IF(Table2[[#This Row],[Delay_Days]]&lt;=15,"Medium Risk(8-15)",IF(Table2[[#This Row],[Delay_Days]]&lt;=30,"High Risk(16-30)","Severe Risk(30+)"))))</f>
        <v>High Risk(16-30)</v>
      </c>
      <c r="J67" s="5">
        <f>AVERAGE(Table2[Due_Amount])</f>
        <v>4635.1866666666665</v>
      </c>
      <c r="K67" s="5">
        <f>Table2[[#This Row],[Estimated_Market_Rent]]-Table2[[#This Row],[Due_Amount]]</f>
        <v>-1033.8133333333335</v>
      </c>
      <c r="L67" s="6">
        <f>IF(Table2[[#This Row],[Current Rent Gap]]&gt;0,Table2[[#This Row],[Current Rent Gap]]/Table2[[#This Row],[Estimated_Market_Rent]],0)</f>
        <v>0</v>
      </c>
      <c r="M67" s="3" t="str">
        <f>IF(Table2[[#This Row],[Under_Market %]]&gt;0.1,"Underpriced","OK")</f>
        <v>OK</v>
      </c>
      <c r="N67" s="5">
        <f>SUMIFS(Table2[[#This Row],[Current Rent Gap]],Table2[[#This Row],[Current Rent Gap]],"&gt;0")</f>
        <v>0</v>
      </c>
    </row>
    <row r="68" spans="1:14" x14ac:dyDescent="0.35">
      <c r="A68" t="s">
        <v>214</v>
      </c>
      <c r="B68" t="s">
        <v>751</v>
      </c>
      <c r="C68">
        <v>4554</v>
      </c>
      <c r="D68">
        <v>4554</v>
      </c>
      <c r="E68">
        <f>Table2[[#This Row],[Due_Amount]]-Table2[[#This Row],[Paid_Amount]]</f>
        <v>0</v>
      </c>
      <c r="F68" s="1">
        <v>45796</v>
      </c>
      <c r="G68">
        <v>6</v>
      </c>
      <c r="H68">
        <f>Table2[[#This Row],[Due_Amount]]*Table2[[#This Row],[Delay_Days]]</f>
        <v>27324</v>
      </c>
      <c r="I68" s="3" t="str">
        <f>IF(Table2[[#This Row],[Delay_Days]]=0,"On Time",IF(Table2[[#This Row],[Delay_Days]]&lt;=7,"Low Risk(1-7)",IF(Table2[[#This Row],[Delay_Days]]&lt;=15,"Medium Risk(8-15)",IF(Table2[[#This Row],[Delay_Days]]&lt;=30,"High Risk(16-30)","Severe Risk(30+)"))))</f>
        <v>Low Risk(1-7)</v>
      </c>
      <c r="J68" s="5">
        <f>AVERAGE(Table2[Due_Amount])</f>
        <v>4635.1866666666665</v>
      </c>
      <c r="K68" s="5">
        <f>Table2[[#This Row],[Estimated_Market_Rent]]-Table2[[#This Row],[Due_Amount]]</f>
        <v>81.186666666666497</v>
      </c>
      <c r="L68" s="6">
        <f>IF(Table2[[#This Row],[Current Rent Gap]]&gt;0,Table2[[#This Row],[Current Rent Gap]]/Table2[[#This Row],[Estimated_Market_Rent]],0)</f>
        <v>1.7515296039857402E-2</v>
      </c>
      <c r="M68" s="3" t="str">
        <f>IF(Table2[[#This Row],[Under_Market %]]&gt;0.1,"Underpriced","OK")</f>
        <v>OK</v>
      </c>
      <c r="N68" s="5">
        <f>SUMIFS(Table2[[#This Row],[Current Rent Gap]],Table2[[#This Row],[Current Rent Gap]],"&gt;0")</f>
        <v>81.186666666666497</v>
      </c>
    </row>
    <row r="69" spans="1:14" x14ac:dyDescent="0.35">
      <c r="A69" t="s">
        <v>478</v>
      </c>
      <c r="B69" t="s">
        <v>744</v>
      </c>
      <c r="C69">
        <v>4752</v>
      </c>
      <c r="D69">
        <v>4752</v>
      </c>
      <c r="E69">
        <f>Table2[[#This Row],[Due_Amount]]-Table2[[#This Row],[Paid_Amount]]</f>
        <v>0</v>
      </c>
      <c r="F69" s="1">
        <v>45702</v>
      </c>
      <c r="G69">
        <v>4</v>
      </c>
      <c r="H69">
        <f>Table2[[#This Row],[Due_Amount]]*Table2[[#This Row],[Delay_Days]]</f>
        <v>19008</v>
      </c>
      <c r="I69" s="3" t="str">
        <f>IF(Table2[[#This Row],[Delay_Days]]=0,"On Time",IF(Table2[[#This Row],[Delay_Days]]&lt;=7,"Low Risk(1-7)",IF(Table2[[#This Row],[Delay_Days]]&lt;=15,"Medium Risk(8-15)",IF(Table2[[#This Row],[Delay_Days]]&lt;=30,"High Risk(16-30)","Severe Risk(30+)"))))</f>
        <v>Low Risk(1-7)</v>
      </c>
      <c r="J69" s="5">
        <f>AVERAGE(Table2[Due_Amount])</f>
        <v>4635.1866666666665</v>
      </c>
      <c r="K69" s="5">
        <f>Table2[[#This Row],[Estimated_Market_Rent]]-Table2[[#This Row],[Due_Amount]]</f>
        <v>-116.8133333333335</v>
      </c>
      <c r="L69" s="6">
        <f>IF(Table2[[#This Row],[Current Rent Gap]]&gt;0,Table2[[#This Row],[Current Rent Gap]]/Table2[[#This Row],[Estimated_Market_Rent]],0)</f>
        <v>0</v>
      </c>
      <c r="M69" s="3" t="str">
        <f>IF(Table2[[#This Row],[Under_Market %]]&gt;0.1,"Underpriced","OK")</f>
        <v>OK</v>
      </c>
      <c r="N69" s="5">
        <f>SUMIFS(Table2[[#This Row],[Current Rent Gap]],Table2[[#This Row],[Current Rent Gap]],"&gt;0")</f>
        <v>0</v>
      </c>
    </row>
    <row r="70" spans="1:14" x14ac:dyDescent="0.35">
      <c r="A70" t="s">
        <v>654</v>
      </c>
      <c r="B70" t="s">
        <v>748</v>
      </c>
      <c r="C70">
        <v>6709</v>
      </c>
      <c r="D70">
        <v>6613</v>
      </c>
      <c r="E70">
        <f>Table2[[#This Row],[Due_Amount]]-Table2[[#This Row],[Paid_Amount]]</f>
        <v>96</v>
      </c>
      <c r="F70" s="1">
        <v>45919</v>
      </c>
      <c r="G70">
        <v>23</v>
      </c>
      <c r="H70">
        <f>Table2[[#This Row],[Due_Amount]]*Table2[[#This Row],[Delay_Days]]</f>
        <v>154307</v>
      </c>
      <c r="I70" s="3" t="str">
        <f>IF(Table2[[#This Row],[Delay_Days]]=0,"On Time",IF(Table2[[#This Row],[Delay_Days]]&lt;=7,"Low Risk(1-7)",IF(Table2[[#This Row],[Delay_Days]]&lt;=15,"Medium Risk(8-15)",IF(Table2[[#This Row],[Delay_Days]]&lt;=30,"High Risk(16-30)","Severe Risk(30+)"))))</f>
        <v>High Risk(16-30)</v>
      </c>
      <c r="J70" s="5">
        <f>AVERAGE(Table2[Due_Amount])</f>
        <v>4635.1866666666665</v>
      </c>
      <c r="K70" s="5">
        <f>Table2[[#This Row],[Estimated_Market_Rent]]-Table2[[#This Row],[Due_Amount]]</f>
        <v>-2073.8133333333335</v>
      </c>
      <c r="L70" s="6">
        <f>IF(Table2[[#This Row],[Current Rent Gap]]&gt;0,Table2[[#This Row],[Current Rent Gap]]/Table2[[#This Row],[Estimated_Market_Rent]],0)</f>
        <v>0</v>
      </c>
      <c r="M70" s="3" t="str">
        <f>IF(Table2[[#This Row],[Under_Market %]]&gt;0.1,"Underpriced","OK")</f>
        <v>OK</v>
      </c>
      <c r="N70" s="5">
        <f>SUMIFS(Table2[[#This Row],[Current Rent Gap]],Table2[[#This Row],[Current Rent Gap]],"&gt;0")</f>
        <v>0</v>
      </c>
    </row>
    <row r="71" spans="1:14" x14ac:dyDescent="0.35">
      <c r="A71" t="s">
        <v>561</v>
      </c>
      <c r="B71" t="s">
        <v>752</v>
      </c>
      <c r="C71">
        <v>4971</v>
      </c>
      <c r="D71">
        <v>4917</v>
      </c>
      <c r="E71">
        <f>Table2[[#This Row],[Due_Amount]]-Table2[[#This Row],[Paid_Amount]]</f>
        <v>54</v>
      </c>
      <c r="F71" s="1">
        <v>45712</v>
      </c>
      <c r="G71">
        <v>18</v>
      </c>
      <c r="H71">
        <f>Table2[[#This Row],[Due_Amount]]*Table2[[#This Row],[Delay_Days]]</f>
        <v>89478</v>
      </c>
      <c r="I71" s="3" t="str">
        <f>IF(Table2[[#This Row],[Delay_Days]]=0,"On Time",IF(Table2[[#This Row],[Delay_Days]]&lt;=7,"Low Risk(1-7)",IF(Table2[[#This Row],[Delay_Days]]&lt;=15,"Medium Risk(8-15)",IF(Table2[[#This Row],[Delay_Days]]&lt;=30,"High Risk(16-30)","Severe Risk(30+)"))))</f>
        <v>High Risk(16-30)</v>
      </c>
      <c r="J71" s="5">
        <f>AVERAGE(Table2[Due_Amount])</f>
        <v>4635.1866666666665</v>
      </c>
      <c r="K71" s="5">
        <f>Table2[[#This Row],[Estimated_Market_Rent]]-Table2[[#This Row],[Due_Amount]]</f>
        <v>-335.8133333333335</v>
      </c>
      <c r="L71" s="6">
        <f>IF(Table2[[#This Row],[Current Rent Gap]]&gt;0,Table2[[#This Row],[Current Rent Gap]]/Table2[[#This Row],[Estimated_Market_Rent]],0)</f>
        <v>0</v>
      </c>
      <c r="M71" s="3" t="str">
        <f>IF(Table2[[#This Row],[Under_Market %]]&gt;0.1,"Underpriced","OK")</f>
        <v>OK</v>
      </c>
      <c r="N71" s="5">
        <f>SUMIFS(Table2[[#This Row],[Current Rent Gap]],Table2[[#This Row],[Current Rent Gap]],"&gt;0")</f>
        <v>0</v>
      </c>
    </row>
    <row r="72" spans="1:14" x14ac:dyDescent="0.35">
      <c r="A72" t="s">
        <v>535</v>
      </c>
      <c r="B72" t="s">
        <v>747</v>
      </c>
      <c r="C72">
        <v>5676</v>
      </c>
      <c r="D72">
        <v>5676</v>
      </c>
      <c r="E72">
        <f>Table2[[#This Row],[Due_Amount]]-Table2[[#This Row],[Paid_Amount]]</f>
        <v>0</v>
      </c>
      <c r="F72" s="1">
        <v>45875</v>
      </c>
      <c r="G72">
        <v>6</v>
      </c>
      <c r="H72">
        <f>Table2[[#This Row],[Due_Amount]]*Table2[[#This Row],[Delay_Days]]</f>
        <v>34056</v>
      </c>
      <c r="I72" s="3" t="str">
        <f>IF(Table2[[#This Row],[Delay_Days]]=0,"On Time",IF(Table2[[#This Row],[Delay_Days]]&lt;=7,"Low Risk(1-7)",IF(Table2[[#This Row],[Delay_Days]]&lt;=15,"Medium Risk(8-15)",IF(Table2[[#This Row],[Delay_Days]]&lt;=30,"High Risk(16-30)","Severe Risk(30+)"))))</f>
        <v>Low Risk(1-7)</v>
      </c>
      <c r="J72" s="5">
        <f>AVERAGE(Table2[Due_Amount])</f>
        <v>4635.1866666666665</v>
      </c>
      <c r="K72" s="5">
        <f>Table2[[#This Row],[Estimated_Market_Rent]]-Table2[[#This Row],[Due_Amount]]</f>
        <v>-1040.8133333333335</v>
      </c>
      <c r="L72" s="6">
        <f>IF(Table2[[#This Row],[Current Rent Gap]]&gt;0,Table2[[#This Row],[Current Rent Gap]]/Table2[[#This Row],[Estimated_Market_Rent]],0)</f>
        <v>0</v>
      </c>
      <c r="M72" s="3" t="str">
        <f>IF(Table2[[#This Row],[Under_Market %]]&gt;0.1,"Underpriced","OK")</f>
        <v>OK</v>
      </c>
      <c r="N72" s="5">
        <f>SUMIFS(Table2[[#This Row],[Current Rent Gap]],Table2[[#This Row],[Current Rent Gap]],"&gt;0")</f>
        <v>0</v>
      </c>
    </row>
    <row r="73" spans="1:14" x14ac:dyDescent="0.35">
      <c r="A73" t="s">
        <v>654</v>
      </c>
      <c r="B73" t="s">
        <v>754</v>
      </c>
      <c r="C73">
        <v>3584</v>
      </c>
      <c r="D73">
        <v>3105</v>
      </c>
      <c r="E73">
        <f>Table2[[#This Row],[Due_Amount]]-Table2[[#This Row],[Paid_Amount]]</f>
        <v>479</v>
      </c>
      <c r="F73" s="1">
        <v>45757</v>
      </c>
      <c r="G73">
        <v>20</v>
      </c>
      <c r="H73">
        <f>Table2[[#This Row],[Due_Amount]]*Table2[[#This Row],[Delay_Days]]</f>
        <v>71680</v>
      </c>
      <c r="I73" s="3" t="str">
        <f>IF(Table2[[#This Row],[Delay_Days]]=0,"On Time",IF(Table2[[#This Row],[Delay_Days]]&lt;=7,"Low Risk(1-7)",IF(Table2[[#This Row],[Delay_Days]]&lt;=15,"Medium Risk(8-15)",IF(Table2[[#This Row],[Delay_Days]]&lt;=30,"High Risk(16-30)","Severe Risk(30+)"))))</f>
        <v>High Risk(16-30)</v>
      </c>
      <c r="J73" s="5">
        <f>AVERAGE(Table2[Due_Amount])</f>
        <v>4635.1866666666665</v>
      </c>
      <c r="K73" s="5">
        <f>Table2[[#This Row],[Estimated_Market_Rent]]-Table2[[#This Row],[Due_Amount]]</f>
        <v>1051.1866666666665</v>
      </c>
      <c r="L73" s="6">
        <f>IF(Table2[[#This Row],[Current Rent Gap]]&gt;0,Table2[[#This Row],[Current Rent Gap]]/Table2[[#This Row],[Estimated_Market_Rent]],0)</f>
        <v>0.22678410650128436</v>
      </c>
      <c r="M73" s="3" t="str">
        <f>IF(Table2[[#This Row],[Under_Market %]]&gt;0.1,"Underpriced","OK")</f>
        <v>Underpriced</v>
      </c>
      <c r="N73" s="5">
        <f>SUMIFS(Table2[[#This Row],[Current Rent Gap]],Table2[[#This Row],[Current Rent Gap]],"&gt;0")</f>
        <v>1051.1866666666665</v>
      </c>
    </row>
    <row r="74" spans="1:14" x14ac:dyDescent="0.35">
      <c r="A74" t="s">
        <v>605</v>
      </c>
      <c r="B74" t="s">
        <v>748</v>
      </c>
      <c r="C74">
        <v>5141</v>
      </c>
      <c r="D74">
        <v>5057</v>
      </c>
      <c r="E74">
        <f>Table2[[#This Row],[Due_Amount]]-Table2[[#This Row],[Paid_Amount]]</f>
        <v>84</v>
      </c>
      <c r="F74" s="1">
        <v>45722</v>
      </c>
      <c r="G74">
        <v>21</v>
      </c>
      <c r="H74">
        <f>Table2[[#This Row],[Due_Amount]]*Table2[[#This Row],[Delay_Days]]</f>
        <v>107961</v>
      </c>
      <c r="I74" s="3" t="str">
        <f>IF(Table2[[#This Row],[Delay_Days]]=0,"On Time",IF(Table2[[#This Row],[Delay_Days]]&lt;=7,"Low Risk(1-7)",IF(Table2[[#This Row],[Delay_Days]]&lt;=15,"Medium Risk(8-15)",IF(Table2[[#This Row],[Delay_Days]]&lt;=30,"High Risk(16-30)","Severe Risk(30+)"))))</f>
        <v>High Risk(16-30)</v>
      </c>
      <c r="J74" s="5">
        <f>AVERAGE(Table2[Due_Amount])</f>
        <v>4635.1866666666665</v>
      </c>
      <c r="K74" s="5">
        <f>Table2[[#This Row],[Estimated_Market_Rent]]-Table2[[#This Row],[Due_Amount]]</f>
        <v>-505.8133333333335</v>
      </c>
      <c r="L74" s="6">
        <f>IF(Table2[[#This Row],[Current Rent Gap]]&gt;0,Table2[[#This Row],[Current Rent Gap]]/Table2[[#This Row],[Estimated_Market_Rent]],0)</f>
        <v>0</v>
      </c>
      <c r="M74" s="3" t="str">
        <f>IF(Table2[[#This Row],[Under_Market %]]&gt;0.1,"Underpriced","OK")</f>
        <v>OK</v>
      </c>
      <c r="N74" s="5">
        <f>SUMIFS(Table2[[#This Row],[Current Rent Gap]],Table2[[#This Row],[Current Rent Gap]],"&gt;0")</f>
        <v>0</v>
      </c>
    </row>
    <row r="75" spans="1:14" x14ac:dyDescent="0.35">
      <c r="A75" t="s">
        <v>652</v>
      </c>
      <c r="B75" t="s">
        <v>744</v>
      </c>
      <c r="C75">
        <v>2547</v>
      </c>
      <c r="D75">
        <v>2297</v>
      </c>
      <c r="E75">
        <f>Table2[[#This Row],[Due_Amount]]-Table2[[#This Row],[Paid_Amount]]</f>
        <v>250</v>
      </c>
      <c r="F75" s="1">
        <v>45718</v>
      </c>
      <c r="G75">
        <v>11</v>
      </c>
      <c r="H75">
        <f>Table2[[#This Row],[Due_Amount]]*Table2[[#This Row],[Delay_Days]]</f>
        <v>28017</v>
      </c>
      <c r="I75" s="3" t="str">
        <f>IF(Table2[[#This Row],[Delay_Days]]=0,"On Time",IF(Table2[[#This Row],[Delay_Days]]&lt;=7,"Low Risk(1-7)",IF(Table2[[#This Row],[Delay_Days]]&lt;=15,"Medium Risk(8-15)",IF(Table2[[#This Row],[Delay_Days]]&lt;=30,"High Risk(16-30)","Severe Risk(30+)"))))</f>
        <v>Medium Risk(8-15)</v>
      </c>
      <c r="J75" s="5">
        <f>AVERAGE(Table2[Due_Amount])</f>
        <v>4635.1866666666665</v>
      </c>
      <c r="K75" s="5">
        <f>Table2[[#This Row],[Estimated_Market_Rent]]-Table2[[#This Row],[Due_Amount]]</f>
        <v>2088.1866666666665</v>
      </c>
      <c r="L75" s="6">
        <f>IF(Table2[[#This Row],[Current Rent Gap]]&gt;0,Table2[[#This Row],[Current Rent Gap]]/Table2[[#This Row],[Estimated_Market_Rent]],0)</f>
        <v>0.45050756675746967</v>
      </c>
      <c r="M75" s="3" t="str">
        <f>IF(Table2[[#This Row],[Under_Market %]]&gt;0.1,"Underpriced","OK")</f>
        <v>Underpriced</v>
      </c>
      <c r="N75" s="5">
        <f>SUMIFS(Table2[[#This Row],[Current Rent Gap]],Table2[[#This Row],[Current Rent Gap]],"&gt;0")</f>
        <v>2088.1866666666665</v>
      </c>
    </row>
    <row r="76" spans="1:14" x14ac:dyDescent="0.35">
      <c r="A76" t="s">
        <v>558</v>
      </c>
      <c r="B76" t="s">
        <v>748</v>
      </c>
      <c r="C76">
        <v>5858</v>
      </c>
      <c r="D76">
        <v>5858</v>
      </c>
      <c r="E76">
        <f>Table2[[#This Row],[Due_Amount]]-Table2[[#This Row],[Paid_Amount]]</f>
        <v>0</v>
      </c>
      <c r="F76" s="1">
        <v>45986</v>
      </c>
      <c r="G76">
        <v>5</v>
      </c>
      <c r="H76">
        <f>Table2[[#This Row],[Due_Amount]]*Table2[[#This Row],[Delay_Days]]</f>
        <v>29290</v>
      </c>
      <c r="I76" s="3" t="str">
        <f>IF(Table2[[#This Row],[Delay_Days]]=0,"On Time",IF(Table2[[#This Row],[Delay_Days]]&lt;=7,"Low Risk(1-7)",IF(Table2[[#This Row],[Delay_Days]]&lt;=15,"Medium Risk(8-15)",IF(Table2[[#This Row],[Delay_Days]]&lt;=30,"High Risk(16-30)","Severe Risk(30+)"))))</f>
        <v>Low Risk(1-7)</v>
      </c>
      <c r="J76" s="5">
        <f>AVERAGE(Table2[Due_Amount])</f>
        <v>4635.1866666666665</v>
      </c>
      <c r="K76" s="5">
        <f>Table2[[#This Row],[Estimated_Market_Rent]]-Table2[[#This Row],[Due_Amount]]</f>
        <v>-1222.8133333333335</v>
      </c>
      <c r="L76" s="6">
        <f>IF(Table2[[#This Row],[Current Rent Gap]]&gt;0,Table2[[#This Row],[Current Rent Gap]]/Table2[[#This Row],[Estimated_Market_Rent]],0)</f>
        <v>0</v>
      </c>
      <c r="M76" s="3" t="str">
        <f>IF(Table2[[#This Row],[Under_Market %]]&gt;0.1,"Underpriced","OK")</f>
        <v>OK</v>
      </c>
      <c r="N76" s="5">
        <f>SUMIFS(Table2[[#This Row],[Current Rent Gap]],Table2[[#This Row],[Current Rent Gap]],"&gt;0")</f>
        <v>0</v>
      </c>
    </row>
    <row r="77" spans="1:14" x14ac:dyDescent="0.35">
      <c r="A77" t="s">
        <v>646</v>
      </c>
      <c r="B77" t="s">
        <v>753</v>
      </c>
      <c r="C77">
        <v>2937</v>
      </c>
      <c r="D77">
        <v>2937</v>
      </c>
      <c r="E77">
        <f>Table2[[#This Row],[Due_Amount]]-Table2[[#This Row],[Paid_Amount]]</f>
        <v>0</v>
      </c>
      <c r="F77" s="1">
        <v>45766</v>
      </c>
      <c r="G77">
        <v>0</v>
      </c>
      <c r="H77">
        <f>Table2[[#This Row],[Due_Amount]]*Table2[[#This Row],[Delay_Days]]</f>
        <v>0</v>
      </c>
      <c r="I77" s="3" t="str">
        <f>IF(Table2[[#This Row],[Delay_Days]]=0,"On Time",IF(Table2[[#This Row],[Delay_Days]]&lt;=7,"Low Risk(1-7)",IF(Table2[[#This Row],[Delay_Days]]&lt;=15,"Medium Risk(8-15)",IF(Table2[[#This Row],[Delay_Days]]&lt;=30,"High Risk(16-30)","Severe Risk(30+)"))))</f>
        <v>On Time</v>
      </c>
      <c r="J77" s="5">
        <f>AVERAGE(Table2[Due_Amount])</f>
        <v>4635.1866666666665</v>
      </c>
      <c r="K77" s="5">
        <f>Table2[[#This Row],[Estimated_Market_Rent]]-Table2[[#This Row],[Due_Amount]]</f>
        <v>1698.1866666666665</v>
      </c>
      <c r="L77" s="6">
        <f>IF(Table2[[#This Row],[Current Rent Gap]]&gt;0,Table2[[#This Row],[Current Rent Gap]]/Table2[[#This Row],[Estimated_Market_Rent]],0)</f>
        <v>0.36636856048947325</v>
      </c>
      <c r="M77" s="3" t="str">
        <f>IF(Table2[[#This Row],[Under_Market %]]&gt;0.1,"Underpriced","OK")</f>
        <v>Underpriced</v>
      </c>
      <c r="N77" s="5">
        <f>SUMIFS(Table2[[#This Row],[Current Rent Gap]],Table2[[#This Row],[Current Rent Gap]],"&gt;0")</f>
        <v>1698.1866666666665</v>
      </c>
    </row>
    <row r="78" spans="1:14" x14ac:dyDescent="0.35">
      <c r="A78" t="s">
        <v>671</v>
      </c>
      <c r="B78" t="s">
        <v>743</v>
      </c>
      <c r="C78">
        <v>4645</v>
      </c>
      <c r="D78">
        <v>3822</v>
      </c>
      <c r="E78">
        <f>Table2[[#This Row],[Due_Amount]]-Table2[[#This Row],[Paid_Amount]]</f>
        <v>823</v>
      </c>
      <c r="F78" s="1">
        <v>45715</v>
      </c>
      <c r="G78">
        <v>15</v>
      </c>
      <c r="H78">
        <f>Table2[[#This Row],[Due_Amount]]*Table2[[#This Row],[Delay_Days]]</f>
        <v>69675</v>
      </c>
      <c r="I78" s="3" t="str">
        <f>IF(Table2[[#This Row],[Delay_Days]]=0,"On Time",IF(Table2[[#This Row],[Delay_Days]]&lt;=7,"Low Risk(1-7)",IF(Table2[[#This Row],[Delay_Days]]&lt;=15,"Medium Risk(8-15)",IF(Table2[[#This Row],[Delay_Days]]&lt;=30,"High Risk(16-30)","Severe Risk(30+)"))))</f>
        <v>Medium Risk(8-15)</v>
      </c>
      <c r="J78" s="5">
        <f>AVERAGE(Table2[Due_Amount])</f>
        <v>4635.1866666666665</v>
      </c>
      <c r="K78" s="5">
        <f>Table2[[#This Row],[Estimated_Market_Rent]]-Table2[[#This Row],[Due_Amount]]</f>
        <v>-9.8133333333335031</v>
      </c>
      <c r="L78" s="6">
        <f>IF(Table2[[#This Row],[Current Rent Gap]]&gt;0,Table2[[#This Row],[Current Rent Gap]]/Table2[[#This Row],[Estimated_Market_Rent]],0)</f>
        <v>0</v>
      </c>
      <c r="M78" s="3" t="str">
        <f>IF(Table2[[#This Row],[Under_Market %]]&gt;0.1,"Underpriced","OK")</f>
        <v>OK</v>
      </c>
      <c r="N78" s="5">
        <f>SUMIFS(Table2[[#This Row],[Current Rent Gap]],Table2[[#This Row],[Current Rent Gap]],"&gt;0")</f>
        <v>0</v>
      </c>
    </row>
    <row r="79" spans="1:14" x14ac:dyDescent="0.35">
      <c r="A79" t="s">
        <v>161</v>
      </c>
      <c r="B79" t="s">
        <v>752</v>
      </c>
      <c r="C79">
        <v>4688</v>
      </c>
      <c r="D79">
        <v>4543</v>
      </c>
      <c r="E79">
        <f>Table2[[#This Row],[Due_Amount]]-Table2[[#This Row],[Paid_Amount]]</f>
        <v>145</v>
      </c>
      <c r="F79" s="1">
        <v>45978</v>
      </c>
      <c r="G79">
        <v>20</v>
      </c>
      <c r="H79">
        <f>Table2[[#This Row],[Due_Amount]]*Table2[[#This Row],[Delay_Days]]</f>
        <v>93760</v>
      </c>
      <c r="I79" s="3" t="str">
        <f>IF(Table2[[#This Row],[Delay_Days]]=0,"On Time",IF(Table2[[#This Row],[Delay_Days]]&lt;=7,"Low Risk(1-7)",IF(Table2[[#This Row],[Delay_Days]]&lt;=15,"Medium Risk(8-15)",IF(Table2[[#This Row],[Delay_Days]]&lt;=30,"High Risk(16-30)","Severe Risk(30+)"))))</f>
        <v>High Risk(16-30)</v>
      </c>
      <c r="J79" s="5">
        <f>AVERAGE(Table2[Due_Amount])</f>
        <v>4635.1866666666665</v>
      </c>
      <c r="K79" s="5">
        <f>Table2[[#This Row],[Estimated_Market_Rent]]-Table2[[#This Row],[Due_Amount]]</f>
        <v>-52.813333333333503</v>
      </c>
      <c r="L79" s="6">
        <f>IF(Table2[[#This Row],[Current Rent Gap]]&gt;0,Table2[[#This Row],[Current Rent Gap]]/Table2[[#This Row],[Estimated_Market_Rent]],0)</f>
        <v>0</v>
      </c>
      <c r="M79" s="3" t="str">
        <f>IF(Table2[[#This Row],[Under_Market %]]&gt;0.1,"Underpriced","OK")</f>
        <v>OK</v>
      </c>
      <c r="N79" s="5">
        <f>SUMIFS(Table2[[#This Row],[Current Rent Gap]],Table2[[#This Row],[Current Rent Gap]],"&gt;0")</f>
        <v>0</v>
      </c>
    </row>
    <row r="80" spans="1:14" x14ac:dyDescent="0.35">
      <c r="A80" t="s">
        <v>692</v>
      </c>
      <c r="B80" t="s">
        <v>749</v>
      </c>
      <c r="C80">
        <v>2457</v>
      </c>
      <c r="D80">
        <v>1865</v>
      </c>
      <c r="E80">
        <f>Table2[[#This Row],[Due_Amount]]-Table2[[#This Row],[Paid_Amount]]</f>
        <v>592</v>
      </c>
      <c r="F80" s="1">
        <v>45977</v>
      </c>
      <c r="G80">
        <v>21</v>
      </c>
      <c r="H80">
        <f>Table2[[#This Row],[Due_Amount]]*Table2[[#This Row],[Delay_Days]]</f>
        <v>51597</v>
      </c>
      <c r="I80" s="3" t="str">
        <f>IF(Table2[[#This Row],[Delay_Days]]=0,"On Time",IF(Table2[[#This Row],[Delay_Days]]&lt;=7,"Low Risk(1-7)",IF(Table2[[#This Row],[Delay_Days]]&lt;=15,"Medium Risk(8-15)",IF(Table2[[#This Row],[Delay_Days]]&lt;=30,"High Risk(16-30)","Severe Risk(30+)"))))</f>
        <v>High Risk(16-30)</v>
      </c>
      <c r="J80" s="5">
        <f>AVERAGE(Table2[Due_Amount])</f>
        <v>4635.1866666666665</v>
      </c>
      <c r="K80" s="5">
        <f>Table2[[#This Row],[Estimated_Market_Rent]]-Table2[[#This Row],[Due_Amount]]</f>
        <v>2178.1866666666665</v>
      </c>
      <c r="L80" s="6">
        <f>IF(Table2[[#This Row],[Current Rent Gap]]&gt;0,Table2[[#This Row],[Current Rent Gap]]/Table2[[#This Row],[Estimated_Market_Rent]],0)</f>
        <v>0.46992426051162267</v>
      </c>
      <c r="M80" s="3" t="str">
        <f>IF(Table2[[#This Row],[Under_Market %]]&gt;0.1,"Underpriced","OK")</f>
        <v>Underpriced</v>
      </c>
      <c r="N80" s="5">
        <f>SUMIFS(Table2[[#This Row],[Current Rent Gap]],Table2[[#This Row],[Current Rent Gap]],"&gt;0")</f>
        <v>2178.1866666666665</v>
      </c>
    </row>
    <row r="81" spans="1:14" x14ac:dyDescent="0.35">
      <c r="A81" t="s">
        <v>514</v>
      </c>
      <c r="B81" t="s">
        <v>748</v>
      </c>
      <c r="C81">
        <v>6642</v>
      </c>
      <c r="D81">
        <v>6407</v>
      </c>
      <c r="E81">
        <f>Table2[[#This Row],[Due_Amount]]-Table2[[#This Row],[Paid_Amount]]</f>
        <v>235</v>
      </c>
      <c r="F81" s="1">
        <v>45718</v>
      </c>
      <c r="G81">
        <v>18</v>
      </c>
      <c r="H81">
        <f>Table2[[#This Row],[Due_Amount]]*Table2[[#This Row],[Delay_Days]]</f>
        <v>119556</v>
      </c>
      <c r="I81" s="3" t="str">
        <f>IF(Table2[[#This Row],[Delay_Days]]=0,"On Time",IF(Table2[[#This Row],[Delay_Days]]&lt;=7,"Low Risk(1-7)",IF(Table2[[#This Row],[Delay_Days]]&lt;=15,"Medium Risk(8-15)",IF(Table2[[#This Row],[Delay_Days]]&lt;=30,"High Risk(16-30)","Severe Risk(30+)"))))</f>
        <v>High Risk(16-30)</v>
      </c>
      <c r="J81" s="5">
        <f>AVERAGE(Table2[Due_Amount])</f>
        <v>4635.1866666666665</v>
      </c>
      <c r="K81" s="5">
        <f>Table2[[#This Row],[Estimated_Market_Rent]]-Table2[[#This Row],[Due_Amount]]</f>
        <v>-2006.8133333333335</v>
      </c>
      <c r="L81" s="6">
        <f>IF(Table2[[#This Row],[Current Rent Gap]]&gt;0,Table2[[#This Row],[Current Rent Gap]]/Table2[[#This Row],[Estimated_Market_Rent]],0)</f>
        <v>0</v>
      </c>
      <c r="M81" s="3" t="str">
        <f>IF(Table2[[#This Row],[Under_Market %]]&gt;0.1,"Underpriced","OK")</f>
        <v>OK</v>
      </c>
      <c r="N81" s="5">
        <f>SUMIFS(Table2[[#This Row],[Current Rent Gap]],Table2[[#This Row],[Current Rent Gap]],"&gt;0")</f>
        <v>0</v>
      </c>
    </row>
    <row r="82" spans="1:14" x14ac:dyDescent="0.35">
      <c r="A82" t="s">
        <v>100</v>
      </c>
      <c r="B82" t="s">
        <v>754</v>
      </c>
      <c r="C82">
        <v>3793</v>
      </c>
      <c r="D82">
        <v>3793</v>
      </c>
      <c r="E82">
        <f>Table2[[#This Row],[Due_Amount]]-Table2[[#This Row],[Paid_Amount]]</f>
        <v>0</v>
      </c>
      <c r="F82" s="1">
        <v>45923</v>
      </c>
      <c r="G82">
        <v>7</v>
      </c>
      <c r="H82">
        <f>Table2[[#This Row],[Due_Amount]]*Table2[[#This Row],[Delay_Days]]</f>
        <v>26551</v>
      </c>
      <c r="I82" s="3" t="str">
        <f>IF(Table2[[#This Row],[Delay_Days]]=0,"On Time",IF(Table2[[#This Row],[Delay_Days]]&lt;=7,"Low Risk(1-7)",IF(Table2[[#This Row],[Delay_Days]]&lt;=15,"Medium Risk(8-15)",IF(Table2[[#This Row],[Delay_Days]]&lt;=30,"High Risk(16-30)","Severe Risk(30+)"))))</f>
        <v>Low Risk(1-7)</v>
      </c>
      <c r="J82" s="5">
        <f>AVERAGE(Table2[Due_Amount])</f>
        <v>4635.1866666666665</v>
      </c>
      <c r="K82" s="5">
        <f>Table2[[#This Row],[Estimated_Market_Rent]]-Table2[[#This Row],[Due_Amount]]</f>
        <v>842.1866666666665</v>
      </c>
      <c r="L82" s="6">
        <f>IF(Table2[[#This Row],[Current Rent Gap]]&gt;0,Table2[[#This Row],[Current Rent Gap]]/Table2[[#This Row],[Estimated_Market_Rent]],0)</f>
        <v>0.18169422878330679</v>
      </c>
      <c r="M82" s="3" t="str">
        <f>IF(Table2[[#This Row],[Under_Market %]]&gt;0.1,"Underpriced","OK")</f>
        <v>Underpriced</v>
      </c>
      <c r="N82" s="5">
        <f>SUMIFS(Table2[[#This Row],[Current Rent Gap]],Table2[[#This Row],[Current Rent Gap]],"&gt;0")</f>
        <v>842.1866666666665</v>
      </c>
    </row>
    <row r="83" spans="1:14" x14ac:dyDescent="0.35">
      <c r="A83" t="s">
        <v>558</v>
      </c>
      <c r="B83" t="s">
        <v>754</v>
      </c>
      <c r="C83">
        <v>3292</v>
      </c>
      <c r="D83">
        <v>2427</v>
      </c>
      <c r="E83">
        <f>Table2[[#This Row],[Due_Amount]]-Table2[[#This Row],[Paid_Amount]]</f>
        <v>865</v>
      </c>
      <c r="F83" s="1">
        <v>45744</v>
      </c>
      <c r="G83">
        <v>12</v>
      </c>
      <c r="H83">
        <f>Table2[[#This Row],[Due_Amount]]*Table2[[#This Row],[Delay_Days]]</f>
        <v>39504</v>
      </c>
      <c r="I83" s="3" t="str">
        <f>IF(Table2[[#This Row],[Delay_Days]]=0,"On Time",IF(Table2[[#This Row],[Delay_Days]]&lt;=7,"Low Risk(1-7)",IF(Table2[[#This Row],[Delay_Days]]&lt;=15,"Medium Risk(8-15)",IF(Table2[[#This Row],[Delay_Days]]&lt;=30,"High Risk(16-30)","Severe Risk(30+)"))))</f>
        <v>Medium Risk(8-15)</v>
      </c>
      <c r="J83" s="5">
        <f>AVERAGE(Table2[Due_Amount])</f>
        <v>4635.1866666666665</v>
      </c>
      <c r="K83" s="5">
        <f>Table2[[#This Row],[Estimated_Market_Rent]]-Table2[[#This Row],[Due_Amount]]</f>
        <v>1343.1866666666665</v>
      </c>
      <c r="L83" s="6">
        <f>IF(Table2[[#This Row],[Current Rent Gap]]&gt;0,Table2[[#This Row],[Current Rent Gap]]/Table2[[#This Row],[Estimated_Market_Rent]],0)</f>
        <v>0.28978049068142525</v>
      </c>
      <c r="M83" s="3" t="str">
        <f>IF(Table2[[#This Row],[Under_Market %]]&gt;0.1,"Underpriced","OK")</f>
        <v>Underpriced</v>
      </c>
      <c r="N83" s="5">
        <f>SUMIFS(Table2[[#This Row],[Current Rent Gap]],Table2[[#This Row],[Current Rent Gap]],"&gt;0")</f>
        <v>1343.1866666666665</v>
      </c>
    </row>
    <row r="84" spans="1:14" x14ac:dyDescent="0.35">
      <c r="A84" t="s">
        <v>308</v>
      </c>
      <c r="B84" t="s">
        <v>743</v>
      </c>
      <c r="C84">
        <v>3875</v>
      </c>
      <c r="D84">
        <v>3875</v>
      </c>
      <c r="E84">
        <f>Table2[[#This Row],[Due_Amount]]-Table2[[#This Row],[Paid_Amount]]</f>
        <v>0</v>
      </c>
      <c r="F84" s="1">
        <v>45833</v>
      </c>
      <c r="G84">
        <v>0</v>
      </c>
      <c r="H84">
        <f>Table2[[#This Row],[Due_Amount]]*Table2[[#This Row],[Delay_Days]]</f>
        <v>0</v>
      </c>
      <c r="I84" s="3" t="str">
        <f>IF(Table2[[#This Row],[Delay_Days]]=0,"On Time",IF(Table2[[#This Row],[Delay_Days]]&lt;=7,"Low Risk(1-7)",IF(Table2[[#This Row],[Delay_Days]]&lt;=15,"Medium Risk(8-15)",IF(Table2[[#This Row],[Delay_Days]]&lt;=30,"High Risk(16-30)","Severe Risk(30+)"))))</f>
        <v>On Time</v>
      </c>
      <c r="J84" s="5">
        <f>AVERAGE(Table2[Due_Amount])</f>
        <v>4635.1866666666665</v>
      </c>
      <c r="K84" s="5">
        <f>Table2[[#This Row],[Estimated_Market_Rent]]-Table2[[#This Row],[Due_Amount]]</f>
        <v>760.1866666666665</v>
      </c>
      <c r="L84" s="6">
        <f>IF(Table2[[#This Row],[Current Rent Gap]]&gt;0,Table2[[#This Row],[Current Rent Gap]]/Table2[[#This Row],[Estimated_Market_Rent]],0)</f>
        <v>0.16400346336285626</v>
      </c>
      <c r="M84" s="3" t="str">
        <f>IF(Table2[[#This Row],[Under_Market %]]&gt;0.1,"Underpriced","OK")</f>
        <v>Underpriced</v>
      </c>
      <c r="N84" s="5">
        <f>SUMIFS(Table2[[#This Row],[Current Rent Gap]],Table2[[#This Row],[Current Rent Gap]],"&gt;0")</f>
        <v>760.1866666666665</v>
      </c>
    </row>
    <row r="85" spans="1:14" x14ac:dyDescent="0.35">
      <c r="A85" t="s">
        <v>337</v>
      </c>
      <c r="B85" t="s">
        <v>753</v>
      </c>
      <c r="C85">
        <v>5070</v>
      </c>
      <c r="D85">
        <v>5070</v>
      </c>
      <c r="E85">
        <f>Table2[[#This Row],[Due_Amount]]-Table2[[#This Row],[Paid_Amount]]</f>
        <v>0</v>
      </c>
      <c r="F85" s="1">
        <v>45790</v>
      </c>
      <c r="G85">
        <v>4</v>
      </c>
      <c r="H85">
        <f>Table2[[#This Row],[Due_Amount]]*Table2[[#This Row],[Delay_Days]]</f>
        <v>20280</v>
      </c>
      <c r="I85" s="3" t="str">
        <f>IF(Table2[[#This Row],[Delay_Days]]=0,"On Time",IF(Table2[[#This Row],[Delay_Days]]&lt;=7,"Low Risk(1-7)",IF(Table2[[#This Row],[Delay_Days]]&lt;=15,"Medium Risk(8-15)",IF(Table2[[#This Row],[Delay_Days]]&lt;=30,"High Risk(16-30)","Severe Risk(30+)"))))</f>
        <v>Low Risk(1-7)</v>
      </c>
      <c r="J85" s="5">
        <f>AVERAGE(Table2[Due_Amount])</f>
        <v>4635.1866666666665</v>
      </c>
      <c r="K85" s="5">
        <f>Table2[[#This Row],[Estimated_Market_Rent]]-Table2[[#This Row],[Due_Amount]]</f>
        <v>-434.8133333333335</v>
      </c>
      <c r="L85" s="6">
        <f>IF(Table2[[#This Row],[Current Rent Gap]]&gt;0,Table2[[#This Row],[Current Rent Gap]]/Table2[[#This Row],[Estimated_Market_Rent]],0)</f>
        <v>0</v>
      </c>
      <c r="M85" s="3" t="str">
        <f>IF(Table2[[#This Row],[Under_Market %]]&gt;0.1,"Underpriced","OK")</f>
        <v>OK</v>
      </c>
      <c r="N85" s="5">
        <f>SUMIFS(Table2[[#This Row],[Current Rent Gap]],Table2[[#This Row],[Current Rent Gap]],"&gt;0")</f>
        <v>0</v>
      </c>
    </row>
    <row r="86" spans="1:14" x14ac:dyDescent="0.35">
      <c r="A86" t="s">
        <v>38</v>
      </c>
      <c r="B86" t="s">
        <v>743</v>
      </c>
      <c r="C86">
        <v>6487</v>
      </c>
      <c r="D86">
        <v>5975</v>
      </c>
      <c r="E86">
        <f>Table2[[#This Row],[Due_Amount]]-Table2[[#This Row],[Paid_Amount]]</f>
        <v>512</v>
      </c>
      <c r="F86" s="1">
        <v>45875</v>
      </c>
      <c r="G86">
        <v>25</v>
      </c>
      <c r="H86">
        <f>Table2[[#This Row],[Due_Amount]]*Table2[[#This Row],[Delay_Days]]</f>
        <v>162175</v>
      </c>
      <c r="I86" s="3" t="str">
        <f>IF(Table2[[#This Row],[Delay_Days]]=0,"On Time",IF(Table2[[#This Row],[Delay_Days]]&lt;=7,"Low Risk(1-7)",IF(Table2[[#This Row],[Delay_Days]]&lt;=15,"Medium Risk(8-15)",IF(Table2[[#This Row],[Delay_Days]]&lt;=30,"High Risk(16-30)","Severe Risk(30+)"))))</f>
        <v>High Risk(16-30)</v>
      </c>
      <c r="J86" s="5">
        <f>AVERAGE(Table2[Due_Amount])</f>
        <v>4635.1866666666665</v>
      </c>
      <c r="K86" s="5">
        <f>Table2[[#This Row],[Estimated_Market_Rent]]-Table2[[#This Row],[Due_Amount]]</f>
        <v>-1851.8133333333335</v>
      </c>
      <c r="L86" s="6">
        <f>IF(Table2[[#This Row],[Current Rent Gap]]&gt;0,Table2[[#This Row],[Current Rent Gap]]/Table2[[#This Row],[Estimated_Market_Rent]],0)</f>
        <v>0</v>
      </c>
      <c r="M86" s="3" t="str">
        <f>IF(Table2[[#This Row],[Under_Market %]]&gt;0.1,"Underpriced","OK")</f>
        <v>OK</v>
      </c>
      <c r="N86" s="5">
        <f>SUMIFS(Table2[[#This Row],[Current Rent Gap]],Table2[[#This Row],[Current Rent Gap]],"&gt;0")</f>
        <v>0</v>
      </c>
    </row>
    <row r="87" spans="1:14" x14ac:dyDescent="0.35">
      <c r="A87" t="s">
        <v>609</v>
      </c>
      <c r="B87" t="s">
        <v>746</v>
      </c>
      <c r="C87">
        <v>2677</v>
      </c>
      <c r="D87">
        <v>1709</v>
      </c>
      <c r="E87">
        <f>Table2[[#This Row],[Due_Amount]]-Table2[[#This Row],[Paid_Amount]]</f>
        <v>968</v>
      </c>
      <c r="F87" s="1">
        <v>45799</v>
      </c>
      <c r="G87">
        <v>14</v>
      </c>
      <c r="H87">
        <f>Table2[[#This Row],[Due_Amount]]*Table2[[#This Row],[Delay_Days]]</f>
        <v>37478</v>
      </c>
      <c r="I87" s="3" t="str">
        <f>IF(Table2[[#This Row],[Delay_Days]]=0,"On Time",IF(Table2[[#This Row],[Delay_Days]]&lt;=7,"Low Risk(1-7)",IF(Table2[[#This Row],[Delay_Days]]&lt;=15,"Medium Risk(8-15)",IF(Table2[[#This Row],[Delay_Days]]&lt;=30,"High Risk(16-30)","Severe Risk(30+)"))))</f>
        <v>Medium Risk(8-15)</v>
      </c>
      <c r="J87" s="5">
        <f>AVERAGE(Table2[Due_Amount])</f>
        <v>4635.1866666666665</v>
      </c>
      <c r="K87" s="5">
        <f>Table2[[#This Row],[Estimated_Market_Rent]]-Table2[[#This Row],[Due_Amount]]</f>
        <v>1958.1866666666665</v>
      </c>
      <c r="L87" s="6">
        <f>IF(Table2[[#This Row],[Current Rent Gap]]&gt;0,Table2[[#This Row],[Current Rent Gap]]/Table2[[#This Row],[Estimated_Market_Rent]],0)</f>
        <v>0.42246123133480418</v>
      </c>
      <c r="M87" s="3" t="str">
        <f>IF(Table2[[#This Row],[Under_Market %]]&gt;0.1,"Underpriced","OK")</f>
        <v>Underpriced</v>
      </c>
      <c r="N87" s="5">
        <f>SUMIFS(Table2[[#This Row],[Current Rent Gap]],Table2[[#This Row],[Current Rent Gap]],"&gt;0")</f>
        <v>1958.1866666666665</v>
      </c>
    </row>
    <row r="88" spans="1:14" x14ac:dyDescent="0.35">
      <c r="A88" t="s">
        <v>403</v>
      </c>
      <c r="B88" t="s">
        <v>743</v>
      </c>
      <c r="C88">
        <v>4964</v>
      </c>
      <c r="D88">
        <v>4212</v>
      </c>
      <c r="E88">
        <f>Table2[[#This Row],[Due_Amount]]-Table2[[#This Row],[Paid_Amount]]</f>
        <v>752</v>
      </c>
      <c r="F88" s="1">
        <v>45774</v>
      </c>
      <c r="G88">
        <v>24</v>
      </c>
      <c r="H88">
        <f>Table2[[#This Row],[Due_Amount]]*Table2[[#This Row],[Delay_Days]]</f>
        <v>119136</v>
      </c>
      <c r="I88" s="3" t="str">
        <f>IF(Table2[[#This Row],[Delay_Days]]=0,"On Time",IF(Table2[[#This Row],[Delay_Days]]&lt;=7,"Low Risk(1-7)",IF(Table2[[#This Row],[Delay_Days]]&lt;=15,"Medium Risk(8-15)",IF(Table2[[#This Row],[Delay_Days]]&lt;=30,"High Risk(16-30)","Severe Risk(30+)"))))</f>
        <v>High Risk(16-30)</v>
      </c>
      <c r="J88" s="5">
        <f>AVERAGE(Table2[Due_Amount])</f>
        <v>4635.1866666666665</v>
      </c>
      <c r="K88" s="5">
        <f>Table2[[#This Row],[Estimated_Market_Rent]]-Table2[[#This Row],[Due_Amount]]</f>
        <v>-328.8133333333335</v>
      </c>
      <c r="L88" s="6">
        <f>IF(Table2[[#This Row],[Current Rent Gap]]&gt;0,Table2[[#This Row],[Current Rent Gap]]/Table2[[#This Row],[Estimated_Market_Rent]],0)</f>
        <v>0</v>
      </c>
      <c r="M88" s="3" t="str">
        <f>IF(Table2[[#This Row],[Under_Market %]]&gt;0.1,"Underpriced","OK")</f>
        <v>OK</v>
      </c>
      <c r="N88" s="5">
        <f>SUMIFS(Table2[[#This Row],[Current Rent Gap]],Table2[[#This Row],[Current Rent Gap]],"&gt;0")</f>
        <v>0</v>
      </c>
    </row>
    <row r="89" spans="1:14" x14ac:dyDescent="0.35">
      <c r="A89" t="s">
        <v>306</v>
      </c>
      <c r="B89" t="s">
        <v>752</v>
      </c>
      <c r="C89">
        <v>2986</v>
      </c>
      <c r="D89">
        <v>2986</v>
      </c>
      <c r="E89">
        <f>Table2[[#This Row],[Due_Amount]]-Table2[[#This Row],[Paid_Amount]]</f>
        <v>0</v>
      </c>
      <c r="F89" s="1">
        <v>45985</v>
      </c>
      <c r="G89">
        <v>6</v>
      </c>
      <c r="H89">
        <f>Table2[[#This Row],[Due_Amount]]*Table2[[#This Row],[Delay_Days]]</f>
        <v>17916</v>
      </c>
      <c r="I89" s="3" t="str">
        <f>IF(Table2[[#This Row],[Delay_Days]]=0,"On Time",IF(Table2[[#This Row],[Delay_Days]]&lt;=7,"Low Risk(1-7)",IF(Table2[[#This Row],[Delay_Days]]&lt;=15,"Medium Risk(8-15)",IF(Table2[[#This Row],[Delay_Days]]&lt;=30,"High Risk(16-30)","Severe Risk(30+)"))))</f>
        <v>Low Risk(1-7)</v>
      </c>
      <c r="J89" s="5">
        <f>AVERAGE(Table2[Due_Amount])</f>
        <v>4635.1866666666665</v>
      </c>
      <c r="K89" s="5">
        <f>Table2[[#This Row],[Estimated_Market_Rent]]-Table2[[#This Row],[Due_Amount]]</f>
        <v>1649.1866666666665</v>
      </c>
      <c r="L89" s="6">
        <f>IF(Table2[[#This Row],[Current Rent Gap]]&gt;0,Table2[[#This Row],[Current Rent Gap]]/Table2[[#This Row],[Estimated_Market_Rent]],0)</f>
        <v>0.35579724944554547</v>
      </c>
      <c r="M89" s="3" t="str">
        <f>IF(Table2[[#This Row],[Under_Market %]]&gt;0.1,"Underpriced","OK")</f>
        <v>Underpriced</v>
      </c>
      <c r="N89" s="5">
        <f>SUMIFS(Table2[[#This Row],[Current Rent Gap]],Table2[[#This Row],[Current Rent Gap]],"&gt;0")</f>
        <v>1649.1866666666665</v>
      </c>
    </row>
    <row r="90" spans="1:14" x14ac:dyDescent="0.35">
      <c r="A90" t="s">
        <v>394</v>
      </c>
      <c r="B90" t="s">
        <v>753</v>
      </c>
      <c r="C90">
        <v>3342</v>
      </c>
      <c r="D90">
        <v>2658</v>
      </c>
      <c r="E90">
        <f>Table2[[#This Row],[Due_Amount]]-Table2[[#This Row],[Paid_Amount]]</f>
        <v>684</v>
      </c>
      <c r="F90" s="1">
        <v>45753</v>
      </c>
      <c r="G90">
        <v>23</v>
      </c>
      <c r="H90">
        <f>Table2[[#This Row],[Due_Amount]]*Table2[[#This Row],[Delay_Days]]</f>
        <v>76866</v>
      </c>
      <c r="I90" s="3" t="str">
        <f>IF(Table2[[#This Row],[Delay_Days]]=0,"On Time",IF(Table2[[#This Row],[Delay_Days]]&lt;=7,"Low Risk(1-7)",IF(Table2[[#This Row],[Delay_Days]]&lt;=15,"Medium Risk(8-15)",IF(Table2[[#This Row],[Delay_Days]]&lt;=30,"High Risk(16-30)","Severe Risk(30+)"))))</f>
        <v>High Risk(16-30)</v>
      </c>
      <c r="J90" s="5">
        <f>AVERAGE(Table2[Due_Amount])</f>
        <v>4635.1866666666665</v>
      </c>
      <c r="K90" s="5">
        <f>Table2[[#This Row],[Estimated_Market_Rent]]-Table2[[#This Row],[Due_Amount]]</f>
        <v>1293.1866666666665</v>
      </c>
      <c r="L90" s="6">
        <f>IF(Table2[[#This Row],[Current Rent Gap]]&gt;0,Table2[[#This Row],[Current Rent Gap]]/Table2[[#This Row],[Estimated_Market_Rent]],0)</f>
        <v>0.27899343859578468</v>
      </c>
      <c r="M90" s="3" t="str">
        <f>IF(Table2[[#This Row],[Under_Market %]]&gt;0.1,"Underpriced","OK")</f>
        <v>Underpriced</v>
      </c>
      <c r="N90" s="5">
        <f>SUMIFS(Table2[[#This Row],[Current Rent Gap]],Table2[[#This Row],[Current Rent Gap]],"&gt;0")</f>
        <v>1293.1866666666665</v>
      </c>
    </row>
    <row r="91" spans="1:14" x14ac:dyDescent="0.35">
      <c r="A91" t="s">
        <v>325</v>
      </c>
      <c r="B91" t="s">
        <v>749</v>
      </c>
      <c r="C91">
        <v>6074</v>
      </c>
      <c r="D91">
        <v>6074</v>
      </c>
      <c r="E91">
        <f>Table2[[#This Row],[Due_Amount]]-Table2[[#This Row],[Paid_Amount]]</f>
        <v>0</v>
      </c>
      <c r="F91" s="1">
        <v>45664</v>
      </c>
      <c r="G91">
        <v>5</v>
      </c>
      <c r="H91">
        <f>Table2[[#This Row],[Due_Amount]]*Table2[[#This Row],[Delay_Days]]</f>
        <v>30370</v>
      </c>
      <c r="I91" s="3" t="str">
        <f>IF(Table2[[#This Row],[Delay_Days]]=0,"On Time",IF(Table2[[#This Row],[Delay_Days]]&lt;=7,"Low Risk(1-7)",IF(Table2[[#This Row],[Delay_Days]]&lt;=15,"Medium Risk(8-15)",IF(Table2[[#This Row],[Delay_Days]]&lt;=30,"High Risk(16-30)","Severe Risk(30+)"))))</f>
        <v>Low Risk(1-7)</v>
      </c>
      <c r="J91" s="5">
        <f>AVERAGE(Table2[Due_Amount])</f>
        <v>4635.1866666666665</v>
      </c>
      <c r="K91" s="5">
        <f>Table2[[#This Row],[Estimated_Market_Rent]]-Table2[[#This Row],[Due_Amount]]</f>
        <v>-1438.8133333333335</v>
      </c>
      <c r="L91" s="6">
        <f>IF(Table2[[#This Row],[Current Rent Gap]]&gt;0,Table2[[#This Row],[Current Rent Gap]]/Table2[[#This Row],[Estimated_Market_Rent]],0)</f>
        <v>0</v>
      </c>
      <c r="M91" s="3" t="str">
        <f>IF(Table2[[#This Row],[Under_Market %]]&gt;0.1,"Underpriced","OK")</f>
        <v>OK</v>
      </c>
      <c r="N91" s="5">
        <f>SUMIFS(Table2[[#This Row],[Current Rent Gap]],Table2[[#This Row],[Current Rent Gap]],"&gt;0")</f>
        <v>0</v>
      </c>
    </row>
    <row r="92" spans="1:14" x14ac:dyDescent="0.35">
      <c r="A92" t="s">
        <v>699</v>
      </c>
      <c r="B92" t="s">
        <v>747</v>
      </c>
      <c r="C92">
        <v>4370</v>
      </c>
      <c r="D92">
        <v>3893</v>
      </c>
      <c r="E92">
        <f>Table2[[#This Row],[Due_Amount]]-Table2[[#This Row],[Paid_Amount]]</f>
        <v>477</v>
      </c>
      <c r="F92" s="1">
        <v>45756</v>
      </c>
      <c r="G92">
        <v>16</v>
      </c>
      <c r="H92">
        <f>Table2[[#This Row],[Due_Amount]]*Table2[[#This Row],[Delay_Days]]</f>
        <v>69920</v>
      </c>
      <c r="I92" s="3" t="str">
        <f>IF(Table2[[#This Row],[Delay_Days]]=0,"On Time",IF(Table2[[#This Row],[Delay_Days]]&lt;=7,"Low Risk(1-7)",IF(Table2[[#This Row],[Delay_Days]]&lt;=15,"Medium Risk(8-15)",IF(Table2[[#This Row],[Delay_Days]]&lt;=30,"High Risk(16-30)","Severe Risk(30+)"))))</f>
        <v>High Risk(16-30)</v>
      </c>
      <c r="J92" s="5">
        <f>AVERAGE(Table2[Due_Amount])</f>
        <v>4635.1866666666665</v>
      </c>
      <c r="K92" s="5">
        <f>Table2[[#This Row],[Estimated_Market_Rent]]-Table2[[#This Row],[Due_Amount]]</f>
        <v>265.1866666666665</v>
      </c>
      <c r="L92" s="6">
        <f>IF(Table2[[#This Row],[Current Rent Gap]]&gt;0,Table2[[#This Row],[Current Rent Gap]]/Table2[[#This Row],[Estimated_Market_Rent]],0)</f>
        <v>5.7211647715014677E-2</v>
      </c>
      <c r="M92" s="3" t="str">
        <f>IF(Table2[[#This Row],[Under_Market %]]&gt;0.1,"Underpriced","OK")</f>
        <v>OK</v>
      </c>
      <c r="N92" s="5">
        <f>SUMIFS(Table2[[#This Row],[Current Rent Gap]],Table2[[#This Row],[Current Rent Gap]],"&gt;0")</f>
        <v>265.1866666666665</v>
      </c>
    </row>
    <row r="93" spans="1:14" x14ac:dyDescent="0.35">
      <c r="A93" t="s">
        <v>671</v>
      </c>
      <c r="B93" t="s">
        <v>751</v>
      </c>
      <c r="C93">
        <v>6648</v>
      </c>
      <c r="D93">
        <v>6598</v>
      </c>
      <c r="E93">
        <f>Table2[[#This Row],[Due_Amount]]-Table2[[#This Row],[Paid_Amount]]</f>
        <v>50</v>
      </c>
      <c r="F93" s="1">
        <v>45956</v>
      </c>
      <c r="G93">
        <v>24</v>
      </c>
      <c r="H93">
        <f>Table2[[#This Row],[Due_Amount]]*Table2[[#This Row],[Delay_Days]]</f>
        <v>159552</v>
      </c>
      <c r="I93" s="3" t="str">
        <f>IF(Table2[[#This Row],[Delay_Days]]=0,"On Time",IF(Table2[[#This Row],[Delay_Days]]&lt;=7,"Low Risk(1-7)",IF(Table2[[#This Row],[Delay_Days]]&lt;=15,"Medium Risk(8-15)",IF(Table2[[#This Row],[Delay_Days]]&lt;=30,"High Risk(16-30)","Severe Risk(30+)"))))</f>
        <v>High Risk(16-30)</v>
      </c>
      <c r="J93" s="5">
        <f>AVERAGE(Table2[Due_Amount])</f>
        <v>4635.1866666666665</v>
      </c>
      <c r="K93" s="5">
        <f>Table2[[#This Row],[Estimated_Market_Rent]]-Table2[[#This Row],[Due_Amount]]</f>
        <v>-2012.8133333333335</v>
      </c>
      <c r="L93" s="6">
        <f>IF(Table2[[#This Row],[Current Rent Gap]]&gt;0,Table2[[#This Row],[Current Rent Gap]]/Table2[[#This Row],[Estimated_Market_Rent]],0)</f>
        <v>0</v>
      </c>
      <c r="M93" s="3" t="str">
        <f>IF(Table2[[#This Row],[Under_Market %]]&gt;0.1,"Underpriced","OK")</f>
        <v>OK</v>
      </c>
      <c r="N93" s="5">
        <f>SUMIFS(Table2[[#This Row],[Current Rent Gap]],Table2[[#This Row],[Current Rent Gap]],"&gt;0")</f>
        <v>0</v>
      </c>
    </row>
    <row r="94" spans="1:14" x14ac:dyDescent="0.35">
      <c r="A94" t="s">
        <v>605</v>
      </c>
      <c r="B94" t="s">
        <v>754</v>
      </c>
      <c r="C94">
        <v>3770</v>
      </c>
      <c r="D94">
        <v>3158</v>
      </c>
      <c r="E94">
        <f>Table2[[#This Row],[Due_Amount]]-Table2[[#This Row],[Paid_Amount]]</f>
        <v>612</v>
      </c>
      <c r="F94" s="1">
        <v>45908</v>
      </c>
      <c r="G94">
        <v>13</v>
      </c>
      <c r="H94">
        <f>Table2[[#This Row],[Due_Amount]]*Table2[[#This Row],[Delay_Days]]</f>
        <v>49010</v>
      </c>
      <c r="I94" s="3" t="str">
        <f>IF(Table2[[#This Row],[Delay_Days]]=0,"On Time",IF(Table2[[#This Row],[Delay_Days]]&lt;=7,"Low Risk(1-7)",IF(Table2[[#This Row],[Delay_Days]]&lt;=15,"Medium Risk(8-15)",IF(Table2[[#This Row],[Delay_Days]]&lt;=30,"High Risk(16-30)","Severe Risk(30+)"))))</f>
        <v>Medium Risk(8-15)</v>
      </c>
      <c r="J94" s="5">
        <f>AVERAGE(Table2[Due_Amount])</f>
        <v>4635.1866666666665</v>
      </c>
      <c r="K94" s="5">
        <f>Table2[[#This Row],[Estimated_Market_Rent]]-Table2[[#This Row],[Due_Amount]]</f>
        <v>865.1866666666665</v>
      </c>
      <c r="L94" s="6">
        <f>IF(Table2[[#This Row],[Current Rent Gap]]&gt;0,Table2[[#This Row],[Current Rent Gap]]/Table2[[#This Row],[Estimated_Market_Rent]],0)</f>
        <v>0.18665627274270144</v>
      </c>
      <c r="M94" s="3" t="str">
        <f>IF(Table2[[#This Row],[Under_Market %]]&gt;0.1,"Underpriced","OK")</f>
        <v>Underpriced</v>
      </c>
      <c r="N94" s="5">
        <f>SUMIFS(Table2[[#This Row],[Current Rent Gap]],Table2[[#This Row],[Current Rent Gap]],"&gt;0")</f>
        <v>865.1866666666665</v>
      </c>
    </row>
    <row r="95" spans="1:14" x14ac:dyDescent="0.35">
      <c r="A95" t="s">
        <v>547</v>
      </c>
      <c r="B95" t="s">
        <v>745</v>
      </c>
      <c r="C95">
        <v>6925</v>
      </c>
      <c r="D95">
        <v>6925</v>
      </c>
      <c r="E95">
        <f>Table2[[#This Row],[Due_Amount]]-Table2[[#This Row],[Paid_Amount]]</f>
        <v>0</v>
      </c>
      <c r="F95" s="1">
        <v>45909</v>
      </c>
      <c r="G95">
        <v>2</v>
      </c>
      <c r="H95">
        <f>Table2[[#This Row],[Due_Amount]]*Table2[[#This Row],[Delay_Days]]</f>
        <v>13850</v>
      </c>
      <c r="I95" s="3" t="str">
        <f>IF(Table2[[#This Row],[Delay_Days]]=0,"On Time",IF(Table2[[#This Row],[Delay_Days]]&lt;=7,"Low Risk(1-7)",IF(Table2[[#This Row],[Delay_Days]]&lt;=15,"Medium Risk(8-15)",IF(Table2[[#This Row],[Delay_Days]]&lt;=30,"High Risk(16-30)","Severe Risk(30+)"))))</f>
        <v>Low Risk(1-7)</v>
      </c>
      <c r="J95" s="5">
        <f>AVERAGE(Table2[Due_Amount])</f>
        <v>4635.1866666666665</v>
      </c>
      <c r="K95" s="5">
        <f>Table2[[#This Row],[Estimated_Market_Rent]]-Table2[[#This Row],[Due_Amount]]</f>
        <v>-2289.8133333333335</v>
      </c>
      <c r="L95" s="6">
        <f>IF(Table2[[#This Row],[Current Rent Gap]]&gt;0,Table2[[#This Row],[Current Rent Gap]]/Table2[[#This Row],[Estimated_Market_Rent]],0)</f>
        <v>0</v>
      </c>
      <c r="M95" s="3" t="str">
        <f>IF(Table2[[#This Row],[Under_Market %]]&gt;0.1,"Underpriced","OK")</f>
        <v>OK</v>
      </c>
      <c r="N95" s="5">
        <f>SUMIFS(Table2[[#This Row],[Current Rent Gap]],Table2[[#This Row],[Current Rent Gap]],"&gt;0")</f>
        <v>0</v>
      </c>
    </row>
    <row r="96" spans="1:14" x14ac:dyDescent="0.35">
      <c r="A96" t="s">
        <v>178</v>
      </c>
      <c r="B96" t="s">
        <v>747</v>
      </c>
      <c r="C96">
        <v>6728</v>
      </c>
      <c r="D96">
        <v>6562</v>
      </c>
      <c r="E96">
        <f>Table2[[#This Row],[Due_Amount]]-Table2[[#This Row],[Paid_Amount]]</f>
        <v>166</v>
      </c>
      <c r="F96" s="1">
        <v>45846</v>
      </c>
      <c r="G96">
        <v>18</v>
      </c>
      <c r="H96">
        <f>Table2[[#This Row],[Due_Amount]]*Table2[[#This Row],[Delay_Days]]</f>
        <v>121104</v>
      </c>
      <c r="I96" s="3" t="str">
        <f>IF(Table2[[#This Row],[Delay_Days]]=0,"On Time",IF(Table2[[#This Row],[Delay_Days]]&lt;=7,"Low Risk(1-7)",IF(Table2[[#This Row],[Delay_Days]]&lt;=15,"Medium Risk(8-15)",IF(Table2[[#This Row],[Delay_Days]]&lt;=30,"High Risk(16-30)","Severe Risk(30+)"))))</f>
        <v>High Risk(16-30)</v>
      </c>
      <c r="J96" s="5">
        <f>AVERAGE(Table2[Due_Amount])</f>
        <v>4635.1866666666665</v>
      </c>
      <c r="K96" s="5">
        <f>Table2[[#This Row],[Estimated_Market_Rent]]-Table2[[#This Row],[Due_Amount]]</f>
        <v>-2092.8133333333335</v>
      </c>
      <c r="L96" s="6">
        <f>IF(Table2[[#This Row],[Current Rent Gap]]&gt;0,Table2[[#This Row],[Current Rent Gap]]/Table2[[#This Row],[Estimated_Market_Rent]],0)</f>
        <v>0</v>
      </c>
      <c r="M96" s="3" t="str">
        <f>IF(Table2[[#This Row],[Under_Market %]]&gt;0.1,"Underpriced","OK")</f>
        <v>OK</v>
      </c>
      <c r="N96" s="5">
        <f>SUMIFS(Table2[[#This Row],[Current Rent Gap]],Table2[[#This Row],[Current Rent Gap]],"&gt;0")</f>
        <v>0</v>
      </c>
    </row>
    <row r="97" spans="1:14" x14ac:dyDescent="0.35">
      <c r="A97" t="s">
        <v>258</v>
      </c>
      <c r="B97" t="s">
        <v>749</v>
      </c>
      <c r="C97">
        <v>4635</v>
      </c>
      <c r="D97">
        <v>3742</v>
      </c>
      <c r="E97">
        <f>Table2[[#This Row],[Due_Amount]]-Table2[[#This Row],[Paid_Amount]]</f>
        <v>893</v>
      </c>
      <c r="F97" s="1">
        <v>45908</v>
      </c>
      <c r="G97">
        <v>16</v>
      </c>
      <c r="H97">
        <f>Table2[[#This Row],[Due_Amount]]*Table2[[#This Row],[Delay_Days]]</f>
        <v>74160</v>
      </c>
      <c r="I97" s="3" t="str">
        <f>IF(Table2[[#This Row],[Delay_Days]]=0,"On Time",IF(Table2[[#This Row],[Delay_Days]]&lt;=7,"Low Risk(1-7)",IF(Table2[[#This Row],[Delay_Days]]&lt;=15,"Medium Risk(8-15)",IF(Table2[[#This Row],[Delay_Days]]&lt;=30,"High Risk(16-30)","Severe Risk(30+)"))))</f>
        <v>High Risk(16-30)</v>
      </c>
      <c r="J97" s="5">
        <f>AVERAGE(Table2[Due_Amount])</f>
        <v>4635.1866666666665</v>
      </c>
      <c r="K97" s="5">
        <f>Table2[[#This Row],[Estimated_Market_Rent]]-Table2[[#This Row],[Due_Amount]]</f>
        <v>0.18666666666649689</v>
      </c>
      <c r="L97" s="6">
        <f>IF(Table2[[#This Row],[Current Rent Gap]]&gt;0,Table2[[#This Row],[Current Rent Gap]]/Table2[[#This Row],[Estimated_Market_Rent]],0)</f>
        <v>4.0271661119688143E-5</v>
      </c>
      <c r="M97" s="3" t="str">
        <f>IF(Table2[[#This Row],[Under_Market %]]&gt;0.1,"Underpriced","OK")</f>
        <v>OK</v>
      </c>
      <c r="N97" s="5">
        <f>SUMIFS(Table2[[#This Row],[Current Rent Gap]],Table2[[#This Row],[Current Rent Gap]],"&gt;0")</f>
        <v>0.18666666666649689</v>
      </c>
    </row>
    <row r="98" spans="1:14" x14ac:dyDescent="0.35">
      <c r="A98" t="s">
        <v>439</v>
      </c>
      <c r="B98" t="s">
        <v>754</v>
      </c>
      <c r="C98">
        <v>4113</v>
      </c>
      <c r="D98">
        <v>4015</v>
      </c>
      <c r="E98">
        <f>Table2[[#This Row],[Due_Amount]]-Table2[[#This Row],[Paid_Amount]]</f>
        <v>98</v>
      </c>
      <c r="F98" s="1">
        <v>45780</v>
      </c>
      <c r="G98">
        <v>20</v>
      </c>
      <c r="H98">
        <f>Table2[[#This Row],[Due_Amount]]*Table2[[#This Row],[Delay_Days]]</f>
        <v>82260</v>
      </c>
      <c r="I98" s="3" t="str">
        <f>IF(Table2[[#This Row],[Delay_Days]]=0,"On Time",IF(Table2[[#This Row],[Delay_Days]]&lt;=7,"Low Risk(1-7)",IF(Table2[[#This Row],[Delay_Days]]&lt;=15,"Medium Risk(8-15)",IF(Table2[[#This Row],[Delay_Days]]&lt;=30,"High Risk(16-30)","Severe Risk(30+)"))))</f>
        <v>High Risk(16-30)</v>
      </c>
      <c r="J98" s="5">
        <f>AVERAGE(Table2[Due_Amount])</f>
        <v>4635.1866666666665</v>
      </c>
      <c r="K98" s="5">
        <f>Table2[[#This Row],[Estimated_Market_Rent]]-Table2[[#This Row],[Due_Amount]]</f>
        <v>522.1866666666665</v>
      </c>
      <c r="L98" s="6">
        <f>IF(Table2[[#This Row],[Current Rent Gap]]&gt;0,Table2[[#This Row],[Current Rent Gap]]/Table2[[#This Row],[Estimated_Market_Rent]],0)</f>
        <v>0.11265709543520717</v>
      </c>
      <c r="M98" s="3" t="str">
        <f>IF(Table2[[#This Row],[Under_Market %]]&gt;0.1,"Underpriced","OK")</f>
        <v>Underpriced</v>
      </c>
      <c r="N98" s="5">
        <f>SUMIFS(Table2[[#This Row],[Current Rent Gap]],Table2[[#This Row],[Current Rent Gap]],"&gt;0")</f>
        <v>522.1866666666665</v>
      </c>
    </row>
    <row r="99" spans="1:14" x14ac:dyDescent="0.35">
      <c r="A99" t="s">
        <v>371</v>
      </c>
      <c r="B99" t="s">
        <v>743</v>
      </c>
      <c r="C99">
        <v>5469</v>
      </c>
      <c r="D99">
        <v>5021</v>
      </c>
      <c r="E99">
        <f>Table2[[#This Row],[Due_Amount]]-Table2[[#This Row],[Paid_Amount]]</f>
        <v>448</v>
      </c>
      <c r="F99" s="1">
        <v>45955</v>
      </c>
      <c r="G99">
        <v>21</v>
      </c>
      <c r="H99">
        <f>Table2[[#This Row],[Due_Amount]]*Table2[[#This Row],[Delay_Days]]</f>
        <v>114849</v>
      </c>
      <c r="I99" s="3" t="str">
        <f>IF(Table2[[#This Row],[Delay_Days]]=0,"On Time",IF(Table2[[#This Row],[Delay_Days]]&lt;=7,"Low Risk(1-7)",IF(Table2[[#This Row],[Delay_Days]]&lt;=15,"Medium Risk(8-15)",IF(Table2[[#This Row],[Delay_Days]]&lt;=30,"High Risk(16-30)","Severe Risk(30+)"))))</f>
        <v>High Risk(16-30)</v>
      </c>
      <c r="J99" s="5">
        <f>AVERAGE(Table2[Due_Amount])</f>
        <v>4635.1866666666665</v>
      </c>
      <c r="K99" s="5">
        <f>Table2[[#This Row],[Estimated_Market_Rent]]-Table2[[#This Row],[Due_Amount]]</f>
        <v>-833.8133333333335</v>
      </c>
      <c r="L99" s="6">
        <f>IF(Table2[[#This Row],[Current Rent Gap]]&gt;0,Table2[[#This Row],[Current Rent Gap]]/Table2[[#This Row],[Estimated_Market_Rent]],0)</f>
        <v>0</v>
      </c>
      <c r="M99" s="3" t="str">
        <f>IF(Table2[[#This Row],[Under_Market %]]&gt;0.1,"Underpriced","OK")</f>
        <v>OK</v>
      </c>
      <c r="N99" s="5">
        <f>SUMIFS(Table2[[#This Row],[Current Rent Gap]],Table2[[#This Row],[Current Rent Gap]],"&gt;0")</f>
        <v>0</v>
      </c>
    </row>
    <row r="100" spans="1:14" x14ac:dyDescent="0.35">
      <c r="A100" t="s">
        <v>202</v>
      </c>
      <c r="B100" t="s">
        <v>746</v>
      </c>
      <c r="C100">
        <v>4861</v>
      </c>
      <c r="D100">
        <v>4861</v>
      </c>
      <c r="E100">
        <f>Table2[[#This Row],[Due_Amount]]-Table2[[#This Row],[Paid_Amount]]</f>
        <v>0</v>
      </c>
      <c r="F100" s="1">
        <v>45805</v>
      </c>
      <c r="G100">
        <v>3</v>
      </c>
      <c r="H100">
        <f>Table2[[#This Row],[Due_Amount]]*Table2[[#This Row],[Delay_Days]]</f>
        <v>14583</v>
      </c>
      <c r="I100" s="3" t="str">
        <f>IF(Table2[[#This Row],[Delay_Days]]=0,"On Time",IF(Table2[[#This Row],[Delay_Days]]&lt;=7,"Low Risk(1-7)",IF(Table2[[#This Row],[Delay_Days]]&lt;=15,"Medium Risk(8-15)",IF(Table2[[#This Row],[Delay_Days]]&lt;=30,"High Risk(16-30)","Severe Risk(30+)"))))</f>
        <v>Low Risk(1-7)</v>
      </c>
      <c r="J100" s="5">
        <f>AVERAGE(Table2[Due_Amount])</f>
        <v>4635.1866666666665</v>
      </c>
      <c r="K100" s="5">
        <f>Table2[[#This Row],[Estimated_Market_Rent]]-Table2[[#This Row],[Due_Amount]]</f>
        <v>-225.8133333333335</v>
      </c>
      <c r="L100" s="6">
        <f>IF(Table2[[#This Row],[Current Rent Gap]]&gt;0,Table2[[#This Row],[Current Rent Gap]]/Table2[[#This Row],[Estimated_Market_Rent]],0)</f>
        <v>0</v>
      </c>
      <c r="M100" s="3" t="str">
        <f>IF(Table2[[#This Row],[Under_Market %]]&gt;0.1,"Underpriced","OK")</f>
        <v>OK</v>
      </c>
      <c r="N100" s="5">
        <f>SUMIFS(Table2[[#This Row],[Current Rent Gap]],Table2[[#This Row],[Current Rent Gap]],"&gt;0")</f>
        <v>0</v>
      </c>
    </row>
    <row r="101" spans="1:14" x14ac:dyDescent="0.35">
      <c r="A101" t="s">
        <v>240</v>
      </c>
      <c r="B101" t="s">
        <v>748</v>
      </c>
      <c r="C101">
        <v>4442</v>
      </c>
      <c r="D101">
        <v>4442</v>
      </c>
      <c r="E101">
        <f>Table2[[#This Row],[Due_Amount]]-Table2[[#This Row],[Paid_Amount]]</f>
        <v>0</v>
      </c>
      <c r="F101" s="1">
        <v>45909</v>
      </c>
      <c r="G101">
        <v>2</v>
      </c>
      <c r="H101">
        <f>Table2[[#This Row],[Due_Amount]]*Table2[[#This Row],[Delay_Days]]</f>
        <v>8884</v>
      </c>
      <c r="I101" s="3" t="str">
        <f>IF(Table2[[#This Row],[Delay_Days]]=0,"On Time",IF(Table2[[#This Row],[Delay_Days]]&lt;=7,"Low Risk(1-7)",IF(Table2[[#This Row],[Delay_Days]]&lt;=15,"Medium Risk(8-15)",IF(Table2[[#This Row],[Delay_Days]]&lt;=30,"High Risk(16-30)","Severe Risk(30+)"))))</f>
        <v>Low Risk(1-7)</v>
      </c>
      <c r="J101" s="5">
        <f>AVERAGE(Table2[Due_Amount])</f>
        <v>4635.1866666666665</v>
      </c>
      <c r="K101" s="5">
        <f>Table2[[#This Row],[Estimated_Market_Rent]]-Table2[[#This Row],[Due_Amount]]</f>
        <v>193.1866666666665</v>
      </c>
      <c r="L101" s="6">
        <f>IF(Table2[[#This Row],[Current Rent Gap]]&gt;0,Table2[[#This Row],[Current Rent Gap]]/Table2[[#This Row],[Estimated_Market_Rent]],0)</f>
        <v>4.1678292711692266E-2</v>
      </c>
      <c r="M101" s="3" t="str">
        <f>IF(Table2[[#This Row],[Under_Market %]]&gt;0.1,"Underpriced","OK")</f>
        <v>OK</v>
      </c>
      <c r="N101" s="5">
        <f>SUMIFS(Table2[[#This Row],[Current Rent Gap]],Table2[[#This Row],[Current Rent Gap]],"&gt;0")</f>
        <v>193.1866666666665</v>
      </c>
    </row>
    <row r="102" spans="1:14" x14ac:dyDescent="0.35">
      <c r="A102" t="s">
        <v>504</v>
      </c>
      <c r="B102" t="s">
        <v>749</v>
      </c>
      <c r="C102">
        <v>2819</v>
      </c>
      <c r="D102">
        <v>2819</v>
      </c>
      <c r="E102">
        <f>Table2[[#This Row],[Due_Amount]]-Table2[[#This Row],[Paid_Amount]]</f>
        <v>0</v>
      </c>
      <c r="F102" s="1">
        <v>45792</v>
      </c>
      <c r="G102">
        <v>7</v>
      </c>
      <c r="H102">
        <f>Table2[[#This Row],[Due_Amount]]*Table2[[#This Row],[Delay_Days]]</f>
        <v>19733</v>
      </c>
      <c r="I102" s="3" t="str">
        <f>IF(Table2[[#This Row],[Delay_Days]]=0,"On Time",IF(Table2[[#This Row],[Delay_Days]]&lt;=7,"Low Risk(1-7)",IF(Table2[[#This Row],[Delay_Days]]&lt;=15,"Medium Risk(8-15)",IF(Table2[[#This Row],[Delay_Days]]&lt;=30,"High Risk(16-30)","Severe Risk(30+)"))))</f>
        <v>Low Risk(1-7)</v>
      </c>
      <c r="J102" s="5">
        <f>AVERAGE(Table2[Due_Amount])</f>
        <v>4635.1866666666665</v>
      </c>
      <c r="K102" s="5">
        <f>Table2[[#This Row],[Estimated_Market_Rent]]-Table2[[#This Row],[Due_Amount]]</f>
        <v>1816.1866666666665</v>
      </c>
      <c r="L102" s="6">
        <f>IF(Table2[[#This Row],[Current Rent Gap]]&gt;0,Table2[[#This Row],[Current Rent Gap]]/Table2[[#This Row],[Estimated_Market_Rent]],0)</f>
        <v>0.39182600341158497</v>
      </c>
      <c r="M102" s="3" t="str">
        <f>IF(Table2[[#This Row],[Under_Market %]]&gt;0.1,"Underpriced","OK")</f>
        <v>Underpriced</v>
      </c>
      <c r="N102" s="5">
        <f>SUMIFS(Table2[[#This Row],[Current Rent Gap]],Table2[[#This Row],[Current Rent Gap]],"&gt;0")</f>
        <v>1816.1866666666665</v>
      </c>
    </row>
    <row r="103" spans="1:14" x14ac:dyDescent="0.35">
      <c r="A103" t="s">
        <v>550</v>
      </c>
      <c r="B103" t="s">
        <v>752</v>
      </c>
      <c r="C103">
        <v>5248</v>
      </c>
      <c r="D103">
        <v>5248</v>
      </c>
      <c r="E103">
        <f>Table2[[#This Row],[Due_Amount]]-Table2[[#This Row],[Paid_Amount]]</f>
        <v>0</v>
      </c>
      <c r="F103" s="1">
        <v>45936</v>
      </c>
      <c r="G103">
        <v>0</v>
      </c>
      <c r="H103">
        <f>Table2[[#This Row],[Due_Amount]]*Table2[[#This Row],[Delay_Days]]</f>
        <v>0</v>
      </c>
      <c r="I103" s="3" t="str">
        <f>IF(Table2[[#This Row],[Delay_Days]]=0,"On Time",IF(Table2[[#This Row],[Delay_Days]]&lt;=7,"Low Risk(1-7)",IF(Table2[[#This Row],[Delay_Days]]&lt;=15,"Medium Risk(8-15)",IF(Table2[[#This Row],[Delay_Days]]&lt;=30,"High Risk(16-30)","Severe Risk(30+)"))))</f>
        <v>On Time</v>
      </c>
      <c r="J103" s="5">
        <f>AVERAGE(Table2[Due_Amount])</f>
        <v>4635.1866666666665</v>
      </c>
      <c r="K103" s="5">
        <f>Table2[[#This Row],[Estimated_Market_Rent]]-Table2[[#This Row],[Due_Amount]]</f>
        <v>-612.8133333333335</v>
      </c>
      <c r="L103" s="6">
        <f>IF(Table2[[#This Row],[Current Rent Gap]]&gt;0,Table2[[#This Row],[Current Rent Gap]]/Table2[[#This Row],[Estimated_Market_Rent]],0)</f>
        <v>0</v>
      </c>
      <c r="M103" s="3" t="str">
        <f>IF(Table2[[#This Row],[Under_Market %]]&gt;0.1,"Underpriced","OK")</f>
        <v>OK</v>
      </c>
      <c r="N103" s="5">
        <f>SUMIFS(Table2[[#This Row],[Current Rent Gap]],Table2[[#This Row],[Current Rent Gap]],"&gt;0")</f>
        <v>0</v>
      </c>
    </row>
    <row r="104" spans="1:14" x14ac:dyDescent="0.35">
      <c r="A104" t="s">
        <v>80</v>
      </c>
      <c r="B104" t="s">
        <v>748</v>
      </c>
      <c r="C104">
        <v>6808</v>
      </c>
      <c r="D104">
        <v>5852</v>
      </c>
      <c r="E104">
        <f>Table2[[#This Row],[Due_Amount]]-Table2[[#This Row],[Paid_Amount]]</f>
        <v>956</v>
      </c>
      <c r="F104" s="1">
        <v>45666</v>
      </c>
      <c r="G104">
        <v>25</v>
      </c>
      <c r="H104">
        <f>Table2[[#This Row],[Due_Amount]]*Table2[[#This Row],[Delay_Days]]</f>
        <v>170200</v>
      </c>
      <c r="I104" s="3" t="str">
        <f>IF(Table2[[#This Row],[Delay_Days]]=0,"On Time",IF(Table2[[#This Row],[Delay_Days]]&lt;=7,"Low Risk(1-7)",IF(Table2[[#This Row],[Delay_Days]]&lt;=15,"Medium Risk(8-15)",IF(Table2[[#This Row],[Delay_Days]]&lt;=30,"High Risk(16-30)","Severe Risk(30+)"))))</f>
        <v>High Risk(16-30)</v>
      </c>
      <c r="J104" s="5">
        <f>AVERAGE(Table2[Due_Amount])</f>
        <v>4635.1866666666665</v>
      </c>
      <c r="K104" s="5">
        <f>Table2[[#This Row],[Estimated_Market_Rent]]-Table2[[#This Row],[Due_Amount]]</f>
        <v>-2172.8133333333335</v>
      </c>
      <c r="L104" s="6">
        <f>IF(Table2[[#This Row],[Current Rent Gap]]&gt;0,Table2[[#This Row],[Current Rent Gap]]/Table2[[#This Row],[Estimated_Market_Rent]],0)</f>
        <v>0</v>
      </c>
      <c r="M104" s="3" t="str">
        <f>IF(Table2[[#This Row],[Under_Market %]]&gt;0.1,"Underpriced","OK")</f>
        <v>OK</v>
      </c>
      <c r="N104" s="5">
        <f>SUMIFS(Table2[[#This Row],[Current Rent Gap]],Table2[[#This Row],[Current Rent Gap]],"&gt;0")</f>
        <v>0</v>
      </c>
    </row>
    <row r="105" spans="1:14" x14ac:dyDescent="0.35">
      <c r="A105" t="s">
        <v>726</v>
      </c>
      <c r="B105" t="s">
        <v>751</v>
      </c>
      <c r="C105">
        <v>5410</v>
      </c>
      <c r="D105">
        <v>5406</v>
      </c>
      <c r="E105">
        <f>Table2[[#This Row],[Due_Amount]]-Table2[[#This Row],[Paid_Amount]]</f>
        <v>4</v>
      </c>
      <c r="F105" s="1">
        <v>45897</v>
      </c>
      <c r="G105">
        <v>14</v>
      </c>
      <c r="H105">
        <f>Table2[[#This Row],[Due_Amount]]*Table2[[#This Row],[Delay_Days]]</f>
        <v>75740</v>
      </c>
      <c r="I105" s="3" t="str">
        <f>IF(Table2[[#This Row],[Delay_Days]]=0,"On Time",IF(Table2[[#This Row],[Delay_Days]]&lt;=7,"Low Risk(1-7)",IF(Table2[[#This Row],[Delay_Days]]&lt;=15,"Medium Risk(8-15)",IF(Table2[[#This Row],[Delay_Days]]&lt;=30,"High Risk(16-30)","Severe Risk(30+)"))))</f>
        <v>Medium Risk(8-15)</v>
      </c>
      <c r="J105" s="5">
        <f>AVERAGE(Table2[Due_Amount])</f>
        <v>4635.1866666666665</v>
      </c>
      <c r="K105" s="5">
        <f>Table2[[#This Row],[Estimated_Market_Rent]]-Table2[[#This Row],[Due_Amount]]</f>
        <v>-774.8133333333335</v>
      </c>
      <c r="L105" s="6">
        <f>IF(Table2[[#This Row],[Current Rent Gap]]&gt;0,Table2[[#This Row],[Current Rent Gap]]/Table2[[#This Row],[Estimated_Market_Rent]],0)</f>
        <v>0</v>
      </c>
      <c r="M105" s="3" t="str">
        <f>IF(Table2[[#This Row],[Under_Market %]]&gt;0.1,"Underpriced","OK")</f>
        <v>OK</v>
      </c>
      <c r="N105" s="5">
        <f>SUMIFS(Table2[[#This Row],[Current Rent Gap]],Table2[[#This Row],[Current Rent Gap]],"&gt;0")</f>
        <v>0</v>
      </c>
    </row>
    <row r="106" spans="1:14" x14ac:dyDescent="0.35">
      <c r="A106" t="s">
        <v>19</v>
      </c>
      <c r="B106" t="s">
        <v>751</v>
      </c>
      <c r="C106">
        <v>6357</v>
      </c>
      <c r="D106">
        <v>5787</v>
      </c>
      <c r="E106">
        <f>Table2[[#This Row],[Due_Amount]]-Table2[[#This Row],[Paid_Amount]]</f>
        <v>570</v>
      </c>
      <c r="F106" s="1">
        <v>45883</v>
      </c>
      <c r="G106">
        <v>25</v>
      </c>
      <c r="H106">
        <f>Table2[[#This Row],[Due_Amount]]*Table2[[#This Row],[Delay_Days]]</f>
        <v>158925</v>
      </c>
      <c r="I106" s="3" t="str">
        <f>IF(Table2[[#This Row],[Delay_Days]]=0,"On Time",IF(Table2[[#This Row],[Delay_Days]]&lt;=7,"Low Risk(1-7)",IF(Table2[[#This Row],[Delay_Days]]&lt;=15,"Medium Risk(8-15)",IF(Table2[[#This Row],[Delay_Days]]&lt;=30,"High Risk(16-30)","Severe Risk(30+)"))))</f>
        <v>High Risk(16-30)</v>
      </c>
      <c r="J106" s="5">
        <f>AVERAGE(Table2[Due_Amount])</f>
        <v>4635.1866666666665</v>
      </c>
      <c r="K106" s="5">
        <f>Table2[[#This Row],[Estimated_Market_Rent]]-Table2[[#This Row],[Due_Amount]]</f>
        <v>-1721.8133333333335</v>
      </c>
      <c r="L106" s="6">
        <f>IF(Table2[[#This Row],[Current Rent Gap]]&gt;0,Table2[[#This Row],[Current Rent Gap]]/Table2[[#This Row],[Estimated_Market_Rent]],0)</f>
        <v>0</v>
      </c>
      <c r="M106" s="3" t="str">
        <f>IF(Table2[[#This Row],[Under_Market %]]&gt;0.1,"Underpriced","OK")</f>
        <v>OK</v>
      </c>
      <c r="N106" s="5">
        <f>SUMIFS(Table2[[#This Row],[Current Rent Gap]],Table2[[#This Row],[Current Rent Gap]],"&gt;0")</f>
        <v>0</v>
      </c>
    </row>
    <row r="107" spans="1:14" x14ac:dyDescent="0.35">
      <c r="A107" t="s">
        <v>218</v>
      </c>
      <c r="B107" t="s">
        <v>753</v>
      </c>
      <c r="C107">
        <v>2634</v>
      </c>
      <c r="D107">
        <v>2634</v>
      </c>
      <c r="E107">
        <f>Table2[[#This Row],[Due_Amount]]-Table2[[#This Row],[Paid_Amount]]</f>
        <v>0</v>
      </c>
      <c r="F107" s="1">
        <v>45780</v>
      </c>
      <c r="G107">
        <v>6</v>
      </c>
      <c r="H107">
        <f>Table2[[#This Row],[Due_Amount]]*Table2[[#This Row],[Delay_Days]]</f>
        <v>15804</v>
      </c>
      <c r="I107" s="3" t="str">
        <f>IF(Table2[[#This Row],[Delay_Days]]=0,"On Time",IF(Table2[[#This Row],[Delay_Days]]&lt;=7,"Low Risk(1-7)",IF(Table2[[#This Row],[Delay_Days]]&lt;=15,"Medium Risk(8-15)",IF(Table2[[#This Row],[Delay_Days]]&lt;=30,"High Risk(16-30)","Severe Risk(30+)"))))</f>
        <v>Low Risk(1-7)</v>
      </c>
      <c r="J107" s="5">
        <f>AVERAGE(Table2[Due_Amount])</f>
        <v>4635.1866666666665</v>
      </c>
      <c r="K107" s="5">
        <f>Table2[[#This Row],[Estimated_Market_Rent]]-Table2[[#This Row],[Due_Amount]]</f>
        <v>2001.1866666666665</v>
      </c>
      <c r="L107" s="6">
        <f>IF(Table2[[#This Row],[Current Rent Gap]]&gt;0,Table2[[#This Row],[Current Rent Gap]]/Table2[[#This Row],[Estimated_Market_Rent]],0)</f>
        <v>0.4317380961284551</v>
      </c>
      <c r="M107" s="3" t="str">
        <f>IF(Table2[[#This Row],[Under_Market %]]&gt;0.1,"Underpriced","OK")</f>
        <v>Underpriced</v>
      </c>
      <c r="N107" s="5">
        <f>SUMIFS(Table2[[#This Row],[Current Rent Gap]],Table2[[#This Row],[Current Rent Gap]],"&gt;0")</f>
        <v>2001.1866666666665</v>
      </c>
    </row>
    <row r="108" spans="1:14" x14ac:dyDescent="0.35">
      <c r="A108" t="s">
        <v>710</v>
      </c>
      <c r="B108" t="s">
        <v>743</v>
      </c>
      <c r="C108">
        <v>2114</v>
      </c>
      <c r="D108">
        <v>1838</v>
      </c>
      <c r="E108">
        <f>Table2[[#This Row],[Due_Amount]]-Table2[[#This Row],[Paid_Amount]]</f>
        <v>276</v>
      </c>
      <c r="F108" s="1">
        <v>45801</v>
      </c>
      <c r="G108">
        <v>21</v>
      </c>
      <c r="H108">
        <f>Table2[[#This Row],[Due_Amount]]*Table2[[#This Row],[Delay_Days]]</f>
        <v>44394</v>
      </c>
      <c r="I108" s="3" t="str">
        <f>IF(Table2[[#This Row],[Delay_Days]]=0,"On Time",IF(Table2[[#This Row],[Delay_Days]]&lt;=7,"Low Risk(1-7)",IF(Table2[[#This Row],[Delay_Days]]&lt;=15,"Medium Risk(8-15)",IF(Table2[[#This Row],[Delay_Days]]&lt;=30,"High Risk(16-30)","Severe Risk(30+)"))))</f>
        <v>High Risk(16-30)</v>
      </c>
      <c r="J108" s="5">
        <f>AVERAGE(Table2[Due_Amount])</f>
        <v>4635.1866666666665</v>
      </c>
      <c r="K108" s="5">
        <f>Table2[[#This Row],[Estimated_Market_Rent]]-Table2[[#This Row],[Due_Amount]]</f>
        <v>2521.1866666666665</v>
      </c>
      <c r="L108" s="6">
        <f>IF(Table2[[#This Row],[Current Rent Gap]]&gt;0,Table2[[#This Row],[Current Rent Gap]]/Table2[[#This Row],[Estimated_Market_Rent]],0)</f>
        <v>0.5439234378191169</v>
      </c>
      <c r="M108" s="3" t="str">
        <f>IF(Table2[[#This Row],[Under_Market %]]&gt;0.1,"Underpriced","OK")</f>
        <v>Underpriced</v>
      </c>
      <c r="N108" s="5">
        <f>SUMIFS(Table2[[#This Row],[Current Rent Gap]],Table2[[#This Row],[Current Rent Gap]],"&gt;0")</f>
        <v>2521.1866666666665</v>
      </c>
    </row>
    <row r="109" spans="1:14" x14ac:dyDescent="0.35">
      <c r="A109" t="s">
        <v>730</v>
      </c>
      <c r="B109" t="s">
        <v>752</v>
      </c>
      <c r="C109">
        <v>2636</v>
      </c>
      <c r="D109">
        <v>2636</v>
      </c>
      <c r="E109">
        <f>Table2[[#This Row],[Due_Amount]]-Table2[[#This Row],[Paid_Amount]]</f>
        <v>0</v>
      </c>
      <c r="F109" s="1">
        <v>46018</v>
      </c>
      <c r="G109">
        <v>3</v>
      </c>
      <c r="H109">
        <f>Table2[[#This Row],[Due_Amount]]*Table2[[#This Row],[Delay_Days]]</f>
        <v>7908</v>
      </c>
      <c r="I109" s="3" t="str">
        <f>IF(Table2[[#This Row],[Delay_Days]]=0,"On Time",IF(Table2[[#This Row],[Delay_Days]]&lt;=7,"Low Risk(1-7)",IF(Table2[[#This Row],[Delay_Days]]&lt;=15,"Medium Risk(8-15)",IF(Table2[[#This Row],[Delay_Days]]&lt;=30,"High Risk(16-30)","Severe Risk(30+)"))))</f>
        <v>Low Risk(1-7)</v>
      </c>
      <c r="J109" s="5">
        <f>AVERAGE(Table2[Due_Amount])</f>
        <v>4635.1866666666665</v>
      </c>
      <c r="K109" s="5">
        <f>Table2[[#This Row],[Estimated_Market_Rent]]-Table2[[#This Row],[Due_Amount]]</f>
        <v>1999.1866666666665</v>
      </c>
      <c r="L109" s="6">
        <f>IF(Table2[[#This Row],[Current Rent Gap]]&gt;0,Table2[[#This Row],[Current Rent Gap]]/Table2[[#This Row],[Estimated_Market_Rent]],0)</f>
        <v>0.43130661404502946</v>
      </c>
      <c r="M109" s="3" t="str">
        <f>IF(Table2[[#This Row],[Under_Market %]]&gt;0.1,"Underpriced","OK")</f>
        <v>Underpriced</v>
      </c>
      <c r="N109" s="5">
        <f>SUMIFS(Table2[[#This Row],[Current Rent Gap]],Table2[[#This Row],[Current Rent Gap]],"&gt;0")</f>
        <v>1999.1866666666665</v>
      </c>
    </row>
    <row r="110" spans="1:14" x14ac:dyDescent="0.35">
      <c r="A110" t="s">
        <v>114</v>
      </c>
      <c r="B110" t="s">
        <v>753</v>
      </c>
      <c r="C110">
        <v>5604</v>
      </c>
      <c r="D110">
        <v>5604</v>
      </c>
      <c r="E110">
        <f>Table2[[#This Row],[Due_Amount]]-Table2[[#This Row],[Paid_Amount]]</f>
        <v>0</v>
      </c>
      <c r="F110" s="1">
        <v>45906</v>
      </c>
      <c r="G110">
        <v>5</v>
      </c>
      <c r="H110">
        <f>Table2[[#This Row],[Due_Amount]]*Table2[[#This Row],[Delay_Days]]</f>
        <v>28020</v>
      </c>
      <c r="I110" s="3" t="str">
        <f>IF(Table2[[#This Row],[Delay_Days]]=0,"On Time",IF(Table2[[#This Row],[Delay_Days]]&lt;=7,"Low Risk(1-7)",IF(Table2[[#This Row],[Delay_Days]]&lt;=15,"Medium Risk(8-15)",IF(Table2[[#This Row],[Delay_Days]]&lt;=30,"High Risk(16-30)","Severe Risk(30+)"))))</f>
        <v>Low Risk(1-7)</v>
      </c>
      <c r="J110" s="5">
        <f>AVERAGE(Table2[Due_Amount])</f>
        <v>4635.1866666666665</v>
      </c>
      <c r="K110" s="5">
        <f>Table2[[#This Row],[Estimated_Market_Rent]]-Table2[[#This Row],[Due_Amount]]</f>
        <v>-968.8133333333335</v>
      </c>
      <c r="L110" s="6">
        <f>IF(Table2[[#This Row],[Current Rent Gap]]&gt;0,Table2[[#This Row],[Current Rent Gap]]/Table2[[#This Row],[Estimated_Market_Rent]],0)</f>
        <v>0</v>
      </c>
      <c r="M110" s="3" t="str">
        <f>IF(Table2[[#This Row],[Under_Market %]]&gt;0.1,"Underpriced","OK")</f>
        <v>OK</v>
      </c>
      <c r="N110" s="5">
        <f>SUMIFS(Table2[[#This Row],[Current Rent Gap]],Table2[[#This Row],[Current Rent Gap]],"&gt;0")</f>
        <v>0</v>
      </c>
    </row>
    <row r="111" spans="1:14" x14ac:dyDescent="0.35">
      <c r="A111" t="s">
        <v>223</v>
      </c>
      <c r="B111" t="s">
        <v>750</v>
      </c>
      <c r="C111">
        <v>6461</v>
      </c>
      <c r="D111">
        <v>5985</v>
      </c>
      <c r="E111">
        <f>Table2[[#This Row],[Due_Amount]]-Table2[[#This Row],[Paid_Amount]]</f>
        <v>476</v>
      </c>
      <c r="F111" s="1">
        <v>45846</v>
      </c>
      <c r="G111">
        <v>21</v>
      </c>
      <c r="H111">
        <f>Table2[[#This Row],[Due_Amount]]*Table2[[#This Row],[Delay_Days]]</f>
        <v>135681</v>
      </c>
      <c r="I111" s="3" t="str">
        <f>IF(Table2[[#This Row],[Delay_Days]]=0,"On Time",IF(Table2[[#This Row],[Delay_Days]]&lt;=7,"Low Risk(1-7)",IF(Table2[[#This Row],[Delay_Days]]&lt;=15,"Medium Risk(8-15)",IF(Table2[[#This Row],[Delay_Days]]&lt;=30,"High Risk(16-30)","Severe Risk(30+)"))))</f>
        <v>High Risk(16-30)</v>
      </c>
      <c r="J111" s="5">
        <f>AVERAGE(Table2[Due_Amount])</f>
        <v>4635.1866666666665</v>
      </c>
      <c r="K111" s="5">
        <f>Table2[[#This Row],[Estimated_Market_Rent]]-Table2[[#This Row],[Due_Amount]]</f>
        <v>-1825.8133333333335</v>
      </c>
      <c r="L111" s="6">
        <f>IF(Table2[[#This Row],[Current Rent Gap]]&gt;0,Table2[[#This Row],[Current Rent Gap]]/Table2[[#This Row],[Estimated_Market_Rent]],0)</f>
        <v>0</v>
      </c>
      <c r="M111" s="3" t="str">
        <f>IF(Table2[[#This Row],[Under_Market %]]&gt;0.1,"Underpriced","OK")</f>
        <v>OK</v>
      </c>
      <c r="N111" s="5">
        <f>SUMIFS(Table2[[#This Row],[Current Rent Gap]],Table2[[#This Row],[Current Rent Gap]],"&gt;0")</f>
        <v>0</v>
      </c>
    </row>
    <row r="112" spans="1:14" x14ac:dyDescent="0.35">
      <c r="A112" t="s">
        <v>373</v>
      </c>
      <c r="B112" t="s">
        <v>752</v>
      </c>
      <c r="C112">
        <v>4248</v>
      </c>
      <c r="D112">
        <v>3495</v>
      </c>
      <c r="E112">
        <f>Table2[[#This Row],[Due_Amount]]-Table2[[#This Row],[Paid_Amount]]</f>
        <v>753</v>
      </c>
      <c r="F112" s="1">
        <v>45668</v>
      </c>
      <c r="G112">
        <v>24</v>
      </c>
      <c r="H112">
        <f>Table2[[#This Row],[Due_Amount]]*Table2[[#This Row],[Delay_Days]]</f>
        <v>101952</v>
      </c>
      <c r="I112" s="3" t="str">
        <f>IF(Table2[[#This Row],[Delay_Days]]=0,"On Time",IF(Table2[[#This Row],[Delay_Days]]&lt;=7,"Low Risk(1-7)",IF(Table2[[#This Row],[Delay_Days]]&lt;=15,"Medium Risk(8-15)",IF(Table2[[#This Row],[Delay_Days]]&lt;=30,"High Risk(16-30)","Severe Risk(30+)"))))</f>
        <v>High Risk(16-30)</v>
      </c>
      <c r="J112" s="5">
        <f>AVERAGE(Table2[Due_Amount])</f>
        <v>4635.1866666666665</v>
      </c>
      <c r="K112" s="5">
        <f>Table2[[#This Row],[Estimated_Market_Rent]]-Table2[[#This Row],[Due_Amount]]</f>
        <v>387.1866666666665</v>
      </c>
      <c r="L112" s="6">
        <f>IF(Table2[[#This Row],[Current Rent Gap]]&gt;0,Table2[[#This Row],[Current Rent Gap]]/Table2[[#This Row],[Estimated_Market_Rent]],0)</f>
        <v>8.3532054803977657E-2</v>
      </c>
      <c r="M112" s="3" t="str">
        <f>IF(Table2[[#This Row],[Under_Market %]]&gt;0.1,"Underpriced","OK")</f>
        <v>OK</v>
      </c>
      <c r="N112" s="5">
        <f>SUMIFS(Table2[[#This Row],[Current Rent Gap]],Table2[[#This Row],[Current Rent Gap]],"&gt;0")</f>
        <v>387.1866666666665</v>
      </c>
    </row>
    <row r="113" spans="1:14" x14ac:dyDescent="0.35">
      <c r="A113" t="s">
        <v>123</v>
      </c>
      <c r="B113" t="s">
        <v>747</v>
      </c>
      <c r="C113">
        <v>4826</v>
      </c>
      <c r="D113">
        <v>4826</v>
      </c>
      <c r="E113">
        <f>Table2[[#This Row],[Due_Amount]]-Table2[[#This Row],[Paid_Amount]]</f>
        <v>0</v>
      </c>
      <c r="F113" s="1">
        <v>45857</v>
      </c>
      <c r="G113">
        <v>7</v>
      </c>
      <c r="H113">
        <f>Table2[[#This Row],[Due_Amount]]*Table2[[#This Row],[Delay_Days]]</f>
        <v>33782</v>
      </c>
      <c r="I113" s="3" t="str">
        <f>IF(Table2[[#This Row],[Delay_Days]]=0,"On Time",IF(Table2[[#This Row],[Delay_Days]]&lt;=7,"Low Risk(1-7)",IF(Table2[[#This Row],[Delay_Days]]&lt;=15,"Medium Risk(8-15)",IF(Table2[[#This Row],[Delay_Days]]&lt;=30,"High Risk(16-30)","Severe Risk(30+)"))))</f>
        <v>Low Risk(1-7)</v>
      </c>
      <c r="J113" s="5">
        <f>AVERAGE(Table2[Due_Amount])</f>
        <v>4635.1866666666665</v>
      </c>
      <c r="K113" s="5">
        <f>Table2[[#This Row],[Estimated_Market_Rent]]-Table2[[#This Row],[Due_Amount]]</f>
        <v>-190.8133333333335</v>
      </c>
      <c r="L113" s="6">
        <f>IF(Table2[[#This Row],[Current Rent Gap]]&gt;0,Table2[[#This Row],[Current Rent Gap]]/Table2[[#This Row],[Estimated_Market_Rent]],0)</f>
        <v>0</v>
      </c>
      <c r="M113" s="3" t="str">
        <f>IF(Table2[[#This Row],[Under_Market %]]&gt;0.1,"Underpriced","OK")</f>
        <v>OK</v>
      </c>
      <c r="N113" s="5">
        <f>SUMIFS(Table2[[#This Row],[Current Rent Gap]],Table2[[#This Row],[Current Rent Gap]],"&gt;0")</f>
        <v>0</v>
      </c>
    </row>
    <row r="114" spans="1:14" x14ac:dyDescent="0.35">
      <c r="A114" t="s">
        <v>611</v>
      </c>
      <c r="B114" t="s">
        <v>744</v>
      </c>
      <c r="C114">
        <v>4567</v>
      </c>
      <c r="D114">
        <v>3668</v>
      </c>
      <c r="E114">
        <f>Table2[[#This Row],[Due_Amount]]-Table2[[#This Row],[Paid_Amount]]</f>
        <v>899</v>
      </c>
      <c r="F114" s="1">
        <v>45753</v>
      </c>
      <c r="G114">
        <v>10</v>
      </c>
      <c r="H114">
        <f>Table2[[#This Row],[Due_Amount]]*Table2[[#This Row],[Delay_Days]]</f>
        <v>45670</v>
      </c>
      <c r="I114" s="3" t="str">
        <f>IF(Table2[[#This Row],[Delay_Days]]=0,"On Time",IF(Table2[[#This Row],[Delay_Days]]&lt;=7,"Low Risk(1-7)",IF(Table2[[#This Row],[Delay_Days]]&lt;=15,"Medium Risk(8-15)",IF(Table2[[#This Row],[Delay_Days]]&lt;=30,"High Risk(16-30)","Severe Risk(30+)"))))</f>
        <v>Medium Risk(8-15)</v>
      </c>
      <c r="J114" s="5">
        <f>AVERAGE(Table2[Due_Amount])</f>
        <v>4635.1866666666665</v>
      </c>
      <c r="K114" s="5">
        <f>Table2[[#This Row],[Estimated_Market_Rent]]-Table2[[#This Row],[Due_Amount]]</f>
        <v>68.186666666666497</v>
      </c>
      <c r="L114" s="6">
        <f>IF(Table2[[#This Row],[Current Rent Gap]]&gt;0,Table2[[#This Row],[Current Rent Gap]]/Table2[[#This Row],[Estimated_Market_Rent]],0)</f>
        <v>1.4710662497590855E-2</v>
      </c>
      <c r="M114" s="3" t="str">
        <f>IF(Table2[[#This Row],[Under_Market %]]&gt;0.1,"Underpriced","OK")</f>
        <v>OK</v>
      </c>
      <c r="N114" s="5">
        <f>SUMIFS(Table2[[#This Row],[Current Rent Gap]],Table2[[#This Row],[Current Rent Gap]],"&gt;0")</f>
        <v>68.186666666666497</v>
      </c>
    </row>
    <row r="115" spans="1:14" x14ac:dyDescent="0.35">
      <c r="A115" t="s">
        <v>60</v>
      </c>
      <c r="B115" t="s">
        <v>750</v>
      </c>
      <c r="C115">
        <v>6670</v>
      </c>
      <c r="D115">
        <v>6364</v>
      </c>
      <c r="E115">
        <f>Table2[[#This Row],[Due_Amount]]-Table2[[#This Row],[Paid_Amount]]</f>
        <v>306</v>
      </c>
      <c r="F115" s="1">
        <v>45992</v>
      </c>
      <c r="G115">
        <v>18</v>
      </c>
      <c r="H115">
        <f>Table2[[#This Row],[Due_Amount]]*Table2[[#This Row],[Delay_Days]]</f>
        <v>120060</v>
      </c>
      <c r="I115" s="3" t="str">
        <f>IF(Table2[[#This Row],[Delay_Days]]=0,"On Time",IF(Table2[[#This Row],[Delay_Days]]&lt;=7,"Low Risk(1-7)",IF(Table2[[#This Row],[Delay_Days]]&lt;=15,"Medium Risk(8-15)",IF(Table2[[#This Row],[Delay_Days]]&lt;=30,"High Risk(16-30)","Severe Risk(30+)"))))</f>
        <v>High Risk(16-30)</v>
      </c>
      <c r="J115" s="5">
        <f>AVERAGE(Table2[Due_Amount])</f>
        <v>4635.1866666666665</v>
      </c>
      <c r="K115" s="5">
        <f>Table2[[#This Row],[Estimated_Market_Rent]]-Table2[[#This Row],[Due_Amount]]</f>
        <v>-2034.8133333333335</v>
      </c>
      <c r="L115" s="6">
        <f>IF(Table2[[#This Row],[Current Rent Gap]]&gt;0,Table2[[#This Row],[Current Rent Gap]]/Table2[[#This Row],[Estimated_Market_Rent]],0)</f>
        <v>0</v>
      </c>
      <c r="M115" s="3" t="str">
        <f>IF(Table2[[#This Row],[Under_Market %]]&gt;0.1,"Underpriced","OK")</f>
        <v>OK</v>
      </c>
      <c r="N115" s="5">
        <f>SUMIFS(Table2[[#This Row],[Current Rent Gap]],Table2[[#This Row],[Current Rent Gap]],"&gt;0")</f>
        <v>0</v>
      </c>
    </row>
    <row r="116" spans="1:14" x14ac:dyDescent="0.35">
      <c r="A116" t="s">
        <v>327</v>
      </c>
      <c r="B116" t="s">
        <v>747</v>
      </c>
      <c r="C116">
        <v>6033</v>
      </c>
      <c r="D116">
        <v>6033</v>
      </c>
      <c r="E116">
        <f>Table2[[#This Row],[Due_Amount]]-Table2[[#This Row],[Paid_Amount]]</f>
        <v>0</v>
      </c>
      <c r="F116" s="1">
        <v>45814</v>
      </c>
      <c r="G116">
        <v>7</v>
      </c>
      <c r="H116">
        <f>Table2[[#This Row],[Due_Amount]]*Table2[[#This Row],[Delay_Days]]</f>
        <v>42231</v>
      </c>
      <c r="I116" s="3" t="str">
        <f>IF(Table2[[#This Row],[Delay_Days]]=0,"On Time",IF(Table2[[#This Row],[Delay_Days]]&lt;=7,"Low Risk(1-7)",IF(Table2[[#This Row],[Delay_Days]]&lt;=15,"Medium Risk(8-15)",IF(Table2[[#This Row],[Delay_Days]]&lt;=30,"High Risk(16-30)","Severe Risk(30+)"))))</f>
        <v>Low Risk(1-7)</v>
      </c>
      <c r="J116" s="5">
        <f>AVERAGE(Table2[Due_Amount])</f>
        <v>4635.1866666666665</v>
      </c>
      <c r="K116" s="5">
        <f>Table2[[#This Row],[Estimated_Market_Rent]]-Table2[[#This Row],[Due_Amount]]</f>
        <v>-1397.8133333333335</v>
      </c>
      <c r="L116" s="6">
        <f>IF(Table2[[#This Row],[Current Rent Gap]]&gt;0,Table2[[#This Row],[Current Rent Gap]]/Table2[[#This Row],[Estimated_Market_Rent]],0)</f>
        <v>0</v>
      </c>
      <c r="M116" s="3" t="str">
        <f>IF(Table2[[#This Row],[Under_Market %]]&gt;0.1,"Underpriced","OK")</f>
        <v>OK</v>
      </c>
      <c r="N116" s="5">
        <f>SUMIFS(Table2[[#This Row],[Current Rent Gap]],Table2[[#This Row],[Current Rent Gap]],"&gt;0")</f>
        <v>0</v>
      </c>
    </row>
    <row r="117" spans="1:14" x14ac:dyDescent="0.35">
      <c r="A117" t="s">
        <v>550</v>
      </c>
      <c r="B117" t="s">
        <v>744</v>
      </c>
      <c r="C117">
        <v>6869</v>
      </c>
      <c r="D117">
        <v>6869</v>
      </c>
      <c r="E117">
        <f>Table2[[#This Row],[Due_Amount]]-Table2[[#This Row],[Paid_Amount]]</f>
        <v>0</v>
      </c>
      <c r="F117" s="1">
        <v>45798</v>
      </c>
      <c r="G117">
        <v>3</v>
      </c>
      <c r="H117">
        <f>Table2[[#This Row],[Due_Amount]]*Table2[[#This Row],[Delay_Days]]</f>
        <v>20607</v>
      </c>
      <c r="I117" s="3" t="str">
        <f>IF(Table2[[#This Row],[Delay_Days]]=0,"On Time",IF(Table2[[#This Row],[Delay_Days]]&lt;=7,"Low Risk(1-7)",IF(Table2[[#This Row],[Delay_Days]]&lt;=15,"Medium Risk(8-15)",IF(Table2[[#This Row],[Delay_Days]]&lt;=30,"High Risk(16-30)","Severe Risk(30+)"))))</f>
        <v>Low Risk(1-7)</v>
      </c>
      <c r="J117" s="5">
        <f>AVERAGE(Table2[Due_Amount])</f>
        <v>4635.1866666666665</v>
      </c>
      <c r="K117" s="5">
        <f>Table2[[#This Row],[Estimated_Market_Rent]]-Table2[[#This Row],[Due_Amount]]</f>
        <v>-2233.8133333333335</v>
      </c>
      <c r="L117" s="6">
        <f>IF(Table2[[#This Row],[Current Rent Gap]]&gt;0,Table2[[#This Row],[Current Rent Gap]]/Table2[[#This Row],[Estimated_Market_Rent]],0)</f>
        <v>0</v>
      </c>
      <c r="M117" s="3" t="str">
        <f>IF(Table2[[#This Row],[Under_Market %]]&gt;0.1,"Underpriced","OK")</f>
        <v>OK</v>
      </c>
      <c r="N117" s="5">
        <f>SUMIFS(Table2[[#This Row],[Current Rent Gap]],Table2[[#This Row],[Current Rent Gap]],"&gt;0")</f>
        <v>0</v>
      </c>
    </row>
    <row r="118" spans="1:14" x14ac:dyDescent="0.35">
      <c r="A118" t="s">
        <v>228</v>
      </c>
      <c r="B118" t="s">
        <v>753</v>
      </c>
      <c r="C118">
        <v>3746</v>
      </c>
      <c r="D118">
        <v>3746</v>
      </c>
      <c r="E118">
        <f>Table2[[#This Row],[Due_Amount]]-Table2[[#This Row],[Paid_Amount]]</f>
        <v>0</v>
      </c>
      <c r="F118" s="1">
        <v>45704</v>
      </c>
      <c r="G118">
        <v>7</v>
      </c>
      <c r="H118">
        <f>Table2[[#This Row],[Due_Amount]]*Table2[[#This Row],[Delay_Days]]</f>
        <v>26222</v>
      </c>
      <c r="I118" s="3" t="str">
        <f>IF(Table2[[#This Row],[Delay_Days]]=0,"On Time",IF(Table2[[#This Row],[Delay_Days]]&lt;=7,"Low Risk(1-7)",IF(Table2[[#This Row],[Delay_Days]]&lt;=15,"Medium Risk(8-15)",IF(Table2[[#This Row],[Delay_Days]]&lt;=30,"High Risk(16-30)","Severe Risk(30+)"))))</f>
        <v>Low Risk(1-7)</v>
      </c>
      <c r="J118" s="5">
        <f>AVERAGE(Table2[Due_Amount])</f>
        <v>4635.1866666666665</v>
      </c>
      <c r="K118" s="5">
        <f>Table2[[#This Row],[Estimated_Market_Rent]]-Table2[[#This Row],[Due_Amount]]</f>
        <v>889.1866666666665</v>
      </c>
      <c r="L118" s="6">
        <f>IF(Table2[[#This Row],[Current Rent Gap]]&gt;0,Table2[[#This Row],[Current Rent Gap]]/Table2[[#This Row],[Estimated_Market_Rent]],0)</f>
        <v>0.19183405774380893</v>
      </c>
      <c r="M118" s="3" t="str">
        <f>IF(Table2[[#This Row],[Under_Market %]]&gt;0.1,"Underpriced","OK")</f>
        <v>Underpriced</v>
      </c>
      <c r="N118" s="5">
        <f>SUMIFS(Table2[[#This Row],[Current Rent Gap]],Table2[[#This Row],[Current Rent Gap]],"&gt;0")</f>
        <v>889.1866666666665</v>
      </c>
    </row>
    <row r="119" spans="1:14" x14ac:dyDescent="0.35">
      <c r="A119" t="s">
        <v>330</v>
      </c>
      <c r="B119" t="s">
        <v>747</v>
      </c>
      <c r="C119">
        <v>4910</v>
      </c>
      <c r="D119">
        <v>4816</v>
      </c>
      <c r="E119">
        <f>Table2[[#This Row],[Due_Amount]]-Table2[[#This Row],[Paid_Amount]]</f>
        <v>94</v>
      </c>
      <c r="F119" s="1">
        <v>45995</v>
      </c>
      <c r="G119">
        <v>21</v>
      </c>
      <c r="H119">
        <f>Table2[[#This Row],[Due_Amount]]*Table2[[#This Row],[Delay_Days]]</f>
        <v>103110</v>
      </c>
      <c r="I119" s="3" t="str">
        <f>IF(Table2[[#This Row],[Delay_Days]]=0,"On Time",IF(Table2[[#This Row],[Delay_Days]]&lt;=7,"Low Risk(1-7)",IF(Table2[[#This Row],[Delay_Days]]&lt;=15,"Medium Risk(8-15)",IF(Table2[[#This Row],[Delay_Days]]&lt;=30,"High Risk(16-30)","Severe Risk(30+)"))))</f>
        <v>High Risk(16-30)</v>
      </c>
      <c r="J119" s="5">
        <f>AVERAGE(Table2[Due_Amount])</f>
        <v>4635.1866666666665</v>
      </c>
      <c r="K119" s="5">
        <f>Table2[[#This Row],[Estimated_Market_Rent]]-Table2[[#This Row],[Due_Amount]]</f>
        <v>-274.8133333333335</v>
      </c>
      <c r="L119" s="6">
        <f>IF(Table2[[#This Row],[Current Rent Gap]]&gt;0,Table2[[#This Row],[Current Rent Gap]]/Table2[[#This Row],[Estimated_Market_Rent]],0)</f>
        <v>0</v>
      </c>
      <c r="M119" s="3" t="str">
        <f>IF(Table2[[#This Row],[Under_Market %]]&gt;0.1,"Underpriced","OK")</f>
        <v>OK</v>
      </c>
      <c r="N119" s="5">
        <f>SUMIFS(Table2[[#This Row],[Current Rent Gap]],Table2[[#This Row],[Current Rent Gap]],"&gt;0")</f>
        <v>0</v>
      </c>
    </row>
    <row r="120" spans="1:14" x14ac:dyDescent="0.35">
      <c r="A120" t="s">
        <v>205</v>
      </c>
      <c r="B120" t="s">
        <v>748</v>
      </c>
      <c r="C120">
        <v>5769</v>
      </c>
      <c r="D120">
        <v>5769</v>
      </c>
      <c r="E120">
        <f>Table2[[#This Row],[Due_Amount]]-Table2[[#This Row],[Paid_Amount]]</f>
        <v>0</v>
      </c>
      <c r="F120" s="1">
        <v>45732</v>
      </c>
      <c r="G120">
        <v>0</v>
      </c>
      <c r="H120">
        <f>Table2[[#This Row],[Due_Amount]]*Table2[[#This Row],[Delay_Days]]</f>
        <v>0</v>
      </c>
      <c r="I120" s="3" t="str">
        <f>IF(Table2[[#This Row],[Delay_Days]]=0,"On Time",IF(Table2[[#This Row],[Delay_Days]]&lt;=7,"Low Risk(1-7)",IF(Table2[[#This Row],[Delay_Days]]&lt;=15,"Medium Risk(8-15)",IF(Table2[[#This Row],[Delay_Days]]&lt;=30,"High Risk(16-30)","Severe Risk(30+)"))))</f>
        <v>On Time</v>
      </c>
      <c r="J120" s="5">
        <f>AVERAGE(Table2[Due_Amount])</f>
        <v>4635.1866666666665</v>
      </c>
      <c r="K120" s="5">
        <f>Table2[[#This Row],[Estimated_Market_Rent]]-Table2[[#This Row],[Due_Amount]]</f>
        <v>-1133.8133333333335</v>
      </c>
      <c r="L120" s="6">
        <f>IF(Table2[[#This Row],[Current Rent Gap]]&gt;0,Table2[[#This Row],[Current Rent Gap]]/Table2[[#This Row],[Estimated_Market_Rent]],0)</f>
        <v>0</v>
      </c>
      <c r="M120" s="3" t="str">
        <f>IF(Table2[[#This Row],[Under_Market %]]&gt;0.1,"Underpriced","OK")</f>
        <v>OK</v>
      </c>
      <c r="N120" s="5">
        <f>SUMIFS(Table2[[#This Row],[Current Rent Gap]],Table2[[#This Row],[Current Rent Gap]],"&gt;0")</f>
        <v>0</v>
      </c>
    </row>
    <row r="121" spans="1:14" x14ac:dyDescent="0.35">
      <c r="A121" t="s">
        <v>312</v>
      </c>
      <c r="B121" t="s">
        <v>743</v>
      </c>
      <c r="C121">
        <v>2684</v>
      </c>
      <c r="D121">
        <v>2344</v>
      </c>
      <c r="E121">
        <f>Table2[[#This Row],[Due_Amount]]-Table2[[#This Row],[Paid_Amount]]</f>
        <v>340</v>
      </c>
      <c r="F121" s="1">
        <v>45825</v>
      </c>
      <c r="G121">
        <v>10</v>
      </c>
      <c r="H121">
        <f>Table2[[#This Row],[Due_Amount]]*Table2[[#This Row],[Delay_Days]]</f>
        <v>26840</v>
      </c>
      <c r="I121" s="3" t="str">
        <f>IF(Table2[[#This Row],[Delay_Days]]=0,"On Time",IF(Table2[[#This Row],[Delay_Days]]&lt;=7,"Low Risk(1-7)",IF(Table2[[#This Row],[Delay_Days]]&lt;=15,"Medium Risk(8-15)",IF(Table2[[#This Row],[Delay_Days]]&lt;=30,"High Risk(16-30)","Severe Risk(30+)"))))</f>
        <v>Medium Risk(8-15)</v>
      </c>
      <c r="J121" s="5">
        <f>AVERAGE(Table2[Due_Amount])</f>
        <v>4635.1866666666665</v>
      </c>
      <c r="K121" s="5">
        <f>Table2[[#This Row],[Estimated_Market_Rent]]-Table2[[#This Row],[Due_Amount]]</f>
        <v>1951.1866666666665</v>
      </c>
      <c r="L121" s="6">
        <f>IF(Table2[[#This Row],[Current Rent Gap]]&gt;0,Table2[[#This Row],[Current Rent Gap]]/Table2[[#This Row],[Estimated_Market_Rent]],0)</f>
        <v>0.42095104404281453</v>
      </c>
      <c r="M121" s="3" t="str">
        <f>IF(Table2[[#This Row],[Under_Market %]]&gt;0.1,"Underpriced","OK")</f>
        <v>Underpriced</v>
      </c>
      <c r="N121" s="5">
        <f>SUMIFS(Table2[[#This Row],[Current Rent Gap]],Table2[[#This Row],[Current Rent Gap]],"&gt;0")</f>
        <v>1951.1866666666665</v>
      </c>
    </row>
    <row r="122" spans="1:14" x14ac:dyDescent="0.35">
      <c r="A122" t="s">
        <v>296</v>
      </c>
      <c r="B122" t="s">
        <v>753</v>
      </c>
      <c r="C122">
        <v>5426</v>
      </c>
      <c r="D122">
        <v>5389</v>
      </c>
      <c r="E122">
        <f>Table2[[#This Row],[Due_Amount]]-Table2[[#This Row],[Paid_Amount]]</f>
        <v>37</v>
      </c>
      <c r="F122" s="1">
        <v>45681</v>
      </c>
      <c r="G122">
        <v>10</v>
      </c>
      <c r="H122">
        <f>Table2[[#This Row],[Due_Amount]]*Table2[[#This Row],[Delay_Days]]</f>
        <v>54260</v>
      </c>
      <c r="I122" s="3" t="str">
        <f>IF(Table2[[#This Row],[Delay_Days]]=0,"On Time",IF(Table2[[#This Row],[Delay_Days]]&lt;=7,"Low Risk(1-7)",IF(Table2[[#This Row],[Delay_Days]]&lt;=15,"Medium Risk(8-15)",IF(Table2[[#This Row],[Delay_Days]]&lt;=30,"High Risk(16-30)","Severe Risk(30+)"))))</f>
        <v>Medium Risk(8-15)</v>
      </c>
      <c r="J122" s="5">
        <f>AVERAGE(Table2[Due_Amount])</f>
        <v>4635.1866666666665</v>
      </c>
      <c r="K122" s="5">
        <f>Table2[[#This Row],[Estimated_Market_Rent]]-Table2[[#This Row],[Due_Amount]]</f>
        <v>-790.8133333333335</v>
      </c>
      <c r="L122" s="6">
        <f>IF(Table2[[#This Row],[Current Rent Gap]]&gt;0,Table2[[#This Row],[Current Rent Gap]]/Table2[[#This Row],[Estimated_Market_Rent]],0)</f>
        <v>0</v>
      </c>
      <c r="M122" s="3" t="str">
        <f>IF(Table2[[#This Row],[Under_Market %]]&gt;0.1,"Underpriced","OK")</f>
        <v>OK</v>
      </c>
      <c r="N122" s="5">
        <f>SUMIFS(Table2[[#This Row],[Current Rent Gap]],Table2[[#This Row],[Current Rent Gap]],"&gt;0")</f>
        <v>0</v>
      </c>
    </row>
    <row r="123" spans="1:14" x14ac:dyDescent="0.35">
      <c r="A123" t="s">
        <v>249</v>
      </c>
      <c r="B123" t="s">
        <v>753</v>
      </c>
      <c r="C123">
        <v>3394</v>
      </c>
      <c r="D123">
        <v>3394</v>
      </c>
      <c r="E123">
        <f>Table2[[#This Row],[Due_Amount]]-Table2[[#This Row],[Paid_Amount]]</f>
        <v>0</v>
      </c>
      <c r="F123" s="1">
        <v>45945</v>
      </c>
      <c r="G123">
        <v>3</v>
      </c>
      <c r="H123">
        <f>Table2[[#This Row],[Due_Amount]]*Table2[[#This Row],[Delay_Days]]</f>
        <v>10182</v>
      </c>
      <c r="I123" s="3" t="str">
        <f>IF(Table2[[#This Row],[Delay_Days]]=0,"On Time",IF(Table2[[#This Row],[Delay_Days]]&lt;=7,"Low Risk(1-7)",IF(Table2[[#This Row],[Delay_Days]]&lt;=15,"Medium Risk(8-15)",IF(Table2[[#This Row],[Delay_Days]]&lt;=30,"High Risk(16-30)","Severe Risk(30+)"))))</f>
        <v>Low Risk(1-7)</v>
      </c>
      <c r="J123" s="5">
        <f>AVERAGE(Table2[Due_Amount])</f>
        <v>4635.1866666666665</v>
      </c>
      <c r="K123" s="5">
        <f>Table2[[#This Row],[Estimated_Market_Rent]]-Table2[[#This Row],[Due_Amount]]</f>
        <v>1241.1866666666665</v>
      </c>
      <c r="L123" s="6">
        <f>IF(Table2[[#This Row],[Current Rent Gap]]&gt;0,Table2[[#This Row],[Current Rent Gap]]/Table2[[#This Row],[Estimated_Market_Rent]],0)</f>
        <v>0.26777490442671847</v>
      </c>
      <c r="M123" s="3" t="str">
        <f>IF(Table2[[#This Row],[Under_Market %]]&gt;0.1,"Underpriced","OK")</f>
        <v>Underpriced</v>
      </c>
      <c r="N123" s="5">
        <f>SUMIFS(Table2[[#This Row],[Current Rent Gap]],Table2[[#This Row],[Current Rent Gap]],"&gt;0")</f>
        <v>1241.1866666666665</v>
      </c>
    </row>
    <row r="124" spans="1:14" x14ac:dyDescent="0.35">
      <c r="A124" t="s">
        <v>388</v>
      </c>
      <c r="B124" t="s">
        <v>745</v>
      </c>
      <c r="C124">
        <v>4389</v>
      </c>
      <c r="D124">
        <v>4182</v>
      </c>
      <c r="E124">
        <f>Table2[[#This Row],[Due_Amount]]-Table2[[#This Row],[Paid_Amount]]</f>
        <v>207</v>
      </c>
      <c r="F124" s="1">
        <v>45913</v>
      </c>
      <c r="G124">
        <v>13</v>
      </c>
      <c r="H124">
        <f>Table2[[#This Row],[Due_Amount]]*Table2[[#This Row],[Delay_Days]]</f>
        <v>57057</v>
      </c>
      <c r="I124" s="3" t="str">
        <f>IF(Table2[[#This Row],[Delay_Days]]=0,"On Time",IF(Table2[[#This Row],[Delay_Days]]&lt;=7,"Low Risk(1-7)",IF(Table2[[#This Row],[Delay_Days]]&lt;=15,"Medium Risk(8-15)",IF(Table2[[#This Row],[Delay_Days]]&lt;=30,"High Risk(16-30)","Severe Risk(30+)"))))</f>
        <v>Medium Risk(8-15)</v>
      </c>
      <c r="J124" s="5">
        <f>AVERAGE(Table2[Due_Amount])</f>
        <v>4635.1866666666665</v>
      </c>
      <c r="K124" s="5">
        <f>Table2[[#This Row],[Estimated_Market_Rent]]-Table2[[#This Row],[Due_Amount]]</f>
        <v>246.1866666666665</v>
      </c>
      <c r="L124" s="6">
        <f>IF(Table2[[#This Row],[Current Rent Gap]]&gt;0,Table2[[#This Row],[Current Rent Gap]]/Table2[[#This Row],[Estimated_Market_Rent]],0)</f>
        <v>5.3112567922471265E-2</v>
      </c>
      <c r="M124" s="3" t="str">
        <f>IF(Table2[[#This Row],[Under_Market %]]&gt;0.1,"Underpriced","OK")</f>
        <v>OK</v>
      </c>
      <c r="N124" s="5">
        <f>SUMIFS(Table2[[#This Row],[Current Rent Gap]],Table2[[#This Row],[Current Rent Gap]],"&gt;0")</f>
        <v>246.1866666666665</v>
      </c>
    </row>
    <row r="125" spans="1:14" x14ac:dyDescent="0.35">
      <c r="A125" t="s">
        <v>75</v>
      </c>
      <c r="B125" t="s">
        <v>752</v>
      </c>
      <c r="C125">
        <v>4964</v>
      </c>
      <c r="D125">
        <v>4062</v>
      </c>
      <c r="E125">
        <f>Table2[[#This Row],[Due_Amount]]-Table2[[#This Row],[Paid_Amount]]</f>
        <v>902</v>
      </c>
      <c r="F125" s="1">
        <v>45757</v>
      </c>
      <c r="G125">
        <v>12</v>
      </c>
      <c r="H125">
        <f>Table2[[#This Row],[Due_Amount]]*Table2[[#This Row],[Delay_Days]]</f>
        <v>59568</v>
      </c>
      <c r="I125" s="3" t="str">
        <f>IF(Table2[[#This Row],[Delay_Days]]=0,"On Time",IF(Table2[[#This Row],[Delay_Days]]&lt;=7,"Low Risk(1-7)",IF(Table2[[#This Row],[Delay_Days]]&lt;=15,"Medium Risk(8-15)",IF(Table2[[#This Row],[Delay_Days]]&lt;=30,"High Risk(16-30)","Severe Risk(30+)"))))</f>
        <v>Medium Risk(8-15)</v>
      </c>
      <c r="J125" s="5">
        <f>AVERAGE(Table2[Due_Amount])</f>
        <v>4635.1866666666665</v>
      </c>
      <c r="K125" s="5">
        <f>Table2[[#This Row],[Estimated_Market_Rent]]-Table2[[#This Row],[Due_Amount]]</f>
        <v>-328.8133333333335</v>
      </c>
      <c r="L125" s="6">
        <f>IF(Table2[[#This Row],[Current Rent Gap]]&gt;0,Table2[[#This Row],[Current Rent Gap]]/Table2[[#This Row],[Estimated_Market_Rent]],0)</f>
        <v>0</v>
      </c>
      <c r="M125" s="3" t="str">
        <f>IF(Table2[[#This Row],[Under_Market %]]&gt;0.1,"Underpriced","OK")</f>
        <v>OK</v>
      </c>
      <c r="N125" s="5">
        <f>SUMIFS(Table2[[#This Row],[Current Rent Gap]],Table2[[#This Row],[Current Rent Gap]],"&gt;0")</f>
        <v>0</v>
      </c>
    </row>
    <row r="126" spans="1:14" x14ac:dyDescent="0.35">
      <c r="A126" t="s">
        <v>357</v>
      </c>
      <c r="B126" t="s">
        <v>754</v>
      </c>
      <c r="C126">
        <v>4181</v>
      </c>
      <c r="D126">
        <v>3236</v>
      </c>
      <c r="E126">
        <f>Table2[[#This Row],[Due_Amount]]-Table2[[#This Row],[Paid_Amount]]</f>
        <v>945</v>
      </c>
      <c r="F126" s="1">
        <v>45740</v>
      </c>
      <c r="G126">
        <v>14</v>
      </c>
      <c r="H126">
        <f>Table2[[#This Row],[Due_Amount]]*Table2[[#This Row],[Delay_Days]]</f>
        <v>58534</v>
      </c>
      <c r="I126" s="3" t="str">
        <f>IF(Table2[[#This Row],[Delay_Days]]=0,"On Time",IF(Table2[[#This Row],[Delay_Days]]&lt;=7,"Low Risk(1-7)",IF(Table2[[#This Row],[Delay_Days]]&lt;=15,"Medium Risk(8-15)",IF(Table2[[#This Row],[Delay_Days]]&lt;=30,"High Risk(16-30)","Severe Risk(30+)"))))</f>
        <v>Medium Risk(8-15)</v>
      </c>
      <c r="J126" s="5">
        <f>AVERAGE(Table2[Due_Amount])</f>
        <v>4635.1866666666665</v>
      </c>
      <c r="K126" s="5">
        <f>Table2[[#This Row],[Estimated_Market_Rent]]-Table2[[#This Row],[Due_Amount]]</f>
        <v>454.1866666666665</v>
      </c>
      <c r="L126" s="6">
        <f>IF(Table2[[#This Row],[Current Rent Gap]]&gt;0,Table2[[#This Row],[Current Rent Gap]]/Table2[[#This Row],[Estimated_Market_Rent]],0)</f>
        <v>9.7986704598736013E-2</v>
      </c>
      <c r="M126" s="3" t="str">
        <f>IF(Table2[[#This Row],[Under_Market %]]&gt;0.1,"Underpriced","OK")</f>
        <v>OK</v>
      </c>
      <c r="N126" s="5">
        <f>SUMIFS(Table2[[#This Row],[Current Rent Gap]],Table2[[#This Row],[Current Rent Gap]],"&gt;0")</f>
        <v>454.1866666666665</v>
      </c>
    </row>
    <row r="127" spans="1:14" x14ac:dyDescent="0.35">
      <c r="A127" t="s">
        <v>49</v>
      </c>
      <c r="B127" t="s">
        <v>751</v>
      </c>
      <c r="C127">
        <v>6288</v>
      </c>
      <c r="D127">
        <v>6288</v>
      </c>
      <c r="E127">
        <f>Table2[[#This Row],[Due_Amount]]-Table2[[#This Row],[Paid_Amount]]</f>
        <v>0</v>
      </c>
      <c r="F127" s="1">
        <v>45662</v>
      </c>
      <c r="G127">
        <v>0</v>
      </c>
      <c r="H127">
        <f>Table2[[#This Row],[Due_Amount]]*Table2[[#This Row],[Delay_Days]]</f>
        <v>0</v>
      </c>
      <c r="I127" s="3" t="str">
        <f>IF(Table2[[#This Row],[Delay_Days]]=0,"On Time",IF(Table2[[#This Row],[Delay_Days]]&lt;=7,"Low Risk(1-7)",IF(Table2[[#This Row],[Delay_Days]]&lt;=15,"Medium Risk(8-15)",IF(Table2[[#This Row],[Delay_Days]]&lt;=30,"High Risk(16-30)","Severe Risk(30+)"))))</f>
        <v>On Time</v>
      </c>
      <c r="J127" s="5">
        <f>AVERAGE(Table2[Due_Amount])</f>
        <v>4635.1866666666665</v>
      </c>
      <c r="K127" s="5">
        <f>Table2[[#This Row],[Estimated_Market_Rent]]-Table2[[#This Row],[Due_Amount]]</f>
        <v>-1652.8133333333335</v>
      </c>
      <c r="L127" s="6">
        <f>IF(Table2[[#This Row],[Current Rent Gap]]&gt;0,Table2[[#This Row],[Current Rent Gap]]/Table2[[#This Row],[Estimated_Market_Rent]],0)</f>
        <v>0</v>
      </c>
      <c r="M127" s="3" t="str">
        <f>IF(Table2[[#This Row],[Under_Market %]]&gt;0.1,"Underpriced","OK")</f>
        <v>OK</v>
      </c>
      <c r="N127" s="5">
        <f>SUMIFS(Table2[[#This Row],[Current Rent Gap]],Table2[[#This Row],[Current Rent Gap]],"&gt;0")</f>
        <v>0</v>
      </c>
    </row>
    <row r="128" spans="1:14" x14ac:dyDescent="0.35">
      <c r="A128" t="s">
        <v>595</v>
      </c>
      <c r="B128" t="s">
        <v>750</v>
      </c>
      <c r="C128">
        <v>2493</v>
      </c>
      <c r="D128">
        <v>1555</v>
      </c>
      <c r="E128">
        <f>Table2[[#This Row],[Due_Amount]]-Table2[[#This Row],[Paid_Amount]]</f>
        <v>938</v>
      </c>
      <c r="F128" s="1">
        <v>45897</v>
      </c>
      <c r="G128">
        <v>13</v>
      </c>
      <c r="H128">
        <f>Table2[[#This Row],[Due_Amount]]*Table2[[#This Row],[Delay_Days]]</f>
        <v>32409</v>
      </c>
      <c r="I128" s="3" t="str">
        <f>IF(Table2[[#This Row],[Delay_Days]]=0,"On Time",IF(Table2[[#This Row],[Delay_Days]]&lt;=7,"Low Risk(1-7)",IF(Table2[[#This Row],[Delay_Days]]&lt;=15,"Medium Risk(8-15)",IF(Table2[[#This Row],[Delay_Days]]&lt;=30,"High Risk(16-30)","Severe Risk(30+)"))))</f>
        <v>Medium Risk(8-15)</v>
      </c>
      <c r="J128" s="5">
        <f>AVERAGE(Table2[Due_Amount])</f>
        <v>4635.1866666666665</v>
      </c>
      <c r="K128" s="5">
        <f>Table2[[#This Row],[Estimated_Market_Rent]]-Table2[[#This Row],[Due_Amount]]</f>
        <v>2142.1866666666665</v>
      </c>
      <c r="L128" s="6">
        <f>IF(Table2[[#This Row],[Current Rent Gap]]&gt;0,Table2[[#This Row],[Current Rent Gap]]/Table2[[#This Row],[Estimated_Market_Rent]],0)</f>
        <v>0.46215758300996146</v>
      </c>
      <c r="M128" s="3" t="str">
        <f>IF(Table2[[#This Row],[Under_Market %]]&gt;0.1,"Underpriced","OK")</f>
        <v>Underpriced</v>
      </c>
      <c r="N128" s="5">
        <f>SUMIFS(Table2[[#This Row],[Current Rent Gap]],Table2[[#This Row],[Current Rent Gap]],"&gt;0")</f>
        <v>2142.1866666666665</v>
      </c>
    </row>
    <row r="129" spans="1:14" x14ac:dyDescent="0.35">
      <c r="A129" t="s">
        <v>26</v>
      </c>
      <c r="B129" t="s">
        <v>754</v>
      </c>
      <c r="C129">
        <v>5140</v>
      </c>
      <c r="D129">
        <v>5140</v>
      </c>
      <c r="E129">
        <f>Table2[[#This Row],[Due_Amount]]-Table2[[#This Row],[Paid_Amount]]</f>
        <v>0</v>
      </c>
      <c r="F129" s="1">
        <v>45876</v>
      </c>
      <c r="G129">
        <v>9</v>
      </c>
      <c r="H129">
        <f>Table2[[#This Row],[Due_Amount]]*Table2[[#This Row],[Delay_Days]]</f>
        <v>46260</v>
      </c>
      <c r="I129" s="3" t="str">
        <f>IF(Table2[[#This Row],[Delay_Days]]=0,"On Time",IF(Table2[[#This Row],[Delay_Days]]&lt;=7,"Low Risk(1-7)",IF(Table2[[#This Row],[Delay_Days]]&lt;=15,"Medium Risk(8-15)",IF(Table2[[#This Row],[Delay_Days]]&lt;=30,"High Risk(16-30)","Severe Risk(30+)"))))</f>
        <v>Medium Risk(8-15)</v>
      </c>
      <c r="J129" s="5">
        <f>AVERAGE(Table2[Due_Amount])</f>
        <v>4635.1866666666665</v>
      </c>
      <c r="K129" s="5">
        <f>Table2[[#This Row],[Estimated_Market_Rent]]-Table2[[#This Row],[Due_Amount]]</f>
        <v>-504.8133333333335</v>
      </c>
      <c r="L129" s="6">
        <f>IF(Table2[[#This Row],[Current Rent Gap]]&gt;0,Table2[[#This Row],[Current Rent Gap]]/Table2[[#This Row],[Estimated_Market_Rent]],0)</f>
        <v>0</v>
      </c>
      <c r="M129" s="3" t="str">
        <f>IF(Table2[[#This Row],[Under_Market %]]&gt;0.1,"Underpriced","OK")</f>
        <v>OK</v>
      </c>
      <c r="N129" s="5">
        <f>SUMIFS(Table2[[#This Row],[Current Rent Gap]],Table2[[#This Row],[Current Rent Gap]],"&gt;0")</f>
        <v>0</v>
      </c>
    </row>
    <row r="130" spans="1:14" x14ac:dyDescent="0.35">
      <c r="A130" t="s">
        <v>575</v>
      </c>
      <c r="B130" t="s">
        <v>743</v>
      </c>
      <c r="C130">
        <v>2844</v>
      </c>
      <c r="D130">
        <v>2196</v>
      </c>
      <c r="E130">
        <f>Table2[[#This Row],[Due_Amount]]-Table2[[#This Row],[Paid_Amount]]</f>
        <v>648</v>
      </c>
      <c r="F130" s="1">
        <v>45907</v>
      </c>
      <c r="G130">
        <v>23</v>
      </c>
      <c r="H130">
        <f>Table2[[#This Row],[Due_Amount]]*Table2[[#This Row],[Delay_Days]]</f>
        <v>65412</v>
      </c>
      <c r="I130" s="3" t="str">
        <f>IF(Table2[[#This Row],[Delay_Days]]=0,"On Time",IF(Table2[[#This Row],[Delay_Days]]&lt;=7,"Low Risk(1-7)",IF(Table2[[#This Row],[Delay_Days]]&lt;=15,"Medium Risk(8-15)",IF(Table2[[#This Row],[Delay_Days]]&lt;=30,"High Risk(16-30)","Severe Risk(30+)"))))</f>
        <v>High Risk(16-30)</v>
      </c>
      <c r="J130" s="5">
        <f>AVERAGE(Table2[Due_Amount])</f>
        <v>4635.1866666666665</v>
      </c>
      <c r="K130" s="5">
        <f>Table2[[#This Row],[Estimated_Market_Rent]]-Table2[[#This Row],[Due_Amount]]</f>
        <v>1791.1866666666665</v>
      </c>
      <c r="L130" s="6">
        <f>IF(Table2[[#This Row],[Current Rent Gap]]&gt;0,Table2[[#This Row],[Current Rent Gap]]/Table2[[#This Row],[Estimated_Market_Rent]],0)</f>
        <v>0.38643247736876468</v>
      </c>
      <c r="M130" s="3" t="str">
        <f>IF(Table2[[#This Row],[Under_Market %]]&gt;0.1,"Underpriced","OK")</f>
        <v>Underpriced</v>
      </c>
      <c r="N130" s="5">
        <f>SUMIFS(Table2[[#This Row],[Current Rent Gap]],Table2[[#This Row],[Current Rent Gap]],"&gt;0")</f>
        <v>1791.1866666666665</v>
      </c>
    </row>
    <row r="131" spans="1:14" x14ac:dyDescent="0.35">
      <c r="A131" t="s">
        <v>636</v>
      </c>
      <c r="B131" t="s">
        <v>751</v>
      </c>
      <c r="C131">
        <v>6576</v>
      </c>
      <c r="D131">
        <v>5922</v>
      </c>
      <c r="E131">
        <f>Table2[[#This Row],[Due_Amount]]-Table2[[#This Row],[Paid_Amount]]</f>
        <v>654</v>
      </c>
      <c r="F131" s="1">
        <v>45994</v>
      </c>
      <c r="G131">
        <v>21</v>
      </c>
      <c r="H131">
        <f>Table2[[#This Row],[Due_Amount]]*Table2[[#This Row],[Delay_Days]]</f>
        <v>138096</v>
      </c>
      <c r="I131" s="3" t="str">
        <f>IF(Table2[[#This Row],[Delay_Days]]=0,"On Time",IF(Table2[[#This Row],[Delay_Days]]&lt;=7,"Low Risk(1-7)",IF(Table2[[#This Row],[Delay_Days]]&lt;=15,"Medium Risk(8-15)",IF(Table2[[#This Row],[Delay_Days]]&lt;=30,"High Risk(16-30)","Severe Risk(30+)"))))</f>
        <v>High Risk(16-30)</v>
      </c>
      <c r="J131" s="5">
        <f>AVERAGE(Table2[Due_Amount])</f>
        <v>4635.1866666666665</v>
      </c>
      <c r="K131" s="5">
        <f>Table2[[#This Row],[Estimated_Market_Rent]]-Table2[[#This Row],[Due_Amount]]</f>
        <v>-1940.8133333333335</v>
      </c>
      <c r="L131" s="6">
        <f>IF(Table2[[#This Row],[Current Rent Gap]]&gt;0,Table2[[#This Row],[Current Rent Gap]]/Table2[[#This Row],[Estimated_Market_Rent]],0)</f>
        <v>0</v>
      </c>
      <c r="M131" s="3" t="str">
        <f>IF(Table2[[#This Row],[Under_Market %]]&gt;0.1,"Underpriced","OK")</f>
        <v>OK</v>
      </c>
      <c r="N131" s="5">
        <f>SUMIFS(Table2[[#This Row],[Current Rent Gap]],Table2[[#This Row],[Current Rent Gap]],"&gt;0")</f>
        <v>0</v>
      </c>
    </row>
    <row r="132" spans="1:14" x14ac:dyDescent="0.35">
      <c r="A132" t="s">
        <v>320</v>
      </c>
      <c r="B132" t="s">
        <v>746</v>
      </c>
      <c r="C132">
        <v>6642</v>
      </c>
      <c r="D132">
        <v>5644</v>
      </c>
      <c r="E132">
        <f>Table2[[#This Row],[Due_Amount]]-Table2[[#This Row],[Paid_Amount]]</f>
        <v>998</v>
      </c>
      <c r="F132" s="1">
        <v>45903</v>
      </c>
      <c r="G132">
        <v>14</v>
      </c>
      <c r="H132">
        <f>Table2[[#This Row],[Due_Amount]]*Table2[[#This Row],[Delay_Days]]</f>
        <v>92988</v>
      </c>
      <c r="I132" s="3" t="str">
        <f>IF(Table2[[#This Row],[Delay_Days]]=0,"On Time",IF(Table2[[#This Row],[Delay_Days]]&lt;=7,"Low Risk(1-7)",IF(Table2[[#This Row],[Delay_Days]]&lt;=15,"Medium Risk(8-15)",IF(Table2[[#This Row],[Delay_Days]]&lt;=30,"High Risk(16-30)","Severe Risk(30+)"))))</f>
        <v>Medium Risk(8-15)</v>
      </c>
      <c r="J132" s="5">
        <f>AVERAGE(Table2[Due_Amount])</f>
        <v>4635.1866666666665</v>
      </c>
      <c r="K132" s="5">
        <f>Table2[[#This Row],[Estimated_Market_Rent]]-Table2[[#This Row],[Due_Amount]]</f>
        <v>-2006.8133333333335</v>
      </c>
      <c r="L132" s="6">
        <f>IF(Table2[[#This Row],[Current Rent Gap]]&gt;0,Table2[[#This Row],[Current Rent Gap]]/Table2[[#This Row],[Estimated_Market_Rent]],0)</f>
        <v>0</v>
      </c>
      <c r="M132" s="3" t="str">
        <f>IF(Table2[[#This Row],[Under_Market %]]&gt;0.1,"Underpriced","OK")</f>
        <v>OK</v>
      </c>
      <c r="N132" s="5">
        <f>SUMIFS(Table2[[#This Row],[Current Rent Gap]],Table2[[#This Row],[Current Rent Gap]],"&gt;0")</f>
        <v>0</v>
      </c>
    </row>
    <row r="133" spans="1:14" x14ac:dyDescent="0.35">
      <c r="A133" t="s">
        <v>519</v>
      </c>
      <c r="B133" t="s">
        <v>750</v>
      </c>
      <c r="C133">
        <v>5050</v>
      </c>
      <c r="D133">
        <v>4781</v>
      </c>
      <c r="E133">
        <f>Table2[[#This Row],[Due_Amount]]-Table2[[#This Row],[Paid_Amount]]</f>
        <v>269</v>
      </c>
      <c r="F133" s="1">
        <v>45945</v>
      </c>
      <c r="G133">
        <v>20</v>
      </c>
      <c r="H133">
        <f>Table2[[#This Row],[Due_Amount]]*Table2[[#This Row],[Delay_Days]]</f>
        <v>101000</v>
      </c>
      <c r="I133" s="3" t="str">
        <f>IF(Table2[[#This Row],[Delay_Days]]=0,"On Time",IF(Table2[[#This Row],[Delay_Days]]&lt;=7,"Low Risk(1-7)",IF(Table2[[#This Row],[Delay_Days]]&lt;=15,"Medium Risk(8-15)",IF(Table2[[#This Row],[Delay_Days]]&lt;=30,"High Risk(16-30)","Severe Risk(30+)"))))</f>
        <v>High Risk(16-30)</v>
      </c>
      <c r="J133" s="5">
        <f>AVERAGE(Table2[Due_Amount])</f>
        <v>4635.1866666666665</v>
      </c>
      <c r="K133" s="5">
        <f>Table2[[#This Row],[Estimated_Market_Rent]]-Table2[[#This Row],[Due_Amount]]</f>
        <v>-414.8133333333335</v>
      </c>
      <c r="L133" s="6">
        <f>IF(Table2[[#This Row],[Current Rent Gap]]&gt;0,Table2[[#This Row],[Current Rent Gap]]/Table2[[#This Row],[Estimated_Market_Rent]],0)</f>
        <v>0</v>
      </c>
      <c r="M133" s="3" t="str">
        <f>IF(Table2[[#This Row],[Under_Market %]]&gt;0.1,"Underpriced","OK")</f>
        <v>OK</v>
      </c>
      <c r="N133" s="5">
        <f>SUMIFS(Table2[[#This Row],[Current Rent Gap]],Table2[[#This Row],[Current Rent Gap]],"&gt;0")</f>
        <v>0</v>
      </c>
    </row>
    <row r="134" spans="1:14" x14ac:dyDescent="0.35">
      <c r="A134" t="s">
        <v>439</v>
      </c>
      <c r="B134" t="s">
        <v>754</v>
      </c>
      <c r="C134">
        <v>6809</v>
      </c>
      <c r="D134">
        <v>5813</v>
      </c>
      <c r="E134">
        <f>Table2[[#This Row],[Due_Amount]]-Table2[[#This Row],[Paid_Amount]]</f>
        <v>996</v>
      </c>
      <c r="F134" s="1">
        <v>45926</v>
      </c>
      <c r="G134">
        <v>24</v>
      </c>
      <c r="H134">
        <f>Table2[[#This Row],[Due_Amount]]*Table2[[#This Row],[Delay_Days]]</f>
        <v>163416</v>
      </c>
      <c r="I134" s="3" t="str">
        <f>IF(Table2[[#This Row],[Delay_Days]]=0,"On Time",IF(Table2[[#This Row],[Delay_Days]]&lt;=7,"Low Risk(1-7)",IF(Table2[[#This Row],[Delay_Days]]&lt;=15,"Medium Risk(8-15)",IF(Table2[[#This Row],[Delay_Days]]&lt;=30,"High Risk(16-30)","Severe Risk(30+)"))))</f>
        <v>High Risk(16-30)</v>
      </c>
      <c r="J134" s="5">
        <f>AVERAGE(Table2[Due_Amount])</f>
        <v>4635.1866666666665</v>
      </c>
      <c r="K134" s="5">
        <f>Table2[[#This Row],[Estimated_Market_Rent]]-Table2[[#This Row],[Due_Amount]]</f>
        <v>-2173.8133333333335</v>
      </c>
      <c r="L134" s="6">
        <f>IF(Table2[[#This Row],[Current Rent Gap]]&gt;0,Table2[[#This Row],[Current Rent Gap]]/Table2[[#This Row],[Estimated_Market_Rent]],0)</f>
        <v>0</v>
      </c>
      <c r="M134" s="3" t="str">
        <f>IF(Table2[[#This Row],[Under_Market %]]&gt;0.1,"Underpriced","OK")</f>
        <v>OK</v>
      </c>
      <c r="N134" s="5">
        <f>SUMIFS(Table2[[#This Row],[Current Rent Gap]],Table2[[#This Row],[Current Rent Gap]],"&gt;0")</f>
        <v>0</v>
      </c>
    </row>
    <row r="135" spans="1:14" x14ac:dyDescent="0.35">
      <c r="A135" t="s">
        <v>287</v>
      </c>
      <c r="B135" t="s">
        <v>745</v>
      </c>
      <c r="C135">
        <v>6945</v>
      </c>
      <c r="D135">
        <v>6191</v>
      </c>
      <c r="E135">
        <f>Table2[[#This Row],[Due_Amount]]-Table2[[#This Row],[Paid_Amount]]</f>
        <v>754</v>
      </c>
      <c r="F135" s="1">
        <v>45946</v>
      </c>
      <c r="G135">
        <v>13</v>
      </c>
      <c r="H135">
        <f>Table2[[#This Row],[Due_Amount]]*Table2[[#This Row],[Delay_Days]]</f>
        <v>90285</v>
      </c>
      <c r="I135" s="3" t="str">
        <f>IF(Table2[[#This Row],[Delay_Days]]=0,"On Time",IF(Table2[[#This Row],[Delay_Days]]&lt;=7,"Low Risk(1-7)",IF(Table2[[#This Row],[Delay_Days]]&lt;=15,"Medium Risk(8-15)",IF(Table2[[#This Row],[Delay_Days]]&lt;=30,"High Risk(16-30)","Severe Risk(30+)"))))</f>
        <v>Medium Risk(8-15)</v>
      </c>
      <c r="J135" s="5">
        <f>AVERAGE(Table2[Due_Amount])</f>
        <v>4635.1866666666665</v>
      </c>
      <c r="K135" s="5">
        <f>Table2[[#This Row],[Estimated_Market_Rent]]-Table2[[#This Row],[Due_Amount]]</f>
        <v>-2309.8133333333335</v>
      </c>
      <c r="L135" s="6">
        <f>IF(Table2[[#This Row],[Current Rent Gap]]&gt;0,Table2[[#This Row],[Current Rent Gap]]/Table2[[#This Row],[Estimated_Market_Rent]],0)</f>
        <v>0</v>
      </c>
      <c r="M135" s="3" t="str">
        <f>IF(Table2[[#This Row],[Under_Market %]]&gt;0.1,"Underpriced","OK")</f>
        <v>OK</v>
      </c>
      <c r="N135" s="5">
        <f>SUMIFS(Table2[[#This Row],[Current Rent Gap]],Table2[[#This Row],[Current Rent Gap]],"&gt;0")</f>
        <v>0</v>
      </c>
    </row>
    <row r="136" spans="1:14" x14ac:dyDescent="0.35">
      <c r="A136" t="s">
        <v>216</v>
      </c>
      <c r="B136" t="s">
        <v>746</v>
      </c>
      <c r="C136">
        <v>5719</v>
      </c>
      <c r="D136">
        <v>5719</v>
      </c>
      <c r="E136">
        <f>Table2[[#This Row],[Due_Amount]]-Table2[[#This Row],[Paid_Amount]]</f>
        <v>0</v>
      </c>
      <c r="F136" s="1">
        <v>45815</v>
      </c>
      <c r="G136">
        <v>0</v>
      </c>
      <c r="H136">
        <f>Table2[[#This Row],[Due_Amount]]*Table2[[#This Row],[Delay_Days]]</f>
        <v>0</v>
      </c>
      <c r="I136" s="3" t="str">
        <f>IF(Table2[[#This Row],[Delay_Days]]=0,"On Time",IF(Table2[[#This Row],[Delay_Days]]&lt;=7,"Low Risk(1-7)",IF(Table2[[#This Row],[Delay_Days]]&lt;=15,"Medium Risk(8-15)",IF(Table2[[#This Row],[Delay_Days]]&lt;=30,"High Risk(16-30)","Severe Risk(30+)"))))</f>
        <v>On Time</v>
      </c>
      <c r="J136" s="5">
        <f>AVERAGE(Table2[Due_Amount])</f>
        <v>4635.1866666666665</v>
      </c>
      <c r="K136" s="5">
        <f>Table2[[#This Row],[Estimated_Market_Rent]]-Table2[[#This Row],[Due_Amount]]</f>
        <v>-1083.8133333333335</v>
      </c>
      <c r="L136" s="6">
        <f>IF(Table2[[#This Row],[Current Rent Gap]]&gt;0,Table2[[#This Row],[Current Rent Gap]]/Table2[[#This Row],[Estimated_Market_Rent]],0)</f>
        <v>0</v>
      </c>
      <c r="M136" s="3" t="str">
        <f>IF(Table2[[#This Row],[Under_Market %]]&gt;0.1,"Underpriced","OK")</f>
        <v>OK</v>
      </c>
      <c r="N136" s="5">
        <f>SUMIFS(Table2[[#This Row],[Current Rent Gap]],Table2[[#This Row],[Current Rent Gap]],"&gt;0")</f>
        <v>0</v>
      </c>
    </row>
    <row r="137" spans="1:14" x14ac:dyDescent="0.35">
      <c r="A137" t="s">
        <v>565</v>
      </c>
      <c r="B137" t="s">
        <v>751</v>
      </c>
      <c r="C137">
        <v>2635</v>
      </c>
      <c r="D137">
        <v>2635</v>
      </c>
      <c r="E137">
        <f>Table2[[#This Row],[Due_Amount]]-Table2[[#This Row],[Paid_Amount]]</f>
        <v>0</v>
      </c>
      <c r="F137" s="1">
        <v>45984</v>
      </c>
      <c r="G137">
        <v>7</v>
      </c>
      <c r="H137">
        <f>Table2[[#This Row],[Due_Amount]]*Table2[[#This Row],[Delay_Days]]</f>
        <v>18445</v>
      </c>
      <c r="I137" s="3" t="str">
        <f>IF(Table2[[#This Row],[Delay_Days]]=0,"On Time",IF(Table2[[#This Row],[Delay_Days]]&lt;=7,"Low Risk(1-7)",IF(Table2[[#This Row],[Delay_Days]]&lt;=15,"Medium Risk(8-15)",IF(Table2[[#This Row],[Delay_Days]]&lt;=30,"High Risk(16-30)","Severe Risk(30+)"))))</f>
        <v>Low Risk(1-7)</v>
      </c>
      <c r="J137" s="5">
        <f>AVERAGE(Table2[Due_Amount])</f>
        <v>4635.1866666666665</v>
      </c>
      <c r="K137" s="5">
        <f>Table2[[#This Row],[Estimated_Market_Rent]]-Table2[[#This Row],[Due_Amount]]</f>
        <v>2000.1866666666665</v>
      </c>
      <c r="L137" s="6">
        <f>IF(Table2[[#This Row],[Current Rent Gap]]&gt;0,Table2[[#This Row],[Current Rent Gap]]/Table2[[#This Row],[Estimated_Market_Rent]],0)</f>
        <v>0.43152235508674225</v>
      </c>
      <c r="M137" s="3" t="str">
        <f>IF(Table2[[#This Row],[Under_Market %]]&gt;0.1,"Underpriced","OK")</f>
        <v>Underpriced</v>
      </c>
      <c r="N137" s="5">
        <f>SUMIFS(Table2[[#This Row],[Current Rent Gap]],Table2[[#This Row],[Current Rent Gap]],"&gt;0")</f>
        <v>2000.1866666666665</v>
      </c>
    </row>
    <row r="138" spans="1:14" x14ac:dyDescent="0.35">
      <c r="A138" t="s">
        <v>648</v>
      </c>
      <c r="B138" t="s">
        <v>750</v>
      </c>
      <c r="C138">
        <v>6007</v>
      </c>
      <c r="D138">
        <v>6007</v>
      </c>
      <c r="E138">
        <f>Table2[[#This Row],[Due_Amount]]-Table2[[#This Row],[Paid_Amount]]</f>
        <v>0</v>
      </c>
      <c r="F138" s="1">
        <v>45934</v>
      </c>
      <c r="G138">
        <v>1</v>
      </c>
      <c r="H138">
        <f>Table2[[#This Row],[Due_Amount]]*Table2[[#This Row],[Delay_Days]]</f>
        <v>6007</v>
      </c>
      <c r="I138" s="3" t="str">
        <f>IF(Table2[[#This Row],[Delay_Days]]=0,"On Time",IF(Table2[[#This Row],[Delay_Days]]&lt;=7,"Low Risk(1-7)",IF(Table2[[#This Row],[Delay_Days]]&lt;=15,"Medium Risk(8-15)",IF(Table2[[#This Row],[Delay_Days]]&lt;=30,"High Risk(16-30)","Severe Risk(30+)"))))</f>
        <v>Low Risk(1-7)</v>
      </c>
      <c r="J138" s="5">
        <f>AVERAGE(Table2[Due_Amount])</f>
        <v>4635.1866666666665</v>
      </c>
      <c r="K138" s="5">
        <f>Table2[[#This Row],[Estimated_Market_Rent]]-Table2[[#This Row],[Due_Amount]]</f>
        <v>-1371.8133333333335</v>
      </c>
      <c r="L138" s="6">
        <f>IF(Table2[[#This Row],[Current Rent Gap]]&gt;0,Table2[[#This Row],[Current Rent Gap]]/Table2[[#This Row],[Estimated_Market_Rent]],0)</f>
        <v>0</v>
      </c>
      <c r="M138" s="3" t="str">
        <f>IF(Table2[[#This Row],[Under_Market %]]&gt;0.1,"Underpriced","OK")</f>
        <v>OK</v>
      </c>
      <c r="N138" s="5">
        <f>SUMIFS(Table2[[#This Row],[Current Rent Gap]],Table2[[#This Row],[Current Rent Gap]],"&gt;0")</f>
        <v>0</v>
      </c>
    </row>
    <row r="139" spans="1:14" x14ac:dyDescent="0.35">
      <c r="A139" t="s">
        <v>262</v>
      </c>
      <c r="B139" t="s">
        <v>749</v>
      </c>
      <c r="C139">
        <v>3257</v>
      </c>
      <c r="D139">
        <v>3257</v>
      </c>
      <c r="E139">
        <f>Table2[[#This Row],[Due_Amount]]-Table2[[#This Row],[Paid_Amount]]</f>
        <v>0</v>
      </c>
      <c r="F139" s="1">
        <v>45716</v>
      </c>
      <c r="G139">
        <v>1</v>
      </c>
      <c r="H139">
        <f>Table2[[#This Row],[Due_Amount]]*Table2[[#This Row],[Delay_Days]]</f>
        <v>3257</v>
      </c>
      <c r="I139" s="3" t="str">
        <f>IF(Table2[[#This Row],[Delay_Days]]=0,"On Time",IF(Table2[[#This Row],[Delay_Days]]&lt;=7,"Low Risk(1-7)",IF(Table2[[#This Row],[Delay_Days]]&lt;=15,"Medium Risk(8-15)",IF(Table2[[#This Row],[Delay_Days]]&lt;=30,"High Risk(16-30)","Severe Risk(30+)"))))</f>
        <v>Low Risk(1-7)</v>
      </c>
      <c r="J139" s="5">
        <f>AVERAGE(Table2[Due_Amount])</f>
        <v>4635.1866666666665</v>
      </c>
      <c r="K139" s="5">
        <f>Table2[[#This Row],[Estimated_Market_Rent]]-Table2[[#This Row],[Due_Amount]]</f>
        <v>1378.1866666666665</v>
      </c>
      <c r="L139" s="6">
        <f>IF(Table2[[#This Row],[Current Rent Gap]]&gt;0,Table2[[#This Row],[Current Rent Gap]]/Table2[[#This Row],[Estimated_Market_Rent]],0)</f>
        <v>0.29733142714137362</v>
      </c>
      <c r="M139" s="3" t="str">
        <f>IF(Table2[[#This Row],[Under_Market %]]&gt;0.1,"Underpriced","OK")</f>
        <v>Underpriced</v>
      </c>
      <c r="N139" s="5">
        <f>SUMIFS(Table2[[#This Row],[Current Rent Gap]],Table2[[#This Row],[Current Rent Gap]],"&gt;0")</f>
        <v>1378.1866666666665</v>
      </c>
    </row>
    <row r="140" spans="1:14" x14ac:dyDescent="0.35">
      <c r="A140" t="s">
        <v>634</v>
      </c>
      <c r="B140" t="s">
        <v>749</v>
      </c>
      <c r="C140">
        <v>5843</v>
      </c>
      <c r="D140">
        <v>5470</v>
      </c>
      <c r="E140">
        <f>Table2[[#This Row],[Due_Amount]]-Table2[[#This Row],[Paid_Amount]]</f>
        <v>373</v>
      </c>
      <c r="F140" s="1">
        <v>45911</v>
      </c>
      <c r="G140">
        <v>17</v>
      </c>
      <c r="H140">
        <f>Table2[[#This Row],[Due_Amount]]*Table2[[#This Row],[Delay_Days]]</f>
        <v>99331</v>
      </c>
      <c r="I140" s="3" t="str">
        <f>IF(Table2[[#This Row],[Delay_Days]]=0,"On Time",IF(Table2[[#This Row],[Delay_Days]]&lt;=7,"Low Risk(1-7)",IF(Table2[[#This Row],[Delay_Days]]&lt;=15,"Medium Risk(8-15)",IF(Table2[[#This Row],[Delay_Days]]&lt;=30,"High Risk(16-30)","Severe Risk(30+)"))))</f>
        <v>High Risk(16-30)</v>
      </c>
      <c r="J140" s="5">
        <f>AVERAGE(Table2[Due_Amount])</f>
        <v>4635.1866666666665</v>
      </c>
      <c r="K140" s="5">
        <f>Table2[[#This Row],[Estimated_Market_Rent]]-Table2[[#This Row],[Due_Amount]]</f>
        <v>-1207.8133333333335</v>
      </c>
      <c r="L140" s="6">
        <f>IF(Table2[[#This Row],[Current Rent Gap]]&gt;0,Table2[[#This Row],[Current Rent Gap]]/Table2[[#This Row],[Estimated_Market_Rent]],0)</f>
        <v>0</v>
      </c>
      <c r="M140" s="3" t="str">
        <f>IF(Table2[[#This Row],[Under_Market %]]&gt;0.1,"Underpriced","OK")</f>
        <v>OK</v>
      </c>
      <c r="N140" s="5">
        <f>SUMIFS(Table2[[#This Row],[Current Rent Gap]],Table2[[#This Row],[Current Rent Gap]],"&gt;0")</f>
        <v>0</v>
      </c>
    </row>
    <row r="141" spans="1:14" x14ac:dyDescent="0.35">
      <c r="A141" t="s">
        <v>363</v>
      </c>
      <c r="B141" t="s">
        <v>753</v>
      </c>
      <c r="C141">
        <v>6435</v>
      </c>
      <c r="D141">
        <v>6205</v>
      </c>
      <c r="E141">
        <f>Table2[[#This Row],[Due_Amount]]-Table2[[#This Row],[Paid_Amount]]</f>
        <v>230</v>
      </c>
      <c r="F141" s="1">
        <v>45674</v>
      </c>
      <c r="G141">
        <v>19</v>
      </c>
      <c r="H141">
        <f>Table2[[#This Row],[Due_Amount]]*Table2[[#This Row],[Delay_Days]]</f>
        <v>122265</v>
      </c>
      <c r="I141" s="3" t="str">
        <f>IF(Table2[[#This Row],[Delay_Days]]=0,"On Time",IF(Table2[[#This Row],[Delay_Days]]&lt;=7,"Low Risk(1-7)",IF(Table2[[#This Row],[Delay_Days]]&lt;=15,"Medium Risk(8-15)",IF(Table2[[#This Row],[Delay_Days]]&lt;=30,"High Risk(16-30)","Severe Risk(30+)"))))</f>
        <v>High Risk(16-30)</v>
      </c>
      <c r="J141" s="5">
        <f>AVERAGE(Table2[Due_Amount])</f>
        <v>4635.1866666666665</v>
      </c>
      <c r="K141" s="5">
        <f>Table2[[#This Row],[Estimated_Market_Rent]]-Table2[[#This Row],[Due_Amount]]</f>
        <v>-1799.8133333333335</v>
      </c>
      <c r="L141" s="6">
        <f>IF(Table2[[#This Row],[Current Rent Gap]]&gt;0,Table2[[#This Row],[Current Rent Gap]]/Table2[[#This Row],[Estimated_Market_Rent]],0)</f>
        <v>0</v>
      </c>
      <c r="M141" s="3" t="str">
        <f>IF(Table2[[#This Row],[Under_Market %]]&gt;0.1,"Underpriced","OK")</f>
        <v>OK</v>
      </c>
      <c r="N141" s="5">
        <f>SUMIFS(Table2[[#This Row],[Current Rent Gap]],Table2[[#This Row],[Current Rent Gap]],"&gt;0")</f>
        <v>0</v>
      </c>
    </row>
    <row r="142" spans="1:14" x14ac:dyDescent="0.35">
      <c r="A142" t="s">
        <v>398</v>
      </c>
      <c r="B142" t="s">
        <v>754</v>
      </c>
      <c r="C142">
        <v>4392</v>
      </c>
      <c r="D142">
        <v>3682</v>
      </c>
      <c r="E142">
        <f>Table2[[#This Row],[Due_Amount]]-Table2[[#This Row],[Paid_Amount]]</f>
        <v>710</v>
      </c>
      <c r="F142" s="1">
        <v>45964</v>
      </c>
      <c r="G142">
        <v>11</v>
      </c>
      <c r="H142">
        <f>Table2[[#This Row],[Due_Amount]]*Table2[[#This Row],[Delay_Days]]</f>
        <v>48312</v>
      </c>
      <c r="I142" s="3" t="str">
        <f>IF(Table2[[#This Row],[Delay_Days]]=0,"On Time",IF(Table2[[#This Row],[Delay_Days]]&lt;=7,"Low Risk(1-7)",IF(Table2[[#This Row],[Delay_Days]]&lt;=15,"Medium Risk(8-15)",IF(Table2[[#This Row],[Delay_Days]]&lt;=30,"High Risk(16-30)","Severe Risk(30+)"))))</f>
        <v>Medium Risk(8-15)</v>
      </c>
      <c r="J142" s="5">
        <f>AVERAGE(Table2[Due_Amount])</f>
        <v>4635.1866666666665</v>
      </c>
      <c r="K142" s="5">
        <f>Table2[[#This Row],[Estimated_Market_Rent]]-Table2[[#This Row],[Due_Amount]]</f>
        <v>243.1866666666665</v>
      </c>
      <c r="L142" s="6">
        <f>IF(Table2[[#This Row],[Current Rent Gap]]&gt;0,Table2[[#This Row],[Current Rent Gap]]/Table2[[#This Row],[Estimated_Market_Rent]],0)</f>
        <v>5.2465344797332829E-2</v>
      </c>
      <c r="M142" s="3" t="str">
        <f>IF(Table2[[#This Row],[Under_Market %]]&gt;0.1,"Underpriced","OK")</f>
        <v>OK</v>
      </c>
      <c r="N142" s="5">
        <f>SUMIFS(Table2[[#This Row],[Current Rent Gap]],Table2[[#This Row],[Current Rent Gap]],"&gt;0")</f>
        <v>243.1866666666665</v>
      </c>
    </row>
    <row r="143" spans="1:14" x14ac:dyDescent="0.35">
      <c r="A143" t="s">
        <v>611</v>
      </c>
      <c r="B143" t="s">
        <v>748</v>
      </c>
      <c r="C143">
        <v>2389</v>
      </c>
      <c r="D143">
        <v>1874</v>
      </c>
      <c r="E143">
        <f>Table2[[#This Row],[Due_Amount]]-Table2[[#This Row],[Paid_Amount]]</f>
        <v>515</v>
      </c>
      <c r="F143" s="1">
        <v>45671</v>
      </c>
      <c r="G143">
        <v>14</v>
      </c>
      <c r="H143">
        <f>Table2[[#This Row],[Due_Amount]]*Table2[[#This Row],[Delay_Days]]</f>
        <v>33446</v>
      </c>
      <c r="I143" s="3" t="str">
        <f>IF(Table2[[#This Row],[Delay_Days]]=0,"On Time",IF(Table2[[#This Row],[Delay_Days]]&lt;=7,"Low Risk(1-7)",IF(Table2[[#This Row],[Delay_Days]]&lt;=15,"Medium Risk(8-15)",IF(Table2[[#This Row],[Delay_Days]]&lt;=30,"High Risk(16-30)","Severe Risk(30+)"))))</f>
        <v>Medium Risk(8-15)</v>
      </c>
      <c r="J143" s="5">
        <f>AVERAGE(Table2[Due_Amount])</f>
        <v>4635.1866666666665</v>
      </c>
      <c r="K143" s="5">
        <f>Table2[[#This Row],[Estimated_Market_Rent]]-Table2[[#This Row],[Due_Amount]]</f>
        <v>2246.1866666666665</v>
      </c>
      <c r="L143" s="6">
        <f>IF(Table2[[#This Row],[Current Rent Gap]]&gt;0,Table2[[#This Row],[Current Rent Gap]]/Table2[[#This Row],[Estimated_Market_Rent]],0)</f>
        <v>0.48459465134809382</v>
      </c>
      <c r="M143" s="3" t="str">
        <f>IF(Table2[[#This Row],[Under_Market %]]&gt;0.1,"Underpriced","OK")</f>
        <v>Underpriced</v>
      </c>
      <c r="N143" s="5">
        <f>SUMIFS(Table2[[#This Row],[Current Rent Gap]],Table2[[#This Row],[Current Rent Gap]],"&gt;0")</f>
        <v>2246.1866666666665</v>
      </c>
    </row>
    <row r="144" spans="1:14" x14ac:dyDescent="0.35">
      <c r="A144" t="s">
        <v>275</v>
      </c>
      <c r="B144" t="s">
        <v>753</v>
      </c>
      <c r="C144">
        <v>4006</v>
      </c>
      <c r="D144">
        <v>4006</v>
      </c>
      <c r="E144">
        <f>Table2[[#This Row],[Due_Amount]]-Table2[[#This Row],[Paid_Amount]]</f>
        <v>0</v>
      </c>
      <c r="F144" s="1">
        <v>45941</v>
      </c>
      <c r="G144">
        <v>4</v>
      </c>
      <c r="H144">
        <f>Table2[[#This Row],[Due_Amount]]*Table2[[#This Row],[Delay_Days]]</f>
        <v>16024</v>
      </c>
      <c r="I144" s="3" t="str">
        <f>IF(Table2[[#This Row],[Delay_Days]]=0,"On Time",IF(Table2[[#This Row],[Delay_Days]]&lt;=7,"Low Risk(1-7)",IF(Table2[[#This Row],[Delay_Days]]&lt;=15,"Medium Risk(8-15)",IF(Table2[[#This Row],[Delay_Days]]&lt;=30,"High Risk(16-30)","Severe Risk(30+)"))))</f>
        <v>Low Risk(1-7)</v>
      </c>
      <c r="J144" s="5">
        <f>AVERAGE(Table2[Due_Amount])</f>
        <v>4635.1866666666665</v>
      </c>
      <c r="K144" s="5">
        <f>Table2[[#This Row],[Estimated_Market_Rent]]-Table2[[#This Row],[Due_Amount]]</f>
        <v>629.1866666666665</v>
      </c>
      <c r="L144" s="6">
        <f>IF(Table2[[#This Row],[Current Rent Gap]]&gt;0,Table2[[#This Row],[Current Rent Gap]]/Table2[[#This Row],[Estimated_Market_Rent]],0)</f>
        <v>0.13574138689847798</v>
      </c>
      <c r="M144" s="3" t="str">
        <f>IF(Table2[[#This Row],[Under_Market %]]&gt;0.1,"Underpriced","OK")</f>
        <v>Underpriced</v>
      </c>
      <c r="N144" s="5">
        <f>SUMIFS(Table2[[#This Row],[Current Rent Gap]],Table2[[#This Row],[Current Rent Gap]],"&gt;0")</f>
        <v>629.1866666666665</v>
      </c>
    </row>
    <row r="145" spans="1:14" x14ac:dyDescent="0.35">
      <c r="A145" t="s">
        <v>289</v>
      </c>
      <c r="B145" t="s">
        <v>749</v>
      </c>
      <c r="C145">
        <v>6092</v>
      </c>
      <c r="D145">
        <v>5509</v>
      </c>
      <c r="E145">
        <f>Table2[[#This Row],[Due_Amount]]-Table2[[#This Row],[Paid_Amount]]</f>
        <v>583</v>
      </c>
      <c r="F145" s="1">
        <v>45709</v>
      </c>
      <c r="G145">
        <v>16</v>
      </c>
      <c r="H145">
        <f>Table2[[#This Row],[Due_Amount]]*Table2[[#This Row],[Delay_Days]]</f>
        <v>97472</v>
      </c>
      <c r="I145" s="3" t="str">
        <f>IF(Table2[[#This Row],[Delay_Days]]=0,"On Time",IF(Table2[[#This Row],[Delay_Days]]&lt;=7,"Low Risk(1-7)",IF(Table2[[#This Row],[Delay_Days]]&lt;=15,"Medium Risk(8-15)",IF(Table2[[#This Row],[Delay_Days]]&lt;=30,"High Risk(16-30)","Severe Risk(30+)"))))</f>
        <v>High Risk(16-30)</v>
      </c>
      <c r="J145" s="5">
        <f>AVERAGE(Table2[Due_Amount])</f>
        <v>4635.1866666666665</v>
      </c>
      <c r="K145" s="5">
        <f>Table2[[#This Row],[Estimated_Market_Rent]]-Table2[[#This Row],[Due_Amount]]</f>
        <v>-1456.8133333333335</v>
      </c>
      <c r="L145" s="6">
        <f>IF(Table2[[#This Row],[Current Rent Gap]]&gt;0,Table2[[#This Row],[Current Rent Gap]]/Table2[[#This Row],[Estimated_Market_Rent]],0)</f>
        <v>0</v>
      </c>
      <c r="M145" s="3" t="str">
        <f>IF(Table2[[#This Row],[Under_Market %]]&gt;0.1,"Underpriced","OK")</f>
        <v>OK</v>
      </c>
      <c r="N145" s="5">
        <f>SUMIFS(Table2[[#This Row],[Current Rent Gap]],Table2[[#This Row],[Current Rent Gap]],"&gt;0")</f>
        <v>0</v>
      </c>
    </row>
    <row r="146" spans="1:14" x14ac:dyDescent="0.35">
      <c r="A146" t="s">
        <v>545</v>
      </c>
      <c r="B146" t="s">
        <v>745</v>
      </c>
      <c r="C146">
        <v>4792</v>
      </c>
      <c r="D146">
        <v>4653</v>
      </c>
      <c r="E146">
        <f>Table2[[#This Row],[Due_Amount]]-Table2[[#This Row],[Paid_Amount]]</f>
        <v>139</v>
      </c>
      <c r="F146" s="1">
        <v>45994</v>
      </c>
      <c r="G146">
        <v>13</v>
      </c>
      <c r="H146">
        <f>Table2[[#This Row],[Due_Amount]]*Table2[[#This Row],[Delay_Days]]</f>
        <v>62296</v>
      </c>
      <c r="I146" s="3" t="str">
        <f>IF(Table2[[#This Row],[Delay_Days]]=0,"On Time",IF(Table2[[#This Row],[Delay_Days]]&lt;=7,"Low Risk(1-7)",IF(Table2[[#This Row],[Delay_Days]]&lt;=15,"Medium Risk(8-15)",IF(Table2[[#This Row],[Delay_Days]]&lt;=30,"High Risk(16-30)","Severe Risk(30+)"))))</f>
        <v>Medium Risk(8-15)</v>
      </c>
      <c r="J146" s="5">
        <f>AVERAGE(Table2[Due_Amount])</f>
        <v>4635.1866666666665</v>
      </c>
      <c r="K146" s="5">
        <f>Table2[[#This Row],[Estimated_Market_Rent]]-Table2[[#This Row],[Due_Amount]]</f>
        <v>-156.8133333333335</v>
      </c>
      <c r="L146" s="6">
        <f>IF(Table2[[#This Row],[Current Rent Gap]]&gt;0,Table2[[#This Row],[Current Rent Gap]]/Table2[[#This Row],[Estimated_Market_Rent]],0)</f>
        <v>0</v>
      </c>
      <c r="M146" s="3" t="str">
        <f>IF(Table2[[#This Row],[Under_Market %]]&gt;0.1,"Underpriced","OK")</f>
        <v>OK</v>
      </c>
      <c r="N146" s="5">
        <f>SUMIFS(Table2[[#This Row],[Current Rent Gap]],Table2[[#This Row],[Current Rent Gap]],"&gt;0")</f>
        <v>0</v>
      </c>
    </row>
    <row r="147" spans="1:14" x14ac:dyDescent="0.35">
      <c r="A147" t="s">
        <v>663</v>
      </c>
      <c r="B147" t="s">
        <v>752</v>
      </c>
      <c r="C147">
        <v>6819</v>
      </c>
      <c r="D147">
        <v>6819</v>
      </c>
      <c r="E147">
        <f>Table2[[#This Row],[Due_Amount]]-Table2[[#This Row],[Paid_Amount]]</f>
        <v>0</v>
      </c>
      <c r="F147" s="1">
        <v>45933</v>
      </c>
      <c r="G147">
        <v>2</v>
      </c>
      <c r="H147">
        <f>Table2[[#This Row],[Due_Amount]]*Table2[[#This Row],[Delay_Days]]</f>
        <v>13638</v>
      </c>
      <c r="I147" s="3" t="str">
        <f>IF(Table2[[#This Row],[Delay_Days]]=0,"On Time",IF(Table2[[#This Row],[Delay_Days]]&lt;=7,"Low Risk(1-7)",IF(Table2[[#This Row],[Delay_Days]]&lt;=15,"Medium Risk(8-15)",IF(Table2[[#This Row],[Delay_Days]]&lt;=30,"High Risk(16-30)","Severe Risk(30+)"))))</f>
        <v>Low Risk(1-7)</v>
      </c>
      <c r="J147" s="5">
        <f>AVERAGE(Table2[Due_Amount])</f>
        <v>4635.1866666666665</v>
      </c>
      <c r="K147" s="5">
        <f>Table2[[#This Row],[Estimated_Market_Rent]]-Table2[[#This Row],[Due_Amount]]</f>
        <v>-2183.8133333333335</v>
      </c>
      <c r="L147" s="6">
        <f>IF(Table2[[#This Row],[Current Rent Gap]]&gt;0,Table2[[#This Row],[Current Rent Gap]]/Table2[[#This Row],[Estimated_Market_Rent]],0)</f>
        <v>0</v>
      </c>
      <c r="M147" s="3" t="str">
        <f>IF(Table2[[#This Row],[Under_Market %]]&gt;0.1,"Underpriced","OK")</f>
        <v>OK</v>
      </c>
      <c r="N147" s="5">
        <f>SUMIFS(Table2[[#This Row],[Current Rent Gap]],Table2[[#This Row],[Current Rent Gap]],"&gt;0")</f>
        <v>0</v>
      </c>
    </row>
    <row r="148" spans="1:14" x14ac:dyDescent="0.35">
      <c r="A148" t="s">
        <v>214</v>
      </c>
      <c r="B148" t="s">
        <v>754</v>
      </c>
      <c r="C148">
        <v>5322</v>
      </c>
      <c r="D148">
        <v>4888</v>
      </c>
      <c r="E148">
        <f>Table2[[#This Row],[Due_Amount]]-Table2[[#This Row],[Paid_Amount]]</f>
        <v>434</v>
      </c>
      <c r="F148" s="1">
        <v>45694</v>
      </c>
      <c r="G148">
        <v>22</v>
      </c>
      <c r="H148">
        <f>Table2[[#This Row],[Due_Amount]]*Table2[[#This Row],[Delay_Days]]</f>
        <v>117084</v>
      </c>
      <c r="I148" s="3" t="str">
        <f>IF(Table2[[#This Row],[Delay_Days]]=0,"On Time",IF(Table2[[#This Row],[Delay_Days]]&lt;=7,"Low Risk(1-7)",IF(Table2[[#This Row],[Delay_Days]]&lt;=15,"Medium Risk(8-15)",IF(Table2[[#This Row],[Delay_Days]]&lt;=30,"High Risk(16-30)","Severe Risk(30+)"))))</f>
        <v>High Risk(16-30)</v>
      </c>
      <c r="J148" s="5">
        <f>AVERAGE(Table2[Due_Amount])</f>
        <v>4635.1866666666665</v>
      </c>
      <c r="K148" s="5">
        <f>Table2[[#This Row],[Estimated_Market_Rent]]-Table2[[#This Row],[Due_Amount]]</f>
        <v>-686.8133333333335</v>
      </c>
      <c r="L148" s="6">
        <f>IF(Table2[[#This Row],[Current Rent Gap]]&gt;0,Table2[[#This Row],[Current Rent Gap]]/Table2[[#This Row],[Estimated_Market_Rent]],0)</f>
        <v>0</v>
      </c>
      <c r="M148" s="3" t="str">
        <f>IF(Table2[[#This Row],[Under_Market %]]&gt;0.1,"Underpriced","OK")</f>
        <v>OK</v>
      </c>
      <c r="N148" s="5">
        <f>SUMIFS(Table2[[#This Row],[Current Rent Gap]],Table2[[#This Row],[Current Rent Gap]],"&gt;0")</f>
        <v>0</v>
      </c>
    </row>
    <row r="149" spans="1:14" x14ac:dyDescent="0.35">
      <c r="A149" t="s">
        <v>565</v>
      </c>
      <c r="B149" t="s">
        <v>743</v>
      </c>
      <c r="C149">
        <v>2809</v>
      </c>
      <c r="D149">
        <v>1839</v>
      </c>
      <c r="E149">
        <f>Table2[[#This Row],[Due_Amount]]-Table2[[#This Row],[Paid_Amount]]</f>
        <v>970</v>
      </c>
      <c r="F149" s="1">
        <v>45878</v>
      </c>
      <c r="G149">
        <v>19</v>
      </c>
      <c r="H149">
        <f>Table2[[#This Row],[Due_Amount]]*Table2[[#This Row],[Delay_Days]]</f>
        <v>53371</v>
      </c>
      <c r="I149" s="3" t="str">
        <f>IF(Table2[[#This Row],[Delay_Days]]=0,"On Time",IF(Table2[[#This Row],[Delay_Days]]&lt;=7,"Low Risk(1-7)",IF(Table2[[#This Row],[Delay_Days]]&lt;=15,"Medium Risk(8-15)",IF(Table2[[#This Row],[Delay_Days]]&lt;=30,"High Risk(16-30)","Severe Risk(30+)"))))</f>
        <v>High Risk(16-30)</v>
      </c>
      <c r="J149" s="5">
        <f>AVERAGE(Table2[Due_Amount])</f>
        <v>4635.1866666666665</v>
      </c>
      <c r="K149" s="5">
        <f>Table2[[#This Row],[Estimated_Market_Rent]]-Table2[[#This Row],[Due_Amount]]</f>
        <v>1826.1866666666665</v>
      </c>
      <c r="L149" s="6">
        <f>IF(Table2[[#This Row],[Current Rent Gap]]&gt;0,Table2[[#This Row],[Current Rent Gap]]/Table2[[#This Row],[Estimated_Market_Rent]],0)</f>
        <v>0.3939834138287131</v>
      </c>
      <c r="M149" s="3" t="str">
        <f>IF(Table2[[#This Row],[Under_Market %]]&gt;0.1,"Underpriced","OK")</f>
        <v>Underpriced</v>
      </c>
      <c r="N149" s="5">
        <f>SUMIFS(Table2[[#This Row],[Current Rent Gap]],Table2[[#This Row],[Current Rent Gap]],"&gt;0")</f>
        <v>1826.1866666666665</v>
      </c>
    </row>
    <row r="150" spans="1:14" x14ac:dyDescent="0.35">
      <c r="A150" t="s">
        <v>188</v>
      </c>
      <c r="B150" t="s">
        <v>743</v>
      </c>
      <c r="C150">
        <v>6130</v>
      </c>
      <c r="D150">
        <v>6060</v>
      </c>
      <c r="E150">
        <f>Table2[[#This Row],[Due_Amount]]-Table2[[#This Row],[Paid_Amount]]</f>
        <v>70</v>
      </c>
      <c r="F150" s="1">
        <v>45879</v>
      </c>
      <c r="G150">
        <v>23</v>
      </c>
      <c r="H150">
        <f>Table2[[#This Row],[Due_Amount]]*Table2[[#This Row],[Delay_Days]]</f>
        <v>140990</v>
      </c>
      <c r="I150" s="3" t="str">
        <f>IF(Table2[[#This Row],[Delay_Days]]=0,"On Time",IF(Table2[[#This Row],[Delay_Days]]&lt;=7,"Low Risk(1-7)",IF(Table2[[#This Row],[Delay_Days]]&lt;=15,"Medium Risk(8-15)",IF(Table2[[#This Row],[Delay_Days]]&lt;=30,"High Risk(16-30)","Severe Risk(30+)"))))</f>
        <v>High Risk(16-30)</v>
      </c>
      <c r="J150" s="5">
        <f>AVERAGE(Table2[Due_Amount])</f>
        <v>4635.1866666666665</v>
      </c>
      <c r="K150" s="5">
        <f>Table2[[#This Row],[Estimated_Market_Rent]]-Table2[[#This Row],[Due_Amount]]</f>
        <v>-1494.8133333333335</v>
      </c>
      <c r="L150" s="6">
        <f>IF(Table2[[#This Row],[Current Rent Gap]]&gt;0,Table2[[#This Row],[Current Rent Gap]]/Table2[[#This Row],[Estimated_Market_Rent]],0)</f>
        <v>0</v>
      </c>
      <c r="M150" s="3" t="str">
        <f>IF(Table2[[#This Row],[Under_Market %]]&gt;0.1,"Underpriced","OK")</f>
        <v>OK</v>
      </c>
      <c r="N150" s="5">
        <f>SUMIFS(Table2[[#This Row],[Current Rent Gap]],Table2[[#This Row],[Current Rent Gap]],"&gt;0")</f>
        <v>0</v>
      </c>
    </row>
    <row r="151" spans="1:14" x14ac:dyDescent="0.35">
      <c r="A151" t="s">
        <v>510</v>
      </c>
      <c r="B151" t="s">
        <v>744</v>
      </c>
      <c r="C151">
        <v>5255</v>
      </c>
      <c r="D151">
        <v>5255</v>
      </c>
      <c r="E151">
        <f>Table2[[#This Row],[Due_Amount]]-Table2[[#This Row],[Paid_Amount]]</f>
        <v>0</v>
      </c>
      <c r="F151" s="1">
        <v>45896</v>
      </c>
      <c r="G151">
        <v>6</v>
      </c>
      <c r="H151">
        <f>Table2[[#This Row],[Due_Amount]]*Table2[[#This Row],[Delay_Days]]</f>
        <v>31530</v>
      </c>
      <c r="I151" s="3" t="str">
        <f>IF(Table2[[#This Row],[Delay_Days]]=0,"On Time",IF(Table2[[#This Row],[Delay_Days]]&lt;=7,"Low Risk(1-7)",IF(Table2[[#This Row],[Delay_Days]]&lt;=15,"Medium Risk(8-15)",IF(Table2[[#This Row],[Delay_Days]]&lt;=30,"High Risk(16-30)","Severe Risk(30+)"))))</f>
        <v>Low Risk(1-7)</v>
      </c>
      <c r="J151" s="5">
        <f>AVERAGE(Table2[Due_Amount])</f>
        <v>4635.1866666666665</v>
      </c>
      <c r="K151" s="5">
        <f>Table2[[#This Row],[Estimated_Market_Rent]]-Table2[[#This Row],[Due_Amount]]</f>
        <v>-619.8133333333335</v>
      </c>
      <c r="L151" s="6">
        <f>IF(Table2[[#This Row],[Current Rent Gap]]&gt;0,Table2[[#This Row],[Current Rent Gap]]/Table2[[#This Row],[Estimated_Market_Rent]],0)</f>
        <v>0</v>
      </c>
      <c r="M151" s="3" t="str">
        <f>IF(Table2[[#This Row],[Under_Market %]]&gt;0.1,"Underpriced","OK")</f>
        <v>OK</v>
      </c>
      <c r="N151" s="5">
        <f>SUMIFS(Table2[[#This Row],[Current Rent Gap]],Table2[[#This Row],[Current Rent Gap]],"&gt;0")</f>
        <v>0</v>
      </c>
    </row>
    <row r="152" spans="1:14" x14ac:dyDescent="0.35">
      <c r="A152" t="s">
        <v>554</v>
      </c>
      <c r="B152" t="s">
        <v>747</v>
      </c>
      <c r="C152">
        <v>4993</v>
      </c>
      <c r="D152">
        <v>4194</v>
      </c>
      <c r="E152">
        <f>Table2[[#This Row],[Due_Amount]]-Table2[[#This Row],[Paid_Amount]]</f>
        <v>799</v>
      </c>
      <c r="F152" s="1">
        <v>45979</v>
      </c>
      <c r="G152">
        <v>13</v>
      </c>
      <c r="H152">
        <f>Table2[[#This Row],[Due_Amount]]*Table2[[#This Row],[Delay_Days]]</f>
        <v>64909</v>
      </c>
      <c r="I152" s="3" t="str">
        <f>IF(Table2[[#This Row],[Delay_Days]]=0,"On Time",IF(Table2[[#This Row],[Delay_Days]]&lt;=7,"Low Risk(1-7)",IF(Table2[[#This Row],[Delay_Days]]&lt;=15,"Medium Risk(8-15)",IF(Table2[[#This Row],[Delay_Days]]&lt;=30,"High Risk(16-30)","Severe Risk(30+)"))))</f>
        <v>Medium Risk(8-15)</v>
      </c>
      <c r="J152" s="5">
        <f>AVERAGE(Table2[Due_Amount])</f>
        <v>4635.1866666666665</v>
      </c>
      <c r="K152" s="5">
        <f>Table2[[#This Row],[Estimated_Market_Rent]]-Table2[[#This Row],[Due_Amount]]</f>
        <v>-357.8133333333335</v>
      </c>
      <c r="L152" s="6">
        <f>IF(Table2[[#This Row],[Current Rent Gap]]&gt;0,Table2[[#This Row],[Current Rent Gap]]/Table2[[#This Row],[Estimated_Market_Rent]],0)</f>
        <v>0</v>
      </c>
      <c r="M152" s="3" t="str">
        <f>IF(Table2[[#This Row],[Under_Market %]]&gt;0.1,"Underpriced","OK")</f>
        <v>OK</v>
      </c>
      <c r="N152" s="5">
        <f>SUMIFS(Table2[[#This Row],[Current Rent Gap]],Table2[[#This Row],[Current Rent Gap]],"&gt;0")</f>
        <v>0</v>
      </c>
    </row>
    <row r="153" spans="1:14" x14ac:dyDescent="0.35">
      <c r="A153" t="s">
        <v>82</v>
      </c>
      <c r="B153" t="s">
        <v>747</v>
      </c>
      <c r="C153">
        <v>6033</v>
      </c>
      <c r="D153">
        <v>6033</v>
      </c>
      <c r="E153">
        <f>Table2[[#This Row],[Due_Amount]]-Table2[[#This Row],[Paid_Amount]]</f>
        <v>0</v>
      </c>
      <c r="F153" s="1">
        <v>45932</v>
      </c>
      <c r="G153">
        <v>6</v>
      </c>
      <c r="H153">
        <f>Table2[[#This Row],[Due_Amount]]*Table2[[#This Row],[Delay_Days]]</f>
        <v>36198</v>
      </c>
      <c r="I153" s="3" t="str">
        <f>IF(Table2[[#This Row],[Delay_Days]]=0,"On Time",IF(Table2[[#This Row],[Delay_Days]]&lt;=7,"Low Risk(1-7)",IF(Table2[[#This Row],[Delay_Days]]&lt;=15,"Medium Risk(8-15)",IF(Table2[[#This Row],[Delay_Days]]&lt;=30,"High Risk(16-30)","Severe Risk(30+)"))))</f>
        <v>Low Risk(1-7)</v>
      </c>
      <c r="J153" s="5">
        <f>AVERAGE(Table2[Due_Amount])</f>
        <v>4635.1866666666665</v>
      </c>
      <c r="K153" s="5">
        <f>Table2[[#This Row],[Estimated_Market_Rent]]-Table2[[#This Row],[Due_Amount]]</f>
        <v>-1397.8133333333335</v>
      </c>
      <c r="L153" s="6">
        <f>IF(Table2[[#This Row],[Current Rent Gap]]&gt;0,Table2[[#This Row],[Current Rent Gap]]/Table2[[#This Row],[Estimated_Market_Rent]],0)</f>
        <v>0</v>
      </c>
      <c r="M153" s="3" t="str">
        <f>IF(Table2[[#This Row],[Under_Market %]]&gt;0.1,"Underpriced","OK")</f>
        <v>OK</v>
      </c>
      <c r="N153" s="5">
        <f>SUMIFS(Table2[[#This Row],[Current Rent Gap]],Table2[[#This Row],[Current Rent Gap]],"&gt;0")</f>
        <v>0</v>
      </c>
    </row>
    <row r="154" spans="1:14" x14ac:dyDescent="0.35">
      <c r="A154" t="s">
        <v>632</v>
      </c>
      <c r="B154" t="s">
        <v>754</v>
      </c>
      <c r="C154">
        <v>6025</v>
      </c>
      <c r="D154">
        <v>6025</v>
      </c>
      <c r="E154">
        <f>Table2[[#This Row],[Due_Amount]]-Table2[[#This Row],[Paid_Amount]]</f>
        <v>0</v>
      </c>
      <c r="F154" s="1">
        <v>45970</v>
      </c>
      <c r="G154">
        <v>6</v>
      </c>
      <c r="H154">
        <f>Table2[[#This Row],[Due_Amount]]*Table2[[#This Row],[Delay_Days]]</f>
        <v>36150</v>
      </c>
      <c r="I154" s="3" t="str">
        <f>IF(Table2[[#This Row],[Delay_Days]]=0,"On Time",IF(Table2[[#This Row],[Delay_Days]]&lt;=7,"Low Risk(1-7)",IF(Table2[[#This Row],[Delay_Days]]&lt;=15,"Medium Risk(8-15)",IF(Table2[[#This Row],[Delay_Days]]&lt;=30,"High Risk(16-30)","Severe Risk(30+)"))))</f>
        <v>Low Risk(1-7)</v>
      </c>
      <c r="J154" s="5">
        <f>AVERAGE(Table2[Due_Amount])</f>
        <v>4635.1866666666665</v>
      </c>
      <c r="K154" s="5">
        <f>Table2[[#This Row],[Estimated_Market_Rent]]-Table2[[#This Row],[Due_Amount]]</f>
        <v>-1389.8133333333335</v>
      </c>
      <c r="L154" s="6">
        <f>IF(Table2[[#This Row],[Current Rent Gap]]&gt;0,Table2[[#This Row],[Current Rent Gap]]/Table2[[#This Row],[Estimated_Market_Rent]],0)</f>
        <v>0</v>
      </c>
      <c r="M154" s="3" t="str">
        <f>IF(Table2[[#This Row],[Under_Market %]]&gt;0.1,"Underpriced","OK")</f>
        <v>OK</v>
      </c>
      <c r="N154" s="5">
        <f>SUMIFS(Table2[[#This Row],[Current Rent Gap]],Table2[[#This Row],[Current Rent Gap]],"&gt;0")</f>
        <v>0</v>
      </c>
    </row>
    <row r="155" spans="1:14" x14ac:dyDescent="0.35">
      <c r="A155" t="s">
        <v>580</v>
      </c>
      <c r="B155" t="s">
        <v>746</v>
      </c>
      <c r="C155">
        <v>2562</v>
      </c>
      <c r="D155">
        <v>2562</v>
      </c>
      <c r="E155">
        <f>Table2[[#This Row],[Due_Amount]]-Table2[[#This Row],[Paid_Amount]]</f>
        <v>0</v>
      </c>
      <c r="F155" s="1">
        <v>45943</v>
      </c>
      <c r="G155">
        <v>7</v>
      </c>
      <c r="H155">
        <f>Table2[[#This Row],[Due_Amount]]*Table2[[#This Row],[Delay_Days]]</f>
        <v>17934</v>
      </c>
      <c r="I155" s="3" t="str">
        <f>IF(Table2[[#This Row],[Delay_Days]]=0,"On Time",IF(Table2[[#This Row],[Delay_Days]]&lt;=7,"Low Risk(1-7)",IF(Table2[[#This Row],[Delay_Days]]&lt;=15,"Medium Risk(8-15)",IF(Table2[[#This Row],[Delay_Days]]&lt;=30,"High Risk(16-30)","Severe Risk(30+)"))))</f>
        <v>Low Risk(1-7)</v>
      </c>
      <c r="J155" s="5">
        <f>AVERAGE(Table2[Due_Amount])</f>
        <v>4635.1866666666665</v>
      </c>
      <c r="K155" s="5">
        <f>Table2[[#This Row],[Estimated_Market_Rent]]-Table2[[#This Row],[Due_Amount]]</f>
        <v>2073.1866666666665</v>
      </c>
      <c r="L155" s="6">
        <f>IF(Table2[[#This Row],[Current Rent Gap]]&gt;0,Table2[[#This Row],[Current Rent Gap]]/Table2[[#This Row],[Estimated_Market_Rent]],0)</f>
        <v>0.44727145113177746</v>
      </c>
      <c r="M155" s="3" t="str">
        <f>IF(Table2[[#This Row],[Under_Market %]]&gt;0.1,"Underpriced","OK")</f>
        <v>Underpriced</v>
      </c>
      <c r="N155" s="5">
        <f>SUMIFS(Table2[[#This Row],[Current Rent Gap]],Table2[[#This Row],[Current Rent Gap]],"&gt;0")</f>
        <v>2073.1866666666665</v>
      </c>
    </row>
    <row r="156" spans="1:14" x14ac:dyDescent="0.35">
      <c r="A156" t="s">
        <v>266</v>
      </c>
      <c r="B156" t="s">
        <v>751</v>
      </c>
      <c r="C156">
        <v>6562</v>
      </c>
      <c r="D156">
        <v>6461</v>
      </c>
      <c r="E156">
        <f>Table2[[#This Row],[Due_Amount]]-Table2[[#This Row],[Paid_Amount]]</f>
        <v>101</v>
      </c>
      <c r="F156" s="1">
        <v>45992</v>
      </c>
      <c r="G156">
        <v>25</v>
      </c>
      <c r="H156">
        <f>Table2[[#This Row],[Due_Amount]]*Table2[[#This Row],[Delay_Days]]</f>
        <v>164050</v>
      </c>
      <c r="I156" s="3" t="str">
        <f>IF(Table2[[#This Row],[Delay_Days]]=0,"On Time",IF(Table2[[#This Row],[Delay_Days]]&lt;=7,"Low Risk(1-7)",IF(Table2[[#This Row],[Delay_Days]]&lt;=15,"Medium Risk(8-15)",IF(Table2[[#This Row],[Delay_Days]]&lt;=30,"High Risk(16-30)","Severe Risk(30+)"))))</f>
        <v>High Risk(16-30)</v>
      </c>
      <c r="J156" s="5">
        <f>AVERAGE(Table2[Due_Amount])</f>
        <v>4635.1866666666665</v>
      </c>
      <c r="K156" s="5">
        <f>Table2[[#This Row],[Estimated_Market_Rent]]-Table2[[#This Row],[Due_Amount]]</f>
        <v>-1926.8133333333335</v>
      </c>
      <c r="L156" s="6">
        <f>IF(Table2[[#This Row],[Current Rent Gap]]&gt;0,Table2[[#This Row],[Current Rent Gap]]/Table2[[#This Row],[Estimated_Market_Rent]],0)</f>
        <v>0</v>
      </c>
      <c r="M156" s="3" t="str">
        <f>IF(Table2[[#This Row],[Under_Market %]]&gt;0.1,"Underpriced","OK")</f>
        <v>OK</v>
      </c>
      <c r="N156" s="5">
        <f>SUMIFS(Table2[[#This Row],[Current Rent Gap]],Table2[[#This Row],[Current Rent Gap]],"&gt;0")</f>
        <v>0</v>
      </c>
    </row>
    <row r="157" spans="1:14" x14ac:dyDescent="0.35">
      <c r="A157" t="s">
        <v>526</v>
      </c>
      <c r="B157" t="s">
        <v>746</v>
      </c>
      <c r="C157">
        <v>2878</v>
      </c>
      <c r="D157">
        <v>2839</v>
      </c>
      <c r="E157">
        <f>Table2[[#This Row],[Due_Amount]]-Table2[[#This Row],[Paid_Amount]]</f>
        <v>39</v>
      </c>
      <c r="F157" s="1">
        <v>45955</v>
      </c>
      <c r="G157">
        <v>23</v>
      </c>
      <c r="H157">
        <f>Table2[[#This Row],[Due_Amount]]*Table2[[#This Row],[Delay_Days]]</f>
        <v>66194</v>
      </c>
      <c r="I157" s="3" t="str">
        <f>IF(Table2[[#This Row],[Delay_Days]]=0,"On Time",IF(Table2[[#This Row],[Delay_Days]]&lt;=7,"Low Risk(1-7)",IF(Table2[[#This Row],[Delay_Days]]&lt;=15,"Medium Risk(8-15)",IF(Table2[[#This Row],[Delay_Days]]&lt;=30,"High Risk(16-30)","Severe Risk(30+)"))))</f>
        <v>High Risk(16-30)</v>
      </c>
      <c r="J157" s="5">
        <f>AVERAGE(Table2[Due_Amount])</f>
        <v>4635.1866666666665</v>
      </c>
      <c r="K157" s="5">
        <f>Table2[[#This Row],[Estimated_Market_Rent]]-Table2[[#This Row],[Due_Amount]]</f>
        <v>1757.1866666666665</v>
      </c>
      <c r="L157" s="6">
        <f>IF(Table2[[#This Row],[Current Rent Gap]]&gt;0,Table2[[#This Row],[Current Rent Gap]]/Table2[[#This Row],[Estimated_Market_Rent]],0)</f>
        <v>0.37909728195052911</v>
      </c>
      <c r="M157" s="3" t="str">
        <f>IF(Table2[[#This Row],[Under_Market %]]&gt;0.1,"Underpriced","OK")</f>
        <v>Underpriced</v>
      </c>
      <c r="N157" s="5">
        <f>SUMIFS(Table2[[#This Row],[Current Rent Gap]],Table2[[#This Row],[Current Rent Gap]],"&gt;0")</f>
        <v>1757.1866666666665</v>
      </c>
    </row>
    <row r="158" spans="1:14" x14ac:dyDescent="0.35">
      <c r="A158" t="s">
        <v>111</v>
      </c>
      <c r="B158" t="s">
        <v>747</v>
      </c>
      <c r="C158">
        <v>4342</v>
      </c>
      <c r="D158">
        <v>4071</v>
      </c>
      <c r="E158">
        <f>Table2[[#This Row],[Due_Amount]]-Table2[[#This Row],[Paid_Amount]]</f>
        <v>271</v>
      </c>
      <c r="F158" s="1">
        <v>45849</v>
      </c>
      <c r="G158">
        <v>25</v>
      </c>
      <c r="H158">
        <f>Table2[[#This Row],[Due_Amount]]*Table2[[#This Row],[Delay_Days]]</f>
        <v>108550</v>
      </c>
      <c r="I158" s="3" t="str">
        <f>IF(Table2[[#This Row],[Delay_Days]]=0,"On Time",IF(Table2[[#This Row],[Delay_Days]]&lt;=7,"Low Risk(1-7)",IF(Table2[[#This Row],[Delay_Days]]&lt;=15,"Medium Risk(8-15)",IF(Table2[[#This Row],[Delay_Days]]&lt;=30,"High Risk(16-30)","Severe Risk(30+)"))))</f>
        <v>High Risk(16-30)</v>
      </c>
      <c r="J158" s="5">
        <f>AVERAGE(Table2[Due_Amount])</f>
        <v>4635.1866666666665</v>
      </c>
      <c r="K158" s="5">
        <f>Table2[[#This Row],[Estimated_Market_Rent]]-Table2[[#This Row],[Due_Amount]]</f>
        <v>293.1866666666665</v>
      </c>
      <c r="L158" s="6">
        <f>IF(Table2[[#This Row],[Current Rent Gap]]&gt;0,Table2[[#This Row],[Current Rent Gap]]/Table2[[#This Row],[Estimated_Market_Rent]],0)</f>
        <v>6.3252396882973391E-2</v>
      </c>
      <c r="M158" s="3" t="str">
        <f>IF(Table2[[#This Row],[Under_Market %]]&gt;0.1,"Underpriced","OK")</f>
        <v>OK</v>
      </c>
      <c r="N158" s="5">
        <f>SUMIFS(Table2[[#This Row],[Current Rent Gap]],Table2[[#This Row],[Current Rent Gap]],"&gt;0")</f>
        <v>293.1866666666665</v>
      </c>
    </row>
    <row r="159" spans="1:14" x14ac:dyDescent="0.35">
      <c r="A159" t="s">
        <v>504</v>
      </c>
      <c r="B159" t="s">
        <v>744</v>
      </c>
      <c r="C159">
        <v>2807</v>
      </c>
      <c r="D159">
        <v>2807</v>
      </c>
      <c r="E159">
        <f>Table2[[#This Row],[Due_Amount]]-Table2[[#This Row],[Paid_Amount]]</f>
        <v>0</v>
      </c>
      <c r="F159" s="1">
        <v>45818</v>
      </c>
      <c r="G159">
        <v>0</v>
      </c>
      <c r="H159">
        <f>Table2[[#This Row],[Due_Amount]]*Table2[[#This Row],[Delay_Days]]</f>
        <v>0</v>
      </c>
      <c r="I159" s="3" t="str">
        <f>IF(Table2[[#This Row],[Delay_Days]]=0,"On Time",IF(Table2[[#This Row],[Delay_Days]]&lt;=7,"Low Risk(1-7)",IF(Table2[[#This Row],[Delay_Days]]&lt;=15,"Medium Risk(8-15)",IF(Table2[[#This Row],[Delay_Days]]&lt;=30,"High Risk(16-30)","Severe Risk(30+)"))))</f>
        <v>On Time</v>
      </c>
      <c r="J159" s="5">
        <f>AVERAGE(Table2[Due_Amount])</f>
        <v>4635.1866666666665</v>
      </c>
      <c r="K159" s="5">
        <f>Table2[[#This Row],[Estimated_Market_Rent]]-Table2[[#This Row],[Due_Amount]]</f>
        <v>1828.1866666666665</v>
      </c>
      <c r="L159" s="6">
        <f>IF(Table2[[#This Row],[Current Rent Gap]]&gt;0,Table2[[#This Row],[Current Rent Gap]]/Table2[[#This Row],[Estimated_Market_Rent]],0)</f>
        <v>0.39441489591213874</v>
      </c>
      <c r="M159" s="3" t="str">
        <f>IF(Table2[[#This Row],[Under_Market %]]&gt;0.1,"Underpriced","OK")</f>
        <v>Underpriced</v>
      </c>
      <c r="N159" s="5">
        <f>SUMIFS(Table2[[#This Row],[Current Rent Gap]],Table2[[#This Row],[Current Rent Gap]],"&gt;0")</f>
        <v>1828.1866666666665</v>
      </c>
    </row>
    <row r="160" spans="1:14" x14ac:dyDescent="0.35">
      <c r="A160" t="s">
        <v>504</v>
      </c>
      <c r="B160" t="s">
        <v>746</v>
      </c>
      <c r="C160">
        <v>5439</v>
      </c>
      <c r="D160">
        <v>4446</v>
      </c>
      <c r="E160">
        <f>Table2[[#This Row],[Due_Amount]]-Table2[[#This Row],[Paid_Amount]]</f>
        <v>993</v>
      </c>
      <c r="F160" s="1">
        <v>45843</v>
      </c>
      <c r="G160">
        <v>11</v>
      </c>
      <c r="H160">
        <f>Table2[[#This Row],[Due_Amount]]*Table2[[#This Row],[Delay_Days]]</f>
        <v>59829</v>
      </c>
      <c r="I160" s="3" t="str">
        <f>IF(Table2[[#This Row],[Delay_Days]]=0,"On Time",IF(Table2[[#This Row],[Delay_Days]]&lt;=7,"Low Risk(1-7)",IF(Table2[[#This Row],[Delay_Days]]&lt;=15,"Medium Risk(8-15)",IF(Table2[[#This Row],[Delay_Days]]&lt;=30,"High Risk(16-30)","Severe Risk(30+)"))))</f>
        <v>Medium Risk(8-15)</v>
      </c>
      <c r="J160" s="5">
        <f>AVERAGE(Table2[Due_Amount])</f>
        <v>4635.1866666666665</v>
      </c>
      <c r="K160" s="5">
        <f>Table2[[#This Row],[Estimated_Market_Rent]]-Table2[[#This Row],[Due_Amount]]</f>
        <v>-803.8133333333335</v>
      </c>
      <c r="L160" s="6">
        <f>IF(Table2[[#This Row],[Current Rent Gap]]&gt;0,Table2[[#This Row],[Current Rent Gap]]/Table2[[#This Row],[Estimated_Market_Rent]],0)</f>
        <v>0</v>
      </c>
      <c r="M160" s="3" t="str">
        <f>IF(Table2[[#This Row],[Under_Market %]]&gt;0.1,"Underpriced","OK")</f>
        <v>OK</v>
      </c>
      <c r="N160" s="5">
        <f>SUMIFS(Table2[[#This Row],[Current Rent Gap]],Table2[[#This Row],[Current Rent Gap]],"&gt;0")</f>
        <v>0</v>
      </c>
    </row>
    <row r="161" spans="1:14" x14ac:dyDescent="0.35">
      <c r="A161" t="s">
        <v>600</v>
      </c>
      <c r="B161" t="s">
        <v>753</v>
      </c>
      <c r="C161">
        <v>4371</v>
      </c>
      <c r="D161">
        <v>3779</v>
      </c>
      <c r="E161">
        <f>Table2[[#This Row],[Due_Amount]]-Table2[[#This Row],[Paid_Amount]]</f>
        <v>592</v>
      </c>
      <c r="F161" s="1">
        <v>45700</v>
      </c>
      <c r="G161">
        <v>22</v>
      </c>
      <c r="H161">
        <f>Table2[[#This Row],[Due_Amount]]*Table2[[#This Row],[Delay_Days]]</f>
        <v>96162</v>
      </c>
      <c r="I161" s="3" t="str">
        <f>IF(Table2[[#This Row],[Delay_Days]]=0,"On Time",IF(Table2[[#This Row],[Delay_Days]]&lt;=7,"Low Risk(1-7)",IF(Table2[[#This Row],[Delay_Days]]&lt;=15,"Medium Risk(8-15)",IF(Table2[[#This Row],[Delay_Days]]&lt;=30,"High Risk(16-30)","Severe Risk(30+)"))))</f>
        <v>High Risk(16-30)</v>
      </c>
      <c r="J161" s="5">
        <f>AVERAGE(Table2[Due_Amount])</f>
        <v>4635.1866666666665</v>
      </c>
      <c r="K161" s="5">
        <f>Table2[[#This Row],[Estimated_Market_Rent]]-Table2[[#This Row],[Due_Amount]]</f>
        <v>264.1866666666665</v>
      </c>
      <c r="L161" s="6">
        <f>IF(Table2[[#This Row],[Current Rent Gap]]&gt;0,Table2[[#This Row],[Current Rent Gap]]/Table2[[#This Row],[Estimated_Market_Rent]],0)</f>
        <v>5.6995906673301865E-2</v>
      </c>
      <c r="M161" s="3" t="str">
        <f>IF(Table2[[#This Row],[Under_Market %]]&gt;0.1,"Underpriced","OK")</f>
        <v>OK</v>
      </c>
      <c r="N161" s="5">
        <f>SUMIFS(Table2[[#This Row],[Current Rent Gap]],Table2[[#This Row],[Current Rent Gap]],"&gt;0")</f>
        <v>264.1866666666665</v>
      </c>
    </row>
    <row r="162" spans="1:14" x14ac:dyDescent="0.35">
      <c r="A162" t="s">
        <v>613</v>
      </c>
      <c r="B162" t="s">
        <v>749</v>
      </c>
      <c r="C162">
        <v>3966</v>
      </c>
      <c r="D162">
        <v>2982</v>
      </c>
      <c r="E162">
        <f>Table2[[#This Row],[Due_Amount]]-Table2[[#This Row],[Paid_Amount]]</f>
        <v>984</v>
      </c>
      <c r="F162" s="1">
        <v>45953</v>
      </c>
      <c r="G162">
        <v>25</v>
      </c>
      <c r="H162">
        <f>Table2[[#This Row],[Due_Amount]]*Table2[[#This Row],[Delay_Days]]</f>
        <v>99150</v>
      </c>
      <c r="I162" s="3" t="str">
        <f>IF(Table2[[#This Row],[Delay_Days]]=0,"On Time",IF(Table2[[#This Row],[Delay_Days]]&lt;=7,"Low Risk(1-7)",IF(Table2[[#This Row],[Delay_Days]]&lt;=15,"Medium Risk(8-15)",IF(Table2[[#This Row],[Delay_Days]]&lt;=30,"High Risk(16-30)","Severe Risk(30+)"))))</f>
        <v>High Risk(16-30)</v>
      </c>
      <c r="J162" s="5">
        <f>AVERAGE(Table2[Due_Amount])</f>
        <v>4635.1866666666665</v>
      </c>
      <c r="K162" s="5">
        <f>Table2[[#This Row],[Estimated_Market_Rent]]-Table2[[#This Row],[Due_Amount]]</f>
        <v>669.1866666666665</v>
      </c>
      <c r="L162" s="6">
        <f>IF(Table2[[#This Row],[Current Rent Gap]]&gt;0,Table2[[#This Row],[Current Rent Gap]]/Table2[[#This Row],[Estimated_Market_Rent]],0)</f>
        <v>0.14437102856699044</v>
      </c>
      <c r="M162" s="3" t="str">
        <f>IF(Table2[[#This Row],[Under_Market %]]&gt;0.1,"Underpriced","OK")</f>
        <v>Underpriced</v>
      </c>
      <c r="N162" s="5">
        <f>SUMIFS(Table2[[#This Row],[Current Rent Gap]],Table2[[#This Row],[Current Rent Gap]],"&gt;0")</f>
        <v>669.1866666666665</v>
      </c>
    </row>
    <row r="163" spans="1:14" x14ac:dyDescent="0.35">
      <c r="A163" t="s">
        <v>145</v>
      </c>
      <c r="B163" t="s">
        <v>743</v>
      </c>
      <c r="C163">
        <v>4488</v>
      </c>
      <c r="D163">
        <v>4444</v>
      </c>
      <c r="E163">
        <f>Table2[[#This Row],[Due_Amount]]-Table2[[#This Row],[Paid_Amount]]</f>
        <v>44</v>
      </c>
      <c r="F163" s="1">
        <v>45876</v>
      </c>
      <c r="G163">
        <v>15</v>
      </c>
      <c r="H163">
        <f>Table2[[#This Row],[Due_Amount]]*Table2[[#This Row],[Delay_Days]]</f>
        <v>67320</v>
      </c>
      <c r="I163" s="3" t="str">
        <f>IF(Table2[[#This Row],[Delay_Days]]=0,"On Time",IF(Table2[[#This Row],[Delay_Days]]&lt;=7,"Low Risk(1-7)",IF(Table2[[#This Row],[Delay_Days]]&lt;=15,"Medium Risk(8-15)",IF(Table2[[#This Row],[Delay_Days]]&lt;=30,"High Risk(16-30)","Severe Risk(30+)"))))</f>
        <v>Medium Risk(8-15)</v>
      </c>
      <c r="J163" s="5">
        <f>AVERAGE(Table2[Due_Amount])</f>
        <v>4635.1866666666665</v>
      </c>
      <c r="K163" s="5">
        <f>Table2[[#This Row],[Estimated_Market_Rent]]-Table2[[#This Row],[Due_Amount]]</f>
        <v>147.1866666666665</v>
      </c>
      <c r="L163" s="6">
        <f>IF(Table2[[#This Row],[Current Rent Gap]]&gt;0,Table2[[#This Row],[Current Rent Gap]]/Table2[[#This Row],[Estimated_Market_Rent]],0)</f>
        <v>3.1754204792902946E-2</v>
      </c>
      <c r="M163" s="3" t="str">
        <f>IF(Table2[[#This Row],[Under_Market %]]&gt;0.1,"Underpriced","OK")</f>
        <v>OK</v>
      </c>
      <c r="N163" s="5">
        <f>SUMIFS(Table2[[#This Row],[Current Rent Gap]],Table2[[#This Row],[Current Rent Gap]],"&gt;0")</f>
        <v>147.1866666666665</v>
      </c>
    </row>
    <row r="164" spans="1:14" x14ac:dyDescent="0.35">
      <c r="A164" t="s">
        <v>457</v>
      </c>
      <c r="B164" t="s">
        <v>754</v>
      </c>
      <c r="C164">
        <v>3517</v>
      </c>
      <c r="D164">
        <v>3517</v>
      </c>
      <c r="E164">
        <f>Table2[[#This Row],[Due_Amount]]-Table2[[#This Row],[Paid_Amount]]</f>
        <v>0</v>
      </c>
      <c r="F164" s="1">
        <v>45872</v>
      </c>
      <c r="G164">
        <v>7</v>
      </c>
      <c r="H164">
        <f>Table2[[#This Row],[Due_Amount]]*Table2[[#This Row],[Delay_Days]]</f>
        <v>24619</v>
      </c>
      <c r="I164" s="3" t="str">
        <f>IF(Table2[[#This Row],[Delay_Days]]=0,"On Time",IF(Table2[[#This Row],[Delay_Days]]&lt;=7,"Low Risk(1-7)",IF(Table2[[#This Row],[Delay_Days]]&lt;=15,"Medium Risk(8-15)",IF(Table2[[#This Row],[Delay_Days]]&lt;=30,"High Risk(16-30)","Severe Risk(30+)"))))</f>
        <v>Low Risk(1-7)</v>
      </c>
      <c r="J164" s="5">
        <f>AVERAGE(Table2[Due_Amount])</f>
        <v>4635.1866666666665</v>
      </c>
      <c r="K164" s="5">
        <f>Table2[[#This Row],[Estimated_Market_Rent]]-Table2[[#This Row],[Due_Amount]]</f>
        <v>1118.1866666666665</v>
      </c>
      <c r="L164" s="6">
        <f>IF(Table2[[#This Row],[Current Rent Gap]]&gt;0,Table2[[#This Row],[Current Rent Gap]]/Table2[[#This Row],[Estimated_Market_Rent]],0)</f>
        <v>0.24123875629604272</v>
      </c>
      <c r="M164" s="3" t="str">
        <f>IF(Table2[[#This Row],[Under_Market %]]&gt;0.1,"Underpriced","OK")</f>
        <v>Underpriced</v>
      </c>
      <c r="N164" s="5">
        <f>SUMIFS(Table2[[#This Row],[Current Rent Gap]],Table2[[#This Row],[Current Rent Gap]],"&gt;0")</f>
        <v>1118.1866666666665</v>
      </c>
    </row>
    <row r="165" spans="1:14" x14ac:dyDescent="0.35">
      <c r="A165" t="s">
        <v>630</v>
      </c>
      <c r="B165" t="s">
        <v>751</v>
      </c>
      <c r="C165">
        <v>5348</v>
      </c>
      <c r="D165">
        <v>5348</v>
      </c>
      <c r="E165">
        <f>Table2[[#This Row],[Due_Amount]]-Table2[[#This Row],[Paid_Amount]]</f>
        <v>0</v>
      </c>
      <c r="F165" s="1">
        <v>45684</v>
      </c>
      <c r="G165">
        <v>6</v>
      </c>
      <c r="H165">
        <f>Table2[[#This Row],[Due_Amount]]*Table2[[#This Row],[Delay_Days]]</f>
        <v>32088</v>
      </c>
      <c r="I165" s="3" t="str">
        <f>IF(Table2[[#This Row],[Delay_Days]]=0,"On Time",IF(Table2[[#This Row],[Delay_Days]]&lt;=7,"Low Risk(1-7)",IF(Table2[[#This Row],[Delay_Days]]&lt;=15,"Medium Risk(8-15)",IF(Table2[[#This Row],[Delay_Days]]&lt;=30,"High Risk(16-30)","Severe Risk(30+)"))))</f>
        <v>Low Risk(1-7)</v>
      </c>
      <c r="J165" s="5">
        <f>AVERAGE(Table2[Due_Amount])</f>
        <v>4635.1866666666665</v>
      </c>
      <c r="K165" s="5">
        <f>Table2[[#This Row],[Estimated_Market_Rent]]-Table2[[#This Row],[Due_Amount]]</f>
        <v>-712.8133333333335</v>
      </c>
      <c r="L165" s="6">
        <f>IF(Table2[[#This Row],[Current Rent Gap]]&gt;0,Table2[[#This Row],[Current Rent Gap]]/Table2[[#This Row],[Estimated_Market_Rent]],0)</f>
        <v>0</v>
      </c>
      <c r="M165" s="3" t="str">
        <f>IF(Table2[[#This Row],[Under_Market %]]&gt;0.1,"Underpriced","OK")</f>
        <v>OK</v>
      </c>
      <c r="N165" s="5">
        <f>SUMIFS(Table2[[#This Row],[Current Rent Gap]],Table2[[#This Row],[Current Rent Gap]],"&gt;0")</f>
        <v>0</v>
      </c>
    </row>
    <row r="166" spans="1:14" x14ac:dyDescent="0.35">
      <c r="A166" t="s">
        <v>407</v>
      </c>
      <c r="B166" t="s">
        <v>746</v>
      </c>
      <c r="C166">
        <v>6735</v>
      </c>
      <c r="D166">
        <v>6735</v>
      </c>
      <c r="E166">
        <f>Table2[[#This Row],[Due_Amount]]-Table2[[#This Row],[Paid_Amount]]</f>
        <v>0</v>
      </c>
      <c r="F166" s="1">
        <v>45928</v>
      </c>
      <c r="G166">
        <v>3</v>
      </c>
      <c r="H166">
        <f>Table2[[#This Row],[Due_Amount]]*Table2[[#This Row],[Delay_Days]]</f>
        <v>20205</v>
      </c>
      <c r="I166" s="3" t="str">
        <f>IF(Table2[[#This Row],[Delay_Days]]=0,"On Time",IF(Table2[[#This Row],[Delay_Days]]&lt;=7,"Low Risk(1-7)",IF(Table2[[#This Row],[Delay_Days]]&lt;=15,"Medium Risk(8-15)",IF(Table2[[#This Row],[Delay_Days]]&lt;=30,"High Risk(16-30)","Severe Risk(30+)"))))</f>
        <v>Low Risk(1-7)</v>
      </c>
      <c r="J166" s="5">
        <f>AVERAGE(Table2[Due_Amount])</f>
        <v>4635.1866666666665</v>
      </c>
      <c r="K166" s="5">
        <f>Table2[[#This Row],[Estimated_Market_Rent]]-Table2[[#This Row],[Due_Amount]]</f>
        <v>-2099.8133333333335</v>
      </c>
      <c r="L166" s="6">
        <f>IF(Table2[[#This Row],[Current Rent Gap]]&gt;0,Table2[[#This Row],[Current Rent Gap]]/Table2[[#This Row],[Estimated_Market_Rent]],0)</f>
        <v>0</v>
      </c>
      <c r="M166" s="3" t="str">
        <f>IF(Table2[[#This Row],[Under_Market %]]&gt;0.1,"Underpriced","OK")</f>
        <v>OK</v>
      </c>
      <c r="N166" s="5">
        <f>SUMIFS(Table2[[#This Row],[Current Rent Gap]],Table2[[#This Row],[Current Rent Gap]],"&gt;0")</f>
        <v>0</v>
      </c>
    </row>
    <row r="167" spans="1:14" x14ac:dyDescent="0.35">
      <c r="A167" t="s">
        <v>139</v>
      </c>
      <c r="B167" t="s">
        <v>753</v>
      </c>
      <c r="C167">
        <v>6074</v>
      </c>
      <c r="D167">
        <v>5798</v>
      </c>
      <c r="E167">
        <f>Table2[[#This Row],[Due_Amount]]-Table2[[#This Row],[Paid_Amount]]</f>
        <v>276</v>
      </c>
      <c r="F167" s="1">
        <v>45857</v>
      </c>
      <c r="G167">
        <v>10</v>
      </c>
      <c r="H167">
        <f>Table2[[#This Row],[Due_Amount]]*Table2[[#This Row],[Delay_Days]]</f>
        <v>60740</v>
      </c>
      <c r="I167" s="3" t="str">
        <f>IF(Table2[[#This Row],[Delay_Days]]=0,"On Time",IF(Table2[[#This Row],[Delay_Days]]&lt;=7,"Low Risk(1-7)",IF(Table2[[#This Row],[Delay_Days]]&lt;=15,"Medium Risk(8-15)",IF(Table2[[#This Row],[Delay_Days]]&lt;=30,"High Risk(16-30)","Severe Risk(30+)"))))</f>
        <v>Medium Risk(8-15)</v>
      </c>
      <c r="J167" s="5">
        <f>AVERAGE(Table2[Due_Amount])</f>
        <v>4635.1866666666665</v>
      </c>
      <c r="K167" s="5">
        <f>Table2[[#This Row],[Estimated_Market_Rent]]-Table2[[#This Row],[Due_Amount]]</f>
        <v>-1438.8133333333335</v>
      </c>
      <c r="L167" s="6">
        <f>IF(Table2[[#This Row],[Current Rent Gap]]&gt;0,Table2[[#This Row],[Current Rent Gap]]/Table2[[#This Row],[Estimated_Market_Rent]],0)</f>
        <v>0</v>
      </c>
      <c r="M167" s="3" t="str">
        <f>IF(Table2[[#This Row],[Under_Market %]]&gt;0.1,"Underpriced","OK")</f>
        <v>OK</v>
      </c>
      <c r="N167" s="5">
        <f>SUMIFS(Table2[[#This Row],[Current Rent Gap]],Table2[[#This Row],[Current Rent Gap]],"&gt;0")</f>
        <v>0</v>
      </c>
    </row>
    <row r="168" spans="1:14" x14ac:dyDescent="0.35">
      <c r="A168" t="s">
        <v>674</v>
      </c>
      <c r="B168" t="s">
        <v>753</v>
      </c>
      <c r="C168">
        <v>6680</v>
      </c>
      <c r="D168">
        <v>6600</v>
      </c>
      <c r="E168">
        <f>Table2[[#This Row],[Due_Amount]]-Table2[[#This Row],[Paid_Amount]]</f>
        <v>80</v>
      </c>
      <c r="F168" s="1">
        <v>45763</v>
      </c>
      <c r="G168">
        <v>25</v>
      </c>
      <c r="H168">
        <f>Table2[[#This Row],[Due_Amount]]*Table2[[#This Row],[Delay_Days]]</f>
        <v>167000</v>
      </c>
      <c r="I168" s="3" t="str">
        <f>IF(Table2[[#This Row],[Delay_Days]]=0,"On Time",IF(Table2[[#This Row],[Delay_Days]]&lt;=7,"Low Risk(1-7)",IF(Table2[[#This Row],[Delay_Days]]&lt;=15,"Medium Risk(8-15)",IF(Table2[[#This Row],[Delay_Days]]&lt;=30,"High Risk(16-30)","Severe Risk(30+)"))))</f>
        <v>High Risk(16-30)</v>
      </c>
      <c r="J168" s="5">
        <f>AVERAGE(Table2[Due_Amount])</f>
        <v>4635.1866666666665</v>
      </c>
      <c r="K168" s="5">
        <f>Table2[[#This Row],[Estimated_Market_Rent]]-Table2[[#This Row],[Due_Amount]]</f>
        <v>-2044.8133333333335</v>
      </c>
      <c r="L168" s="6">
        <f>IF(Table2[[#This Row],[Current Rent Gap]]&gt;0,Table2[[#This Row],[Current Rent Gap]]/Table2[[#This Row],[Estimated_Market_Rent]],0)</f>
        <v>0</v>
      </c>
      <c r="M168" s="3" t="str">
        <f>IF(Table2[[#This Row],[Under_Market %]]&gt;0.1,"Underpriced","OK")</f>
        <v>OK</v>
      </c>
      <c r="N168" s="5">
        <f>SUMIFS(Table2[[#This Row],[Current Rent Gap]],Table2[[#This Row],[Current Rent Gap]],"&gt;0")</f>
        <v>0</v>
      </c>
    </row>
    <row r="169" spans="1:14" x14ac:dyDescent="0.35">
      <c r="A169" t="s">
        <v>298</v>
      </c>
      <c r="B169" t="s">
        <v>746</v>
      </c>
      <c r="C169">
        <v>2947</v>
      </c>
      <c r="D169">
        <v>2947</v>
      </c>
      <c r="E169">
        <f>Table2[[#This Row],[Due_Amount]]-Table2[[#This Row],[Paid_Amount]]</f>
        <v>0</v>
      </c>
      <c r="F169" s="1">
        <v>45787</v>
      </c>
      <c r="G169">
        <v>1</v>
      </c>
      <c r="H169">
        <f>Table2[[#This Row],[Due_Amount]]*Table2[[#This Row],[Delay_Days]]</f>
        <v>2947</v>
      </c>
      <c r="I169" s="3" t="str">
        <f>IF(Table2[[#This Row],[Delay_Days]]=0,"On Time",IF(Table2[[#This Row],[Delay_Days]]&lt;=7,"Low Risk(1-7)",IF(Table2[[#This Row],[Delay_Days]]&lt;=15,"Medium Risk(8-15)",IF(Table2[[#This Row],[Delay_Days]]&lt;=30,"High Risk(16-30)","Severe Risk(30+)"))))</f>
        <v>Low Risk(1-7)</v>
      </c>
      <c r="J169" s="5">
        <f>AVERAGE(Table2[Due_Amount])</f>
        <v>4635.1866666666665</v>
      </c>
      <c r="K169" s="5">
        <f>Table2[[#This Row],[Estimated_Market_Rent]]-Table2[[#This Row],[Due_Amount]]</f>
        <v>1688.1866666666665</v>
      </c>
      <c r="L169" s="6">
        <f>IF(Table2[[#This Row],[Current Rent Gap]]&gt;0,Table2[[#This Row],[Current Rent Gap]]/Table2[[#This Row],[Estimated_Market_Rent]],0)</f>
        <v>0.36421115007234511</v>
      </c>
      <c r="M169" s="3" t="str">
        <f>IF(Table2[[#This Row],[Under_Market %]]&gt;0.1,"Underpriced","OK")</f>
        <v>Underpriced</v>
      </c>
      <c r="N169" s="5">
        <f>SUMIFS(Table2[[#This Row],[Current Rent Gap]],Table2[[#This Row],[Current Rent Gap]],"&gt;0")</f>
        <v>1688.1866666666665</v>
      </c>
    </row>
    <row r="170" spans="1:14" x14ac:dyDescent="0.35">
      <c r="A170" t="s">
        <v>524</v>
      </c>
      <c r="B170" t="s">
        <v>746</v>
      </c>
      <c r="C170">
        <v>5785</v>
      </c>
      <c r="D170">
        <v>5102</v>
      </c>
      <c r="E170">
        <f>Table2[[#This Row],[Due_Amount]]-Table2[[#This Row],[Paid_Amount]]</f>
        <v>683</v>
      </c>
      <c r="F170" s="1">
        <v>45817</v>
      </c>
      <c r="G170">
        <v>22</v>
      </c>
      <c r="H170">
        <f>Table2[[#This Row],[Due_Amount]]*Table2[[#This Row],[Delay_Days]]</f>
        <v>127270</v>
      </c>
      <c r="I170" s="3" t="str">
        <f>IF(Table2[[#This Row],[Delay_Days]]=0,"On Time",IF(Table2[[#This Row],[Delay_Days]]&lt;=7,"Low Risk(1-7)",IF(Table2[[#This Row],[Delay_Days]]&lt;=15,"Medium Risk(8-15)",IF(Table2[[#This Row],[Delay_Days]]&lt;=30,"High Risk(16-30)","Severe Risk(30+)"))))</f>
        <v>High Risk(16-30)</v>
      </c>
      <c r="J170" s="5">
        <f>AVERAGE(Table2[Due_Amount])</f>
        <v>4635.1866666666665</v>
      </c>
      <c r="K170" s="5">
        <f>Table2[[#This Row],[Estimated_Market_Rent]]-Table2[[#This Row],[Due_Amount]]</f>
        <v>-1149.8133333333335</v>
      </c>
      <c r="L170" s="6">
        <f>IF(Table2[[#This Row],[Current Rent Gap]]&gt;0,Table2[[#This Row],[Current Rent Gap]]/Table2[[#This Row],[Estimated_Market_Rent]],0)</f>
        <v>0</v>
      </c>
      <c r="M170" s="3" t="str">
        <f>IF(Table2[[#This Row],[Under_Market %]]&gt;0.1,"Underpriced","OK")</f>
        <v>OK</v>
      </c>
      <c r="N170" s="5">
        <f>SUMIFS(Table2[[#This Row],[Current Rent Gap]],Table2[[#This Row],[Current Rent Gap]],"&gt;0")</f>
        <v>0</v>
      </c>
    </row>
    <row r="171" spans="1:14" x14ac:dyDescent="0.35">
      <c r="A171" t="s">
        <v>595</v>
      </c>
      <c r="B171" t="s">
        <v>744</v>
      </c>
      <c r="C171">
        <v>4381</v>
      </c>
      <c r="D171">
        <v>4163</v>
      </c>
      <c r="E171">
        <f>Table2[[#This Row],[Due_Amount]]-Table2[[#This Row],[Paid_Amount]]</f>
        <v>218</v>
      </c>
      <c r="F171" s="1">
        <v>45757</v>
      </c>
      <c r="G171">
        <v>20</v>
      </c>
      <c r="H171">
        <f>Table2[[#This Row],[Due_Amount]]*Table2[[#This Row],[Delay_Days]]</f>
        <v>87620</v>
      </c>
      <c r="I171" s="3" t="str">
        <f>IF(Table2[[#This Row],[Delay_Days]]=0,"On Time",IF(Table2[[#This Row],[Delay_Days]]&lt;=7,"Low Risk(1-7)",IF(Table2[[#This Row],[Delay_Days]]&lt;=15,"Medium Risk(8-15)",IF(Table2[[#This Row],[Delay_Days]]&lt;=30,"High Risk(16-30)","Severe Risk(30+)"))))</f>
        <v>High Risk(16-30)</v>
      </c>
      <c r="J171" s="5">
        <f>AVERAGE(Table2[Due_Amount])</f>
        <v>4635.1866666666665</v>
      </c>
      <c r="K171" s="5">
        <f>Table2[[#This Row],[Estimated_Market_Rent]]-Table2[[#This Row],[Due_Amount]]</f>
        <v>254.1866666666665</v>
      </c>
      <c r="L171" s="6">
        <f>IF(Table2[[#This Row],[Current Rent Gap]]&gt;0,Table2[[#This Row],[Current Rent Gap]]/Table2[[#This Row],[Estimated_Market_Rent]],0)</f>
        <v>5.4838496256173756E-2</v>
      </c>
      <c r="M171" s="3" t="str">
        <f>IF(Table2[[#This Row],[Under_Market %]]&gt;0.1,"Underpriced","OK")</f>
        <v>OK</v>
      </c>
      <c r="N171" s="5">
        <f>SUMIFS(Table2[[#This Row],[Current Rent Gap]],Table2[[#This Row],[Current Rent Gap]],"&gt;0")</f>
        <v>254.1866666666665</v>
      </c>
    </row>
    <row r="172" spans="1:14" x14ac:dyDescent="0.35">
      <c r="A172" t="s">
        <v>218</v>
      </c>
      <c r="B172" t="s">
        <v>750</v>
      </c>
      <c r="C172">
        <v>3684</v>
      </c>
      <c r="D172">
        <v>3624</v>
      </c>
      <c r="E172">
        <f>Table2[[#This Row],[Due_Amount]]-Table2[[#This Row],[Paid_Amount]]</f>
        <v>60</v>
      </c>
      <c r="F172" s="1">
        <v>45752</v>
      </c>
      <c r="G172">
        <v>20</v>
      </c>
      <c r="H172">
        <f>Table2[[#This Row],[Due_Amount]]*Table2[[#This Row],[Delay_Days]]</f>
        <v>73680</v>
      </c>
      <c r="I172" s="3" t="str">
        <f>IF(Table2[[#This Row],[Delay_Days]]=0,"On Time",IF(Table2[[#This Row],[Delay_Days]]&lt;=7,"Low Risk(1-7)",IF(Table2[[#This Row],[Delay_Days]]&lt;=15,"Medium Risk(8-15)",IF(Table2[[#This Row],[Delay_Days]]&lt;=30,"High Risk(16-30)","Severe Risk(30+)"))))</f>
        <v>High Risk(16-30)</v>
      </c>
      <c r="J172" s="5">
        <f>AVERAGE(Table2[Due_Amount])</f>
        <v>4635.1866666666665</v>
      </c>
      <c r="K172" s="5">
        <f>Table2[[#This Row],[Estimated_Market_Rent]]-Table2[[#This Row],[Due_Amount]]</f>
        <v>951.1866666666665</v>
      </c>
      <c r="L172" s="6">
        <f>IF(Table2[[#This Row],[Current Rent Gap]]&gt;0,Table2[[#This Row],[Current Rent Gap]]/Table2[[#This Row],[Estimated_Market_Rent]],0)</f>
        <v>0.20521000233000322</v>
      </c>
      <c r="M172" s="3" t="str">
        <f>IF(Table2[[#This Row],[Under_Market %]]&gt;0.1,"Underpriced","OK")</f>
        <v>Underpriced</v>
      </c>
      <c r="N172" s="5">
        <f>SUMIFS(Table2[[#This Row],[Current Rent Gap]],Table2[[#This Row],[Current Rent Gap]],"&gt;0")</f>
        <v>951.1866666666665</v>
      </c>
    </row>
    <row r="173" spans="1:14" x14ac:dyDescent="0.35">
      <c r="A173" t="s">
        <v>589</v>
      </c>
      <c r="B173" t="s">
        <v>745</v>
      </c>
      <c r="C173">
        <v>2074</v>
      </c>
      <c r="D173">
        <v>1653</v>
      </c>
      <c r="E173">
        <f>Table2[[#This Row],[Due_Amount]]-Table2[[#This Row],[Paid_Amount]]</f>
        <v>421</v>
      </c>
      <c r="F173" s="1">
        <v>45748</v>
      </c>
      <c r="G173">
        <v>19</v>
      </c>
      <c r="H173">
        <f>Table2[[#This Row],[Due_Amount]]*Table2[[#This Row],[Delay_Days]]</f>
        <v>39406</v>
      </c>
      <c r="I173" s="3" t="str">
        <f>IF(Table2[[#This Row],[Delay_Days]]=0,"On Time",IF(Table2[[#This Row],[Delay_Days]]&lt;=7,"Low Risk(1-7)",IF(Table2[[#This Row],[Delay_Days]]&lt;=15,"Medium Risk(8-15)",IF(Table2[[#This Row],[Delay_Days]]&lt;=30,"High Risk(16-30)","Severe Risk(30+)"))))</f>
        <v>High Risk(16-30)</v>
      </c>
      <c r="J173" s="5">
        <f>AVERAGE(Table2[Due_Amount])</f>
        <v>4635.1866666666665</v>
      </c>
      <c r="K173" s="5">
        <f>Table2[[#This Row],[Estimated_Market_Rent]]-Table2[[#This Row],[Due_Amount]]</f>
        <v>2561.1866666666665</v>
      </c>
      <c r="L173" s="6">
        <f>IF(Table2[[#This Row],[Current Rent Gap]]&gt;0,Table2[[#This Row],[Current Rent Gap]]/Table2[[#This Row],[Estimated_Market_Rent]],0)</f>
        <v>0.55255307948762944</v>
      </c>
      <c r="M173" s="3" t="str">
        <f>IF(Table2[[#This Row],[Under_Market %]]&gt;0.1,"Underpriced","OK")</f>
        <v>Underpriced</v>
      </c>
      <c r="N173" s="5">
        <f>SUMIFS(Table2[[#This Row],[Current Rent Gap]],Table2[[#This Row],[Current Rent Gap]],"&gt;0")</f>
        <v>2561.1866666666665</v>
      </c>
    </row>
    <row r="174" spans="1:14" x14ac:dyDescent="0.35">
      <c r="A174" t="s">
        <v>237</v>
      </c>
      <c r="B174" t="s">
        <v>754</v>
      </c>
      <c r="C174">
        <v>3129</v>
      </c>
      <c r="D174">
        <v>2764</v>
      </c>
      <c r="E174">
        <f>Table2[[#This Row],[Due_Amount]]-Table2[[#This Row],[Paid_Amount]]</f>
        <v>365</v>
      </c>
      <c r="F174" s="1">
        <v>45679</v>
      </c>
      <c r="G174">
        <v>10</v>
      </c>
      <c r="H174">
        <f>Table2[[#This Row],[Due_Amount]]*Table2[[#This Row],[Delay_Days]]</f>
        <v>31290</v>
      </c>
      <c r="I174" s="3" t="str">
        <f>IF(Table2[[#This Row],[Delay_Days]]=0,"On Time",IF(Table2[[#This Row],[Delay_Days]]&lt;=7,"Low Risk(1-7)",IF(Table2[[#This Row],[Delay_Days]]&lt;=15,"Medium Risk(8-15)",IF(Table2[[#This Row],[Delay_Days]]&lt;=30,"High Risk(16-30)","Severe Risk(30+)"))))</f>
        <v>Medium Risk(8-15)</v>
      </c>
      <c r="J174" s="5">
        <f>AVERAGE(Table2[Due_Amount])</f>
        <v>4635.1866666666665</v>
      </c>
      <c r="K174" s="5">
        <f>Table2[[#This Row],[Estimated_Market_Rent]]-Table2[[#This Row],[Due_Amount]]</f>
        <v>1506.1866666666665</v>
      </c>
      <c r="L174" s="6">
        <f>IF(Table2[[#This Row],[Current Rent Gap]]&gt;0,Table2[[#This Row],[Current Rent Gap]]/Table2[[#This Row],[Estimated_Market_Rent]],0)</f>
        <v>0.32494628048061347</v>
      </c>
      <c r="M174" s="3" t="str">
        <f>IF(Table2[[#This Row],[Under_Market %]]&gt;0.1,"Underpriced","OK")</f>
        <v>Underpriced</v>
      </c>
      <c r="N174" s="5">
        <f>SUMIFS(Table2[[#This Row],[Current Rent Gap]],Table2[[#This Row],[Current Rent Gap]],"&gt;0")</f>
        <v>1506.1866666666665</v>
      </c>
    </row>
    <row r="175" spans="1:14" x14ac:dyDescent="0.35">
      <c r="A175" t="s">
        <v>66</v>
      </c>
      <c r="B175" t="s">
        <v>744</v>
      </c>
      <c r="C175">
        <v>4607</v>
      </c>
      <c r="D175">
        <v>3764</v>
      </c>
      <c r="E175">
        <f>Table2[[#This Row],[Due_Amount]]-Table2[[#This Row],[Paid_Amount]]</f>
        <v>843</v>
      </c>
      <c r="F175" s="1">
        <v>45742</v>
      </c>
      <c r="G175">
        <v>10</v>
      </c>
      <c r="H175">
        <f>Table2[[#This Row],[Due_Amount]]*Table2[[#This Row],[Delay_Days]]</f>
        <v>46070</v>
      </c>
      <c r="I175" s="3" t="str">
        <f>IF(Table2[[#This Row],[Delay_Days]]=0,"On Time",IF(Table2[[#This Row],[Delay_Days]]&lt;=7,"Low Risk(1-7)",IF(Table2[[#This Row],[Delay_Days]]&lt;=15,"Medium Risk(8-15)",IF(Table2[[#This Row],[Delay_Days]]&lt;=30,"High Risk(16-30)","Severe Risk(30+)"))))</f>
        <v>Medium Risk(8-15)</v>
      </c>
      <c r="J175" s="5">
        <f>AVERAGE(Table2[Due_Amount])</f>
        <v>4635.1866666666665</v>
      </c>
      <c r="K175" s="5">
        <f>Table2[[#This Row],[Estimated_Market_Rent]]-Table2[[#This Row],[Due_Amount]]</f>
        <v>28.186666666666497</v>
      </c>
      <c r="L175" s="6">
        <f>IF(Table2[[#This Row],[Current Rent Gap]]&gt;0,Table2[[#This Row],[Current Rent Gap]]/Table2[[#This Row],[Estimated_Market_Rent]],0)</f>
        <v>6.0810208290784044E-3</v>
      </c>
      <c r="M175" s="3" t="str">
        <f>IF(Table2[[#This Row],[Under_Market %]]&gt;0.1,"Underpriced","OK")</f>
        <v>OK</v>
      </c>
      <c r="N175" s="5">
        <f>SUMIFS(Table2[[#This Row],[Current Rent Gap]],Table2[[#This Row],[Current Rent Gap]],"&gt;0")</f>
        <v>28.186666666666497</v>
      </c>
    </row>
    <row r="176" spans="1:14" x14ac:dyDescent="0.35">
      <c r="A176" t="s">
        <v>476</v>
      </c>
      <c r="B176" t="s">
        <v>745</v>
      </c>
      <c r="C176">
        <v>3506</v>
      </c>
      <c r="D176">
        <v>3331</v>
      </c>
      <c r="E176">
        <f>Table2[[#This Row],[Due_Amount]]-Table2[[#This Row],[Paid_Amount]]</f>
        <v>175</v>
      </c>
      <c r="F176" s="1">
        <v>45702</v>
      </c>
      <c r="G176">
        <v>17</v>
      </c>
      <c r="H176">
        <f>Table2[[#This Row],[Due_Amount]]*Table2[[#This Row],[Delay_Days]]</f>
        <v>59602</v>
      </c>
      <c r="I176" s="3" t="str">
        <f>IF(Table2[[#This Row],[Delay_Days]]=0,"On Time",IF(Table2[[#This Row],[Delay_Days]]&lt;=7,"Low Risk(1-7)",IF(Table2[[#This Row],[Delay_Days]]&lt;=15,"Medium Risk(8-15)",IF(Table2[[#This Row],[Delay_Days]]&lt;=30,"High Risk(16-30)","Severe Risk(30+)"))))</f>
        <v>High Risk(16-30)</v>
      </c>
      <c r="J176" s="5">
        <f>AVERAGE(Table2[Due_Amount])</f>
        <v>4635.1866666666665</v>
      </c>
      <c r="K176" s="5">
        <f>Table2[[#This Row],[Estimated_Market_Rent]]-Table2[[#This Row],[Due_Amount]]</f>
        <v>1129.1866666666665</v>
      </c>
      <c r="L176" s="6">
        <f>IF(Table2[[#This Row],[Current Rent Gap]]&gt;0,Table2[[#This Row],[Current Rent Gap]]/Table2[[#This Row],[Estimated_Market_Rent]],0)</f>
        <v>0.24361190775488362</v>
      </c>
      <c r="M176" s="3" t="str">
        <f>IF(Table2[[#This Row],[Under_Market %]]&gt;0.1,"Underpriced","OK")</f>
        <v>Underpriced</v>
      </c>
      <c r="N176" s="5">
        <f>SUMIFS(Table2[[#This Row],[Current Rent Gap]],Table2[[#This Row],[Current Rent Gap]],"&gt;0")</f>
        <v>1129.1866666666665</v>
      </c>
    </row>
    <row r="177" spans="1:14" x14ac:dyDescent="0.35">
      <c r="A177" t="s">
        <v>716</v>
      </c>
      <c r="B177" t="s">
        <v>743</v>
      </c>
      <c r="C177">
        <v>2152</v>
      </c>
      <c r="D177">
        <v>1918</v>
      </c>
      <c r="E177">
        <f>Table2[[#This Row],[Due_Amount]]-Table2[[#This Row],[Paid_Amount]]</f>
        <v>234</v>
      </c>
      <c r="F177" s="1">
        <v>45905</v>
      </c>
      <c r="G177">
        <v>14</v>
      </c>
      <c r="H177">
        <f>Table2[[#This Row],[Due_Amount]]*Table2[[#This Row],[Delay_Days]]</f>
        <v>30128</v>
      </c>
      <c r="I177" s="3" t="str">
        <f>IF(Table2[[#This Row],[Delay_Days]]=0,"On Time",IF(Table2[[#This Row],[Delay_Days]]&lt;=7,"Low Risk(1-7)",IF(Table2[[#This Row],[Delay_Days]]&lt;=15,"Medium Risk(8-15)",IF(Table2[[#This Row],[Delay_Days]]&lt;=30,"High Risk(16-30)","Severe Risk(30+)"))))</f>
        <v>Medium Risk(8-15)</v>
      </c>
      <c r="J177" s="5">
        <f>AVERAGE(Table2[Due_Amount])</f>
        <v>4635.1866666666665</v>
      </c>
      <c r="K177" s="5">
        <f>Table2[[#This Row],[Estimated_Market_Rent]]-Table2[[#This Row],[Due_Amount]]</f>
        <v>2483.1866666666665</v>
      </c>
      <c r="L177" s="6">
        <f>IF(Table2[[#This Row],[Current Rent Gap]]&gt;0,Table2[[#This Row],[Current Rent Gap]]/Table2[[#This Row],[Estimated_Market_Rent]],0)</f>
        <v>0.53572527823403016</v>
      </c>
      <c r="M177" s="3" t="str">
        <f>IF(Table2[[#This Row],[Under_Market %]]&gt;0.1,"Underpriced","OK")</f>
        <v>Underpriced</v>
      </c>
      <c r="N177" s="5">
        <f>SUMIFS(Table2[[#This Row],[Current Rent Gap]],Table2[[#This Row],[Current Rent Gap]],"&gt;0")</f>
        <v>2483.1866666666665</v>
      </c>
    </row>
    <row r="178" spans="1:14" x14ac:dyDescent="0.35">
      <c r="A178" t="s">
        <v>304</v>
      </c>
      <c r="B178" t="s">
        <v>752</v>
      </c>
      <c r="C178">
        <v>6826</v>
      </c>
      <c r="D178">
        <v>5954</v>
      </c>
      <c r="E178">
        <f>Table2[[#This Row],[Due_Amount]]-Table2[[#This Row],[Paid_Amount]]</f>
        <v>872</v>
      </c>
      <c r="F178" s="1">
        <v>45834</v>
      </c>
      <c r="G178">
        <v>18</v>
      </c>
      <c r="H178">
        <f>Table2[[#This Row],[Due_Amount]]*Table2[[#This Row],[Delay_Days]]</f>
        <v>122868</v>
      </c>
      <c r="I178" s="3" t="str">
        <f>IF(Table2[[#This Row],[Delay_Days]]=0,"On Time",IF(Table2[[#This Row],[Delay_Days]]&lt;=7,"Low Risk(1-7)",IF(Table2[[#This Row],[Delay_Days]]&lt;=15,"Medium Risk(8-15)",IF(Table2[[#This Row],[Delay_Days]]&lt;=30,"High Risk(16-30)","Severe Risk(30+)"))))</f>
        <v>High Risk(16-30)</v>
      </c>
      <c r="J178" s="5">
        <f>AVERAGE(Table2[Due_Amount])</f>
        <v>4635.1866666666665</v>
      </c>
      <c r="K178" s="5">
        <f>Table2[[#This Row],[Estimated_Market_Rent]]-Table2[[#This Row],[Due_Amount]]</f>
        <v>-2190.8133333333335</v>
      </c>
      <c r="L178" s="6">
        <f>IF(Table2[[#This Row],[Current Rent Gap]]&gt;0,Table2[[#This Row],[Current Rent Gap]]/Table2[[#This Row],[Estimated_Market_Rent]],0)</f>
        <v>0</v>
      </c>
      <c r="M178" s="3" t="str">
        <f>IF(Table2[[#This Row],[Under_Market %]]&gt;0.1,"Underpriced","OK")</f>
        <v>OK</v>
      </c>
      <c r="N178" s="5">
        <f>SUMIFS(Table2[[#This Row],[Current Rent Gap]],Table2[[#This Row],[Current Rent Gap]],"&gt;0")</f>
        <v>0</v>
      </c>
    </row>
    <row r="179" spans="1:14" x14ac:dyDescent="0.35">
      <c r="A179" t="s">
        <v>582</v>
      </c>
      <c r="B179" t="s">
        <v>745</v>
      </c>
      <c r="C179">
        <v>5749</v>
      </c>
      <c r="D179">
        <v>5385</v>
      </c>
      <c r="E179">
        <f>Table2[[#This Row],[Due_Amount]]-Table2[[#This Row],[Paid_Amount]]</f>
        <v>364</v>
      </c>
      <c r="F179" s="1">
        <v>46018</v>
      </c>
      <c r="G179">
        <v>11</v>
      </c>
      <c r="H179">
        <f>Table2[[#This Row],[Due_Amount]]*Table2[[#This Row],[Delay_Days]]</f>
        <v>63239</v>
      </c>
      <c r="I179" s="3" t="str">
        <f>IF(Table2[[#This Row],[Delay_Days]]=0,"On Time",IF(Table2[[#This Row],[Delay_Days]]&lt;=7,"Low Risk(1-7)",IF(Table2[[#This Row],[Delay_Days]]&lt;=15,"Medium Risk(8-15)",IF(Table2[[#This Row],[Delay_Days]]&lt;=30,"High Risk(16-30)","Severe Risk(30+)"))))</f>
        <v>Medium Risk(8-15)</v>
      </c>
      <c r="J179" s="5">
        <f>AVERAGE(Table2[Due_Amount])</f>
        <v>4635.1866666666665</v>
      </c>
      <c r="K179" s="5">
        <f>Table2[[#This Row],[Estimated_Market_Rent]]-Table2[[#This Row],[Due_Amount]]</f>
        <v>-1113.8133333333335</v>
      </c>
      <c r="L179" s="6">
        <f>IF(Table2[[#This Row],[Current Rent Gap]]&gt;0,Table2[[#This Row],[Current Rent Gap]]/Table2[[#This Row],[Estimated_Market_Rent]],0)</f>
        <v>0</v>
      </c>
      <c r="M179" s="3" t="str">
        <f>IF(Table2[[#This Row],[Under_Market %]]&gt;0.1,"Underpriced","OK")</f>
        <v>OK</v>
      </c>
      <c r="N179" s="5">
        <f>SUMIFS(Table2[[#This Row],[Current Rent Gap]],Table2[[#This Row],[Current Rent Gap]],"&gt;0")</f>
        <v>0</v>
      </c>
    </row>
    <row r="180" spans="1:14" x14ac:dyDescent="0.35">
      <c r="A180" t="s">
        <v>461</v>
      </c>
      <c r="B180" t="s">
        <v>754</v>
      </c>
      <c r="C180">
        <v>6252</v>
      </c>
      <c r="D180">
        <v>6252</v>
      </c>
      <c r="E180">
        <f>Table2[[#This Row],[Due_Amount]]-Table2[[#This Row],[Paid_Amount]]</f>
        <v>0</v>
      </c>
      <c r="F180" s="1">
        <v>45671</v>
      </c>
      <c r="G180">
        <v>4</v>
      </c>
      <c r="H180">
        <f>Table2[[#This Row],[Due_Amount]]*Table2[[#This Row],[Delay_Days]]</f>
        <v>25008</v>
      </c>
      <c r="I180" s="3" t="str">
        <f>IF(Table2[[#This Row],[Delay_Days]]=0,"On Time",IF(Table2[[#This Row],[Delay_Days]]&lt;=7,"Low Risk(1-7)",IF(Table2[[#This Row],[Delay_Days]]&lt;=15,"Medium Risk(8-15)",IF(Table2[[#This Row],[Delay_Days]]&lt;=30,"High Risk(16-30)","Severe Risk(30+)"))))</f>
        <v>Low Risk(1-7)</v>
      </c>
      <c r="J180" s="5">
        <f>AVERAGE(Table2[Due_Amount])</f>
        <v>4635.1866666666665</v>
      </c>
      <c r="K180" s="5">
        <f>Table2[[#This Row],[Estimated_Market_Rent]]-Table2[[#This Row],[Due_Amount]]</f>
        <v>-1616.8133333333335</v>
      </c>
      <c r="L180" s="6">
        <f>IF(Table2[[#This Row],[Current Rent Gap]]&gt;0,Table2[[#This Row],[Current Rent Gap]]/Table2[[#This Row],[Estimated_Market_Rent]],0)</f>
        <v>0</v>
      </c>
      <c r="M180" s="3" t="str">
        <f>IF(Table2[[#This Row],[Under_Market %]]&gt;0.1,"Underpriced","OK")</f>
        <v>OK</v>
      </c>
      <c r="N180" s="5">
        <f>SUMIFS(Table2[[#This Row],[Current Rent Gap]],Table2[[#This Row],[Current Rent Gap]],"&gt;0")</f>
        <v>0</v>
      </c>
    </row>
    <row r="181" spans="1:14" x14ac:dyDescent="0.35">
      <c r="A181" t="s">
        <v>699</v>
      </c>
      <c r="B181" t="s">
        <v>744</v>
      </c>
      <c r="C181">
        <v>4536</v>
      </c>
      <c r="D181">
        <v>4023</v>
      </c>
      <c r="E181">
        <f>Table2[[#This Row],[Due_Amount]]-Table2[[#This Row],[Paid_Amount]]</f>
        <v>513</v>
      </c>
      <c r="F181" s="1">
        <v>45702</v>
      </c>
      <c r="G181">
        <v>10</v>
      </c>
      <c r="H181">
        <f>Table2[[#This Row],[Due_Amount]]*Table2[[#This Row],[Delay_Days]]</f>
        <v>45360</v>
      </c>
      <c r="I181" s="3" t="str">
        <f>IF(Table2[[#This Row],[Delay_Days]]=0,"On Time",IF(Table2[[#This Row],[Delay_Days]]&lt;=7,"Low Risk(1-7)",IF(Table2[[#This Row],[Delay_Days]]&lt;=15,"Medium Risk(8-15)",IF(Table2[[#This Row],[Delay_Days]]&lt;=30,"High Risk(16-30)","Severe Risk(30+)"))))</f>
        <v>Medium Risk(8-15)</v>
      </c>
      <c r="J181" s="5">
        <f>AVERAGE(Table2[Due_Amount])</f>
        <v>4635.1866666666665</v>
      </c>
      <c r="K181" s="5">
        <f>Table2[[#This Row],[Estimated_Market_Rent]]-Table2[[#This Row],[Due_Amount]]</f>
        <v>99.186666666666497</v>
      </c>
      <c r="L181" s="6">
        <f>IF(Table2[[#This Row],[Current Rent Gap]]&gt;0,Table2[[#This Row],[Current Rent Gap]]/Table2[[#This Row],[Estimated_Market_Rent]],0)</f>
        <v>2.1398634790688004E-2</v>
      </c>
      <c r="M181" s="3" t="str">
        <f>IF(Table2[[#This Row],[Under_Market %]]&gt;0.1,"Underpriced","OK")</f>
        <v>OK</v>
      </c>
      <c r="N181" s="5">
        <f>SUMIFS(Table2[[#This Row],[Current Rent Gap]],Table2[[#This Row],[Current Rent Gap]],"&gt;0")</f>
        <v>99.186666666666497</v>
      </c>
    </row>
    <row r="182" spans="1:14" x14ac:dyDescent="0.35">
      <c r="A182" t="s">
        <v>467</v>
      </c>
      <c r="B182" t="s">
        <v>747</v>
      </c>
      <c r="C182">
        <v>4111</v>
      </c>
      <c r="D182">
        <v>3227</v>
      </c>
      <c r="E182">
        <f>Table2[[#This Row],[Due_Amount]]-Table2[[#This Row],[Paid_Amount]]</f>
        <v>884</v>
      </c>
      <c r="F182" s="1">
        <v>45829</v>
      </c>
      <c r="G182">
        <v>10</v>
      </c>
      <c r="H182">
        <f>Table2[[#This Row],[Due_Amount]]*Table2[[#This Row],[Delay_Days]]</f>
        <v>41110</v>
      </c>
      <c r="I182" s="3" t="str">
        <f>IF(Table2[[#This Row],[Delay_Days]]=0,"On Time",IF(Table2[[#This Row],[Delay_Days]]&lt;=7,"Low Risk(1-7)",IF(Table2[[#This Row],[Delay_Days]]&lt;=15,"Medium Risk(8-15)",IF(Table2[[#This Row],[Delay_Days]]&lt;=30,"High Risk(16-30)","Severe Risk(30+)"))))</f>
        <v>Medium Risk(8-15)</v>
      </c>
      <c r="J182" s="5">
        <f>AVERAGE(Table2[Due_Amount])</f>
        <v>4635.1866666666665</v>
      </c>
      <c r="K182" s="5">
        <f>Table2[[#This Row],[Estimated_Market_Rent]]-Table2[[#This Row],[Due_Amount]]</f>
        <v>524.1866666666665</v>
      </c>
      <c r="L182" s="6">
        <f>IF(Table2[[#This Row],[Current Rent Gap]]&gt;0,Table2[[#This Row],[Current Rent Gap]]/Table2[[#This Row],[Estimated_Market_Rent]],0)</f>
        <v>0.1130885775186328</v>
      </c>
      <c r="M182" s="3" t="str">
        <f>IF(Table2[[#This Row],[Under_Market %]]&gt;0.1,"Underpriced","OK")</f>
        <v>Underpriced</v>
      </c>
      <c r="N182" s="5">
        <f>SUMIFS(Table2[[#This Row],[Current Rent Gap]],Table2[[#This Row],[Current Rent Gap]],"&gt;0")</f>
        <v>524.1866666666665</v>
      </c>
    </row>
    <row r="183" spans="1:14" x14ac:dyDescent="0.35">
      <c r="A183" t="s">
        <v>318</v>
      </c>
      <c r="B183" t="s">
        <v>744</v>
      </c>
      <c r="C183">
        <v>5906</v>
      </c>
      <c r="D183">
        <v>5768</v>
      </c>
      <c r="E183">
        <f>Table2[[#This Row],[Due_Amount]]-Table2[[#This Row],[Paid_Amount]]</f>
        <v>138</v>
      </c>
      <c r="F183" s="1">
        <v>45703</v>
      </c>
      <c r="G183">
        <v>17</v>
      </c>
      <c r="H183">
        <f>Table2[[#This Row],[Due_Amount]]*Table2[[#This Row],[Delay_Days]]</f>
        <v>100402</v>
      </c>
      <c r="I183" s="3" t="str">
        <f>IF(Table2[[#This Row],[Delay_Days]]=0,"On Time",IF(Table2[[#This Row],[Delay_Days]]&lt;=7,"Low Risk(1-7)",IF(Table2[[#This Row],[Delay_Days]]&lt;=15,"Medium Risk(8-15)",IF(Table2[[#This Row],[Delay_Days]]&lt;=30,"High Risk(16-30)","Severe Risk(30+)"))))</f>
        <v>High Risk(16-30)</v>
      </c>
      <c r="J183" s="5">
        <f>AVERAGE(Table2[Due_Amount])</f>
        <v>4635.1866666666665</v>
      </c>
      <c r="K183" s="5">
        <f>Table2[[#This Row],[Estimated_Market_Rent]]-Table2[[#This Row],[Due_Amount]]</f>
        <v>-1270.8133333333335</v>
      </c>
      <c r="L183" s="6">
        <f>IF(Table2[[#This Row],[Current Rent Gap]]&gt;0,Table2[[#This Row],[Current Rent Gap]]/Table2[[#This Row],[Estimated_Market_Rent]],0)</f>
        <v>0</v>
      </c>
      <c r="M183" s="3" t="str">
        <f>IF(Table2[[#This Row],[Under_Market %]]&gt;0.1,"Underpriced","OK")</f>
        <v>OK</v>
      </c>
      <c r="N183" s="5">
        <f>SUMIFS(Table2[[#This Row],[Current Rent Gap]],Table2[[#This Row],[Current Rent Gap]],"&gt;0")</f>
        <v>0</v>
      </c>
    </row>
    <row r="184" spans="1:14" x14ac:dyDescent="0.35">
      <c r="A184" t="s">
        <v>459</v>
      </c>
      <c r="B184" t="s">
        <v>753</v>
      </c>
      <c r="C184">
        <v>2398</v>
      </c>
      <c r="D184">
        <v>2253</v>
      </c>
      <c r="E184">
        <f>Table2[[#This Row],[Due_Amount]]-Table2[[#This Row],[Paid_Amount]]</f>
        <v>145</v>
      </c>
      <c r="F184" s="1">
        <v>45986</v>
      </c>
      <c r="G184">
        <v>10</v>
      </c>
      <c r="H184">
        <f>Table2[[#This Row],[Due_Amount]]*Table2[[#This Row],[Delay_Days]]</f>
        <v>23980</v>
      </c>
      <c r="I184" s="3" t="str">
        <f>IF(Table2[[#This Row],[Delay_Days]]=0,"On Time",IF(Table2[[#This Row],[Delay_Days]]&lt;=7,"Low Risk(1-7)",IF(Table2[[#This Row],[Delay_Days]]&lt;=15,"Medium Risk(8-15)",IF(Table2[[#This Row],[Delay_Days]]&lt;=30,"High Risk(16-30)","Severe Risk(30+)"))))</f>
        <v>Medium Risk(8-15)</v>
      </c>
      <c r="J184" s="5">
        <f>AVERAGE(Table2[Due_Amount])</f>
        <v>4635.1866666666665</v>
      </c>
      <c r="K184" s="5">
        <f>Table2[[#This Row],[Estimated_Market_Rent]]-Table2[[#This Row],[Due_Amount]]</f>
        <v>2237.1866666666665</v>
      </c>
      <c r="L184" s="6">
        <f>IF(Table2[[#This Row],[Current Rent Gap]]&gt;0,Table2[[#This Row],[Current Rent Gap]]/Table2[[#This Row],[Estimated_Market_Rent]],0)</f>
        <v>0.48265298197267853</v>
      </c>
      <c r="M184" s="3" t="str">
        <f>IF(Table2[[#This Row],[Under_Market %]]&gt;0.1,"Underpriced","OK")</f>
        <v>Underpriced</v>
      </c>
      <c r="N184" s="5">
        <f>SUMIFS(Table2[[#This Row],[Current Rent Gap]],Table2[[#This Row],[Current Rent Gap]],"&gt;0")</f>
        <v>2237.1866666666665</v>
      </c>
    </row>
    <row r="185" spans="1:14" x14ac:dyDescent="0.35">
      <c r="A185" t="s">
        <v>94</v>
      </c>
      <c r="B185" t="s">
        <v>744</v>
      </c>
      <c r="C185">
        <v>4156</v>
      </c>
      <c r="D185">
        <v>4156</v>
      </c>
      <c r="E185">
        <f>Table2[[#This Row],[Due_Amount]]-Table2[[#This Row],[Paid_Amount]]</f>
        <v>0</v>
      </c>
      <c r="F185" s="1">
        <v>45938</v>
      </c>
      <c r="G185">
        <v>0</v>
      </c>
      <c r="H185">
        <f>Table2[[#This Row],[Due_Amount]]*Table2[[#This Row],[Delay_Days]]</f>
        <v>0</v>
      </c>
      <c r="I185" s="3" t="str">
        <f>IF(Table2[[#This Row],[Delay_Days]]=0,"On Time",IF(Table2[[#This Row],[Delay_Days]]&lt;=7,"Low Risk(1-7)",IF(Table2[[#This Row],[Delay_Days]]&lt;=15,"Medium Risk(8-15)",IF(Table2[[#This Row],[Delay_Days]]&lt;=30,"High Risk(16-30)","Severe Risk(30+)"))))</f>
        <v>On Time</v>
      </c>
      <c r="J185" s="5">
        <f>AVERAGE(Table2[Due_Amount])</f>
        <v>4635.1866666666665</v>
      </c>
      <c r="K185" s="5">
        <f>Table2[[#This Row],[Estimated_Market_Rent]]-Table2[[#This Row],[Due_Amount]]</f>
        <v>479.1866666666665</v>
      </c>
      <c r="L185" s="6">
        <f>IF(Table2[[#This Row],[Current Rent Gap]]&gt;0,Table2[[#This Row],[Current Rent Gap]]/Table2[[#This Row],[Estimated_Market_Rent]],0)</f>
        <v>0.1033802306415563</v>
      </c>
      <c r="M185" s="3" t="str">
        <f>IF(Table2[[#This Row],[Under_Market %]]&gt;0.1,"Underpriced","OK")</f>
        <v>Underpriced</v>
      </c>
      <c r="N185" s="5">
        <f>SUMIFS(Table2[[#This Row],[Current Rent Gap]],Table2[[#This Row],[Current Rent Gap]],"&gt;0")</f>
        <v>479.1866666666665</v>
      </c>
    </row>
    <row r="186" spans="1:14" x14ac:dyDescent="0.35">
      <c r="A186" t="s">
        <v>80</v>
      </c>
      <c r="B186" t="s">
        <v>745</v>
      </c>
      <c r="C186">
        <v>4992</v>
      </c>
      <c r="D186">
        <v>4141</v>
      </c>
      <c r="E186">
        <f>Table2[[#This Row],[Due_Amount]]-Table2[[#This Row],[Paid_Amount]]</f>
        <v>851</v>
      </c>
      <c r="F186" s="1">
        <v>45939</v>
      </c>
      <c r="G186">
        <v>19</v>
      </c>
      <c r="H186">
        <f>Table2[[#This Row],[Due_Amount]]*Table2[[#This Row],[Delay_Days]]</f>
        <v>94848</v>
      </c>
      <c r="I186" s="3" t="str">
        <f>IF(Table2[[#This Row],[Delay_Days]]=0,"On Time",IF(Table2[[#This Row],[Delay_Days]]&lt;=7,"Low Risk(1-7)",IF(Table2[[#This Row],[Delay_Days]]&lt;=15,"Medium Risk(8-15)",IF(Table2[[#This Row],[Delay_Days]]&lt;=30,"High Risk(16-30)","Severe Risk(30+)"))))</f>
        <v>High Risk(16-30)</v>
      </c>
      <c r="J186" s="5">
        <f>AVERAGE(Table2[Due_Amount])</f>
        <v>4635.1866666666665</v>
      </c>
      <c r="K186" s="5">
        <f>Table2[[#This Row],[Estimated_Market_Rent]]-Table2[[#This Row],[Due_Amount]]</f>
        <v>-356.8133333333335</v>
      </c>
      <c r="L186" s="6">
        <f>IF(Table2[[#This Row],[Current Rent Gap]]&gt;0,Table2[[#This Row],[Current Rent Gap]]/Table2[[#This Row],[Estimated_Market_Rent]],0)</f>
        <v>0</v>
      </c>
      <c r="M186" s="3" t="str">
        <f>IF(Table2[[#This Row],[Under_Market %]]&gt;0.1,"Underpriced","OK")</f>
        <v>OK</v>
      </c>
      <c r="N186" s="5">
        <f>SUMIFS(Table2[[#This Row],[Current Rent Gap]],Table2[[#This Row],[Current Rent Gap]],"&gt;0")</f>
        <v>0</v>
      </c>
    </row>
    <row r="187" spans="1:14" x14ac:dyDescent="0.35">
      <c r="A187" t="s">
        <v>478</v>
      </c>
      <c r="B187" t="s">
        <v>747</v>
      </c>
      <c r="C187">
        <v>2831</v>
      </c>
      <c r="D187">
        <v>2614</v>
      </c>
      <c r="E187">
        <f>Table2[[#This Row],[Due_Amount]]-Table2[[#This Row],[Paid_Amount]]</f>
        <v>217</v>
      </c>
      <c r="F187" s="1">
        <v>45699</v>
      </c>
      <c r="G187">
        <v>15</v>
      </c>
      <c r="H187">
        <f>Table2[[#This Row],[Due_Amount]]*Table2[[#This Row],[Delay_Days]]</f>
        <v>42465</v>
      </c>
      <c r="I187" s="3" t="str">
        <f>IF(Table2[[#This Row],[Delay_Days]]=0,"On Time",IF(Table2[[#This Row],[Delay_Days]]&lt;=7,"Low Risk(1-7)",IF(Table2[[#This Row],[Delay_Days]]&lt;=15,"Medium Risk(8-15)",IF(Table2[[#This Row],[Delay_Days]]&lt;=30,"High Risk(16-30)","Severe Risk(30+)"))))</f>
        <v>Medium Risk(8-15)</v>
      </c>
      <c r="J187" s="5">
        <f>AVERAGE(Table2[Due_Amount])</f>
        <v>4635.1866666666665</v>
      </c>
      <c r="K187" s="5">
        <f>Table2[[#This Row],[Estimated_Market_Rent]]-Table2[[#This Row],[Due_Amount]]</f>
        <v>1804.1866666666665</v>
      </c>
      <c r="L187" s="6">
        <f>IF(Table2[[#This Row],[Current Rent Gap]]&gt;0,Table2[[#This Row],[Current Rent Gap]]/Table2[[#This Row],[Estimated_Market_Rent]],0)</f>
        <v>0.38923711091103125</v>
      </c>
      <c r="M187" s="3" t="str">
        <f>IF(Table2[[#This Row],[Under_Market %]]&gt;0.1,"Underpriced","OK")</f>
        <v>Underpriced</v>
      </c>
      <c r="N187" s="5">
        <f>SUMIFS(Table2[[#This Row],[Current Rent Gap]],Table2[[#This Row],[Current Rent Gap]],"&gt;0")</f>
        <v>1804.1866666666665</v>
      </c>
    </row>
    <row r="188" spans="1:14" x14ac:dyDescent="0.35">
      <c r="A188" t="s">
        <v>531</v>
      </c>
      <c r="B188" t="s">
        <v>744</v>
      </c>
      <c r="C188">
        <v>6093</v>
      </c>
      <c r="D188">
        <v>5219</v>
      </c>
      <c r="E188">
        <f>Table2[[#This Row],[Due_Amount]]-Table2[[#This Row],[Paid_Amount]]</f>
        <v>874</v>
      </c>
      <c r="F188" s="1">
        <v>45691</v>
      </c>
      <c r="G188">
        <v>19</v>
      </c>
      <c r="H188">
        <f>Table2[[#This Row],[Due_Amount]]*Table2[[#This Row],[Delay_Days]]</f>
        <v>115767</v>
      </c>
      <c r="I188" s="3" t="str">
        <f>IF(Table2[[#This Row],[Delay_Days]]=0,"On Time",IF(Table2[[#This Row],[Delay_Days]]&lt;=7,"Low Risk(1-7)",IF(Table2[[#This Row],[Delay_Days]]&lt;=15,"Medium Risk(8-15)",IF(Table2[[#This Row],[Delay_Days]]&lt;=30,"High Risk(16-30)","Severe Risk(30+)"))))</f>
        <v>High Risk(16-30)</v>
      </c>
      <c r="J188" s="5">
        <f>AVERAGE(Table2[Due_Amount])</f>
        <v>4635.1866666666665</v>
      </c>
      <c r="K188" s="5">
        <f>Table2[[#This Row],[Estimated_Market_Rent]]-Table2[[#This Row],[Due_Amount]]</f>
        <v>-1457.8133333333335</v>
      </c>
      <c r="L188" s="6">
        <f>IF(Table2[[#This Row],[Current Rent Gap]]&gt;0,Table2[[#This Row],[Current Rent Gap]]/Table2[[#This Row],[Estimated_Market_Rent]],0)</f>
        <v>0</v>
      </c>
      <c r="M188" s="3" t="str">
        <f>IF(Table2[[#This Row],[Under_Market %]]&gt;0.1,"Underpriced","OK")</f>
        <v>OK</v>
      </c>
      <c r="N188" s="5">
        <f>SUMIFS(Table2[[#This Row],[Current Rent Gap]],Table2[[#This Row],[Current Rent Gap]],"&gt;0")</f>
        <v>0</v>
      </c>
    </row>
    <row r="189" spans="1:14" x14ac:dyDescent="0.35">
      <c r="A189" t="s">
        <v>145</v>
      </c>
      <c r="B189" t="s">
        <v>750</v>
      </c>
      <c r="C189">
        <v>5839</v>
      </c>
      <c r="D189">
        <v>5788</v>
      </c>
      <c r="E189">
        <f>Table2[[#This Row],[Due_Amount]]-Table2[[#This Row],[Paid_Amount]]</f>
        <v>51</v>
      </c>
      <c r="F189" s="1">
        <v>45771</v>
      </c>
      <c r="G189">
        <v>10</v>
      </c>
      <c r="H189">
        <f>Table2[[#This Row],[Due_Amount]]*Table2[[#This Row],[Delay_Days]]</f>
        <v>58390</v>
      </c>
      <c r="I189" s="3" t="str">
        <f>IF(Table2[[#This Row],[Delay_Days]]=0,"On Time",IF(Table2[[#This Row],[Delay_Days]]&lt;=7,"Low Risk(1-7)",IF(Table2[[#This Row],[Delay_Days]]&lt;=15,"Medium Risk(8-15)",IF(Table2[[#This Row],[Delay_Days]]&lt;=30,"High Risk(16-30)","Severe Risk(30+)"))))</f>
        <v>Medium Risk(8-15)</v>
      </c>
      <c r="J189" s="5">
        <f>AVERAGE(Table2[Due_Amount])</f>
        <v>4635.1866666666665</v>
      </c>
      <c r="K189" s="5">
        <f>Table2[[#This Row],[Estimated_Market_Rent]]-Table2[[#This Row],[Due_Amount]]</f>
        <v>-1203.8133333333335</v>
      </c>
      <c r="L189" s="6">
        <f>IF(Table2[[#This Row],[Current Rent Gap]]&gt;0,Table2[[#This Row],[Current Rent Gap]]/Table2[[#This Row],[Estimated_Market_Rent]],0)</f>
        <v>0</v>
      </c>
      <c r="M189" s="3" t="str">
        <f>IF(Table2[[#This Row],[Under_Market %]]&gt;0.1,"Underpriced","OK")</f>
        <v>OK</v>
      </c>
      <c r="N189" s="5">
        <f>SUMIFS(Table2[[#This Row],[Current Rent Gap]],Table2[[#This Row],[Current Rent Gap]],"&gt;0")</f>
        <v>0</v>
      </c>
    </row>
    <row r="190" spans="1:14" x14ac:dyDescent="0.35">
      <c r="A190" t="s">
        <v>243</v>
      </c>
      <c r="B190" t="s">
        <v>754</v>
      </c>
      <c r="C190">
        <v>6892</v>
      </c>
      <c r="D190">
        <v>5936</v>
      </c>
      <c r="E190">
        <f>Table2[[#This Row],[Due_Amount]]-Table2[[#This Row],[Paid_Amount]]</f>
        <v>956</v>
      </c>
      <c r="F190" s="1">
        <v>45937</v>
      </c>
      <c r="G190">
        <v>11</v>
      </c>
      <c r="H190">
        <f>Table2[[#This Row],[Due_Amount]]*Table2[[#This Row],[Delay_Days]]</f>
        <v>75812</v>
      </c>
      <c r="I190" s="3" t="str">
        <f>IF(Table2[[#This Row],[Delay_Days]]=0,"On Time",IF(Table2[[#This Row],[Delay_Days]]&lt;=7,"Low Risk(1-7)",IF(Table2[[#This Row],[Delay_Days]]&lt;=15,"Medium Risk(8-15)",IF(Table2[[#This Row],[Delay_Days]]&lt;=30,"High Risk(16-30)","Severe Risk(30+)"))))</f>
        <v>Medium Risk(8-15)</v>
      </c>
      <c r="J190" s="5">
        <f>AVERAGE(Table2[Due_Amount])</f>
        <v>4635.1866666666665</v>
      </c>
      <c r="K190" s="5">
        <f>Table2[[#This Row],[Estimated_Market_Rent]]-Table2[[#This Row],[Due_Amount]]</f>
        <v>-2256.8133333333335</v>
      </c>
      <c r="L190" s="6">
        <f>IF(Table2[[#This Row],[Current Rent Gap]]&gt;0,Table2[[#This Row],[Current Rent Gap]]/Table2[[#This Row],[Estimated_Market_Rent]],0)</f>
        <v>0</v>
      </c>
      <c r="M190" s="3" t="str">
        <f>IF(Table2[[#This Row],[Under_Market %]]&gt;0.1,"Underpriced","OK")</f>
        <v>OK</v>
      </c>
      <c r="N190" s="5">
        <f>SUMIFS(Table2[[#This Row],[Current Rent Gap]],Table2[[#This Row],[Current Rent Gap]],"&gt;0")</f>
        <v>0</v>
      </c>
    </row>
    <row r="191" spans="1:14" x14ac:dyDescent="0.35">
      <c r="A191" t="s">
        <v>531</v>
      </c>
      <c r="B191" t="s">
        <v>746</v>
      </c>
      <c r="C191">
        <v>3214</v>
      </c>
      <c r="D191">
        <v>2788</v>
      </c>
      <c r="E191">
        <f>Table2[[#This Row],[Due_Amount]]-Table2[[#This Row],[Paid_Amount]]</f>
        <v>426</v>
      </c>
      <c r="F191" s="1">
        <v>45888</v>
      </c>
      <c r="G191">
        <v>18</v>
      </c>
      <c r="H191">
        <f>Table2[[#This Row],[Due_Amount]]*Table2[[#This Row],[Delay_Days]]</f>
        <v>57852</v>
      </c>
      <c r="I191" s="3" t="str">
        <f>IF(Table2[[#This Row],[Delay_Days]]=0,"On Time",IF(Table2[[#This Row],[Delay_Days]]&lt;=7,"Low Risk(1-7)",IF(Table2[[#This Row],[Delay_Days]]&lt;=15,"Medium Risk(8-15)",IF(Table2[[#This Row],[Delay_Days]]&lt;=30,"High Risk(16-30)","Severe Risk(30+)"))))</f>
        <v>High Risk(16-30)</v>
      </c>
      <c r="J191" s="5">
        <f>AVERAGE(Table2[Due_Amount])</f>
        <v>4635.1866666666665</v>
      </c>
      <c r="K191" s="5">
        <f>Table2[[#This Row],[Estimated_Market_Rent]]-Table2[[#This Row],[Due_Amount]]</f>
        <v>1421.1866666666665</v>
      </c>
      <c r="L191" s="6">
        <f>IF(Table2[[#This Row],[Current Rent Gap]]&gt;0,Table2[[#This Row],[Current Rent Gap]]/Table2[[#This Row],[Estimated_Market_Rent]],0)</f>
        <v>0.30660829193502454</v>
      </c>
      <c r="M191" s="3" t="str">
        <f>IF(Table2[[#This Row],[Under_Market %]]&gt;0.1,"Underpriced","OK")</f>
        <v>Underpriced</v>
      </c>
      <c r="N191" s="5">
        <f>SUMIFS(Table2[[#This Row],[Current Rent Gap]],Table2[[#This Row],[Current Rent Gap]],"&gt;0")</f>
        <v>1421.1866666666665</v>
      </c>
    </row>
    <row r="192" spans="1:14" x14ac:dyDescent="0.35">
      <c r="A192" t="s">
        <v>568</v>
      </c>
      <c r="B192" t="s">
        <v>753</v>
      </c>
      <c r="C192">
        <v>4116</v>
      </c>
      <c r="D192">
        <v>4116</v>
      </c>
      <c r="E192">
        <f>Table2[[#This Row],[Due_Amount]]-Table2[[#This Row],[Paid_Amount]]</f>
        <v>0</v>
      </c>
      <c r="F192" s="1">
        <v>45771</v>
      </c>
      <c r="G192">
        <v>5</v>
      </c>
      <c r="H192">
        <f>Table2[[#This Row],[Due_Amount]]*Table2[[#This Row],[Delay_Days]]</f>
        <v>20580</v>
      </c>
      <c r="I192" s="3" t="str">
        <f>IF(Table2[[#This Row],[Delay_Days]]=0,"On Time",IF(Table2[[#This Row],[Delay_Days]]&lt;=7,"Low Risk(1-7)",IF(Table2[[#This Row],[Delay_Days]]&lt;=15,"Medium Risk(8-15)",IF(Table2[[#This Row],[Delay_Days]]&lt;=30,"High Risk(16-30)","Severe Risk(30+)"))))</f>
        <v>Low Risk(1-7)</v>
      </c>
      <c r="J192" s="5">
        <f>AVERAGE(Table2[Due_Amount])</f>
        <v>4635.1866666666665</v>
      </c>
      <c r="K192" s="5">
        <f>Table2[[#This Row],[Estimated_Market_Rent]]-Table2[[#This Row],[Due_Amount]]</f>
        <v>519.1866666666665</v>
      </c>
      <c r="L192" s="6">
        <f>IF(Table2[[#This Row],[Current Rent Gap]]&gt;0,Table2[[#This Row],[Current Rent Gap]]/Table2[[#This Row],[Estimated_Market_Rent]],0)</f>
        <v>0.11200987231006874</v>
      </c>
      <c r="M192" s="3" t="str">
        <f>IF(Table2[[#This Row],[Under_Market %]]&gt;0.1,"Underpriced","OK")</f>
        <v>Underpriced</v>
      </c>
      <c r="N192" s="5">
        <f>SUMIFS(Table2[[#This Row],[Current Rent Gap]],Table2[[#This Row],[Current Rent Gap]],"&gt;0")</f>
        <v>519.1866666666665</v>
      </c>
    </row>
    <row r="193" spans="1:14" x14ac:dyDescent="0.35">
      <c r="A193" t="s">
        <v>542</v>
      </c>
      <c r="B193" t="s">
        <v>746</v>
      </c>
      <c r="C193">
        <v>6159</v>
      </c>
      <c r="D193">
        <v>5810</v>
      </c>
      <c r="E193">
        <f>Table2[[#This Row],[Due_Amount]]-Table2[[#This Row],[Paid_Amount]]</f>
        <v>349</v>
      </c>
      <c r="F193" s="1">
        <v>45754</v>
      </c>
      <c r="G193">
        <v>12</v>
      </c>
      <c r="H193">
        <f>Table2[[#This Row],[Due_Amount]]*Table2[[#This Row],[Delay_Days]]</f>
        <v>73908</v>
      </c>
      <c r="I193" s="3" t="str">
        <f>IF(Table2[[#This Row],[Delay_Days]]=0,"On Time",IF(Table2[[#This Row],[Delay_Days]]&lt;=7,"Low Risk(1-7)",IF(Table2[[#This Row],[Delay_Days]]&lt;=15,"Medium Risk(8-15)",IF(Table2[[#This Row],[Delay_Days]]&lt;=30,"High Risk(16-30)","Severe Risk(30+)"))))</f>
        <v>Medium Risk(8-15)</v>
      </c>
      <c r="J193" s="5">
        <f>AVERAGE(Table2[Due_Amount])</f>
        <v>4635.1866666666665</v>
      </c>
      <c r="K193" s="5">
        <f>Table2[[#This Row],[Estimated_Market_Rent]]-Table2[[#This Row],[Due_Amount]]</f>
        <v>-1523.8133333333335</v>
      </c>
      <c r="L193" s="6">
        <f>IF(Table2[[#This Row],[Current Rent Gap]]&gt;0,Table2[[#This Row],[Current Rent Gap]]/Table2[[#This Row],[Estimated_Market_Rent]],0)</f>
        <v>0</v>
      </c>
      <c r="M193" s="3" t="str">
        <f>IF(Table2[[#This Row],[Under_Market %]]&gt;0.1,"Underpriced","OK")</f>
        <v>OK</v>
      </c>
      <c r="N193" s="5">
        <f>SUMIFS(Table2[[#This Row],[Current Rent Gap]],Table2[[#This Row],[Current Rent Gap]],"&gt;0")</f>
        <v>0</v>
      </c>
    </row>
    <row r="194" spans="1:14" x14ac:dyDescent="0.35">
      <c r="A194" t="s">
        <v>558</v>
      </c>
      <c r="B194" t="s">
        <v>751</v>
      </c>
      <c r="C194">
        <v>4208</v>
      </c>
      <c r="D194">
        <v>4208</v>
      </c>
      <c r="E194">
        <f>Table2[[#This Row],[Due_Amount]]-Table2[[#This Row],[Paid_Amount]]</f>
        <v>0</v>
      </c>
      <c r="F194" s="1">
        <v>45890</v>
      </c>
      <c r="G194">
        <v>7</v>
      </c>
      <c r="H194">
        <f>Table2[[#This Row],[Due_Amount]]*Table2[[#This Row],[Delay_Days]]</f>
        <v>29456</v>
      </c>
      <c r="I194" s="3" t="str">
        <f>IF(Table2[[#This Row],[Delay_Days]]=0,"On Time",IF(Table2[[#This Row],[Delay_Days]]&lt;=7,"Low Risk(1-7)",IF(Table2[[#This Row],[Delay_Days]]&lt;=15,"Medium Risk(8-15)",IF(Table2[[#This Row],[Delay_Days]]&lt;=30,"High Risk(16-30)","Severe Risk(30+)"))))</f>
        <v>Low Risk(1-7)</v>
      </c>
      <c r="J194" s="5">
        <f>AVERAGE(Table2[Due_Amount])</f>
        <v>4635.1866666666665</v>
      </c>
      <c r="K194" s="5">
        <f>Table2[[#This Row],[Estimated_Market_Rent]]-Table2[[#This Row],[Due_Amount]]</f>
        <v>427.1866666666665</v>
      </c>
      <c r="L194" s="6">
        <f>IF(Table2[[#This Row],[Current Rent Gap]]&gt;0,Table2[[#This Row],[Current Rent Gap]]/Table2[[#This Row],[Estimated_Market_Rent]],0)</f>
        <v>9.2161696472490104E-2</v>
      </c>
      <c r="M194" s="3" t="str">
        <f>IF(Table2[[#This Row],[Under_Market %]]&gt;0.1,"Underpriced","OK")</f>
        <v>OK</v>
      </c>
      <c r="N194" s="5">
        <f>SUMIFS(Table2[[#This Row],[Current Rent Gap]],Table2[[#This Row],[Current Rent Gap]],"&gt;0")</f>
        <v>427.1866666666665</v>
      </c>
    </row>
    <row r="195" spans="1:14" x14ac:dyDescent="0.35">
      <c r="A195" t="s">
        <v>407</v>
      </c>
      <c r="B195" t="s">
        <v>751</v>
      </c>
      <c r="C195">
        <v>6359</v>
      </c>
      <c r="D195">
        <v>6108</v>
      </c>
      <c r="E195">
        <f>Table2[[#This Row],[Due_Amount]]-Table2[[#This Row],[Paid_Amount]]</f>
        <v>251</v>
      </c>
      <c r="F195" s="1">
        <v>45810</v>
      </c>
      <c r="G195">
        <v>21</v>
      </c>
      <c r="H195">
        <f>Table2[[#This Row],[Due_Amount]]*Table2[[#This Row],[Delay_Days]]</f>
        <v>133539</v>
      </c>
      <c r="I195" s="3" t="str">
        <f>IF(Table2[[#This Row],[Delay_Days]]=0,"On Time",IF(Table2[[#This Row],[Delay_Days]]&lt;=7,"Low Risk(1-7)",IF(Table2[[#This Row],[Delay_Days]]&lt;=15,"Medium Risk(8-15)",IF(Table2[[#This Row],[Delay_Days]]&lt;=30,"High Risk(16-30)","Severe Risk(30+)"))))</f>
        <v>High Risk(16-30)</v>
      </c>
      <c r="J195" s="5">
        <f>AVERAGE(Table2[Due_Amount])</f>
        <v>4635.1866666666665</v>
      </c>
      <c r="K195" s="5">
        <f>Table2[[#This Row],[Estimated_Market_Rent]]-Table2[[#This Row],[Due_Amount]]</f>
        <v>-1723.8133333333335</v>
      </c>
      <c r="L195" s="6">
        <f>IF(Table2[[#This Row],[Current Rent Gap]]&gt;0,Table2[[#This Row],[Current Rent Gap]]/Table2[[#This Row],[Estimated_Market_Rent]],0)</f>
        <v>0</v>
      </c>
      <c r="M195" s="3" t="str">
        <f>IF(Table2[[#This Row],[Under_Market %]]&gt;0.1,"Underpriced","OK")</f>
        <v>OK</v>
      </c>
      <c r="N195" s="5">
        <f>SUMIFS(Table2[[#This Row],[Current Rent Gap]],Table2[[#This Row],[Current Rent Gap]],"&gt;0")</f>
        <v>0</v>
      </c>
    </row>
    <row r="196" spans="1:14" x14ac:dyDescent="0.35">
      <c r="A196" t="s">
        <v>120</v>
      </c>
      <c r="B196" t="s">
        <v>749</v>
      </c>
      <c r="C196">
        <v>6174</v>
      </c>
      <c r="D196">
        <v>5958</v>
      </c>
      <c r="E196">
        <f>Table2[[#This Row],[Due_Amount]]-Table2[[#This Row],[Paid_Amount]]</f>
        <v>216</v>
      </c>
      <c r="F196" s="1">
        <v>45885</v>
      </c>
      <c r="G196">
        <v>16</v>
      </c>
      <c r="H196">
        <f>Table2[[#This Row],[Due_Amount]]*Table2[[#This Row],[Delay_Days]]</f>
        <v>98784</v>
      </c>
      <c r="I196" s="3" t="str">
        <f>IF(Table2[[#This Row],[Delay_Days]]=0,"On Time",IF(Table2[[#This Row],[Delay_Days]]&lt;=7,"Low Risk(1-7)",IF(Table2[[#This Row],[Delay_Days]]&lt;=15,"Medium Risk(8-15)",IF(Table2[[#This Row],[Delay_Days]]&lt;=30,"High Risk(16-30)","Severe Risk(30+)"))))</f>
        <v>High Risk(16-30)</v>
      </c>
      <c r="J196" s="5">
        <f>AVERAGE(Table2[Due_Amount])</f>
        <v>4635.1866666666665</v>
      </c>
      <c r="K196" s="5">
        <f>Table2[[#This Row],[Estimated_Market_Rent]]-Table2[[#This Row],[Due_Amount]]</f>
        <v>-1538.8133333333335</v>
      </c>
      <c r="L196" s="6">
        <f>IF(Table2[[#This Row],[Current Rent Gap]]&gt;0,Table2[[#This Row],[Current Rent Gap]]/Table2[[#This Row],[Estimated_Market_Rent]],0)</f>
        <v>0</v>
      </c>
      <c r="M196" s="3" t="str">
        <f>IF(Table2[[#This Row],[Under_Market %]]&gt;0.1,"Underpriced","OK")</f>
        <v>OK</v>
      </c>
      <c r="N196" s="5">
        <f>SUMIFS(Table2[[#This Row],[Current Rent Gap]],Table2[[#This Row],[Current Rent Gap]],"&gt;0")</f>
        <v>0</v>
      </c>
    </row>
    <row r="197" spans="1:14" x14ac:dyDescent="0.35">
      <c r="A197" t="s">
        <v>435</v>
      </c>
      <c r="B197" t="s">
        <v>747</v>
      </c>
      <c r="C197">
        <v>3205</v>
      </c>
      <c r="D197">
        <v>2884</v>
      </c>
      <c r="E197">
        <f>Table2[[#This Row],[Due_Amount]]-Table2[[#This Row],[Paid_Amount]]</f>
        <v>321</v>
      </c>
      <c r="F197" s="1">
        <v>45970</v>
      </c>
      <c r="G197">
        <v>24</v>
      </c>
      <c r="H197">
        <f>Table2[[#This Row],[Due_Amount]]*Table2[[#This Row],[Delay_Days]]</f>
        <v>76920</v>
      </c>
      <c r="I197" s="3" t="str">
        <f>IF(Table2[[#This Row],[Delay_Days]]=0,"On Time",IF(Table2[[#This Row],[Delay_Days]]&lt;=7,"Low Risk(1-7)",IF(Table2[[#This Row],[Delay_Days]]&lt;=15,"Medium Risk(8-15)",IF(Table2[[#This Row],[Delay_Days]]&lt;=30,"High Risk(16-30)","Severe Risk(30+)"))))</f>
        <v>High Risk(16-30)</v>
      </c>
      <c r="J197" s="5">
        <f>AVERAGE(Table2[Due_Amount])</f>
        <v>4635.1866666666665</v>
      </c>
      <c r="K197" s="5">
        <f>Table2[[#This Row],[Estimated_Market_Rent]]-Table2[[#This Row],[Due_Amount]]</f>
        <v>1430.1866666666665</v>
      </c>
      <c r="L197" s="6">
        <f>IF(Table2[[#This Row],[Current Rent Gap]]&gt;0,Table2[[#This Row],[Current Rent Gap]]/Table2[[#This Row],[Estimated_Market_Rent]],0)</f>
        <v>0.30854996131043982</v>
      </c>
      <c r="M197" s="3" t="str">
        <f>IF(Table2[[#This Row],[Under_Market %]]&gt;0.1,"Underpriced","OK")</f>
        <v>Underpriced</v>
      </c>
      <c r="N197" s="5">
        <f>SUMIFS(Table2[[#This Row],[Current Rent Gap]],Table2[[#This Row],[Current Rent Gap]],"&gt;0")</f>
        <v>1430.1866666666665</v>
      </c>
    </row>
    <row r="198" spans="1:14" x14ac:dyDescent="0.35">
      <c r="A198" t="s">
        <v>142</v>
      </c>
      <c r="B198" t="s">
        <v>754</v>
      </c>
      <c r="C198">
        <v>6438</v>
      </c>
      <c r="D198">
        <v>6438</v>
      </c>
      <c r="E198">
        <f>Table2[[#This Row],[Due_Amount]]-Table2[[#This Row],[Paid_Amount]]</f>
        <v>0</v>
      </c>
      <c r="F198" s="1">
        <v>45832</v>
      </c>
      <c r="G198">
        <v>6</v>
      </c>
      <c r="H198">
        <f>Table2[[#This Row],[Due_Amount]]*Table2[[#This Row],[Delay_Days]]</f>
        <v>38628</v>
      </c>
      <c r="I198" s="3" t="str">
        <f>IF(Table2[[#This Row],[Delay_Days]]=0,"On Time",IF(Table2[[#This Row],[Delay_Days]]&lt;=7,"Low Risk(1-7)",IF(Table2[[#This Row],[Delay_Days]]&lt;=15,"Medium Risk(8-15)",IF(Table2[[#This Row],[Delay_Days]]&lt;=30,"High Risk(16-30)","Severe Risk(30+)"))))</f>
        <v>Low Risk(1-7)</v>
      </c>
      <c r="J198" s="5">
        <f>AVERAGE(Table2[Due_Amount])</f>
        <v>4635.1866666666665</v>
      </c>
      <c r="K198" s="5">
        <f>Table2[[#This Row],[Estimated_Market_Rent]]-Table2[[#This Row],[Due_Amount]]</f>
        <v>-1802.8133333333335</v>
      </c>
      <c r="L198" s="6">
        <f>IF(Table2[[#This Row],[Current Rent Gap]]&gt;0,Table2[[#This Row],[Current Rent Gap]]/Table2[[#This Row],[Estimated_Market_Rent]],0)</f>
        <v>0</v>
      </c>
      <c r="M198" s="3" t="str">
        <f>IF(Table2[[#This Row],[Under_Market %]]&gt;0.1,"Underpriced","OK")</f>
        <v>OK</v>
      </c>
      <c r="N198" s="5">
        <f>SUMIFS(Table2[[#This Row],[Current Rent Gap]],Table2[[#This Row],[Current Rent Gap]],"&gt;0")</f>
        <v>0</v>
      </c>
    </row>
    <row r="199" spans="1:14" x14ac:dyDescent="0.35">
      <c r="A199" t="s">
        <v>628</v>
      </c>
      <c r="B199" t="s">
        <v>745</v>
      </c>
      <c r="C199">
        <v>3462</v>
      </c>
      <c r="D199">
        <v>3408</v>
      </c>
      <c r="E199">
        <f>Table2[[#This Row],[Due_Amount]]-Table2[[#This Row],[Paid_Amount]]</f>
        <v>54</v>
      </c>
      <c r="F199" s="1">
        <v>45901</v>
      </c>
      <c r="G199">
        <v>16</v>
      </c>
      <c r="H199">
        <f>Table2[[#This Row],[Due_Amount]]*Table2[[#This Row],[Delay_Days]]</f>
        <v>55392</v>
      </c>
      <c r="I199" s="3" t="str">
        <f>IF(Table2[[#This Row],[Delay_Days]]=0,"On Time",IF(Table2[[#This Row],[Delay_Days]]&lt;=7,"Low Risk(1-7)",IF(Table2[[#This Row],[Delay_Days]]&lt;=15,"Medium Risk(8-15)",IF(Table2[[#This Row],[Delay_Days]]&lt;=30,"High Risk(16-30)","Severe Risk(30+)"))))</f>
        <v>High Risk(16-30)</v>
      </c>
      <c r="J199" s="5">
        <f>AVERAGE(Table2[Due_Amount])</f>
        <v>4635.1866666666665</v>
      </c>
      <c r="K199" s="5">
        <f>Table2[[#This Row],[Estimated_Market_Rent]]-Table2[[#This Row],[Due_Amount]]</f>
        <v>1173.1866666666665</v>
      </c>
      <c r="L199" s="6">
        <f>IF(Table2[[#This Row],[Current Rent Gap]]&gt;0,Table2[[#This Row],[Current Rent Gap]]/Table2[[#This Row],[Estimated_Market_Rent]],0)</f>
        <v>0.25310451359024733</v>
      </c>
      <c r="M199" s="3" t="str">
        <f>IF(Table2[[#This Row],[Under_Market %]]&gt;0.1,"Underpriced","OK")</f>
        <v>Underpriced</v>
      </c>
      <c r="N199" s="5">
        <f>SUMIFS(Table2[[#This Row],[Current Rent Gap]],Table2[[#This Row],[Current Rent Gap]],"&gt;0")</f>
        <v>1173.1866666666665</v>
      </c>
    </row>
    <row r="200" spans="1:14" x14ac:dyDescent="0.35">
      <c r="A200" t="s">
        <v>688</v>
      </c>
      <c r="B200" t="s">
        <v>747</v>
      </c>
      <c r="C200">
        <v>6504</v>
      </c>
      <c r="D200">
        <v>5969</v>
      </c>
      <c r="E200">
        <f>Table2[[#This Row],[Due_Amount]]-Table2[[#This Row],[Paid_Amount]]</f>
        <v>535</v>
      </c>
      <c r="F200" s="1">
        <v>45704</v>
      </c>
      <c r="G200">
        <v>24</v>
      </c>
      <c r="H200">
        <f>Table2[[#This Row],[Due_Amount]]*Table2[[#This Row],[Delay_Days]]</f>
        <v>156096</v>
      </c>
      <c r="I200" s="3" t="str">
        <f>IF(Table2[[#This Row],[Delay_Days]]=0,"On Time",IF(Table2[[#This Row],[Delay_Days]]&lt;=7,"Low Risk(1-7)",IF(Table2[[#This Row],[Delay_Days]]&lt;=15,"Medium Risk(8-15)",IF(Table2[[#This Row],[Delay_Days]]&lt;=30,"High Risk(16-30)","Severe Risk(30+)"))))</f>
        <v>High Risk(16-30)</v>
      </c>
      <c r="J200" s="5">
        <f>AVERAGE(Table2[Due_Amount])</f>
        <v>4635.1866666666665</v>
      </c>
      <c r="K200" s="5">
        <f>Table2[[#This Row],[Estimated_Market_Rent]]-Table2[[#This Row],[Due_Amount]]</f>
        <v>-1868.8133333333335</v>
      </c>
      <c r="L200" s="6">
        <f>IF(Table2[[#This Row],[Current Rent Gap]]&gt;0,Table2[[#This Row],[Current Rent Gap]]/Table2[[#This Row],[Estimated_Market_Rent]],0)</f>
        <v>0</v>
      </c>
      <c r="M200" s="3" t="str">
        <f>IF(Table2[[#This Row],[Under_Market %]]&gt;0.1,"Underpriced","OK")</f>
        <v>OK</v>
      </c>
      <c r="N200" s="5">
        <f>SUMIFS(Table2[[#This Row],[Current Rent Gap]],Table2[[#This Row],[Current Rent Gap]],"&gt;0")</f>
        <v>0</v>
      </c>
    </row>
    <row r="201" spans="1:14" x14ac:dyDescent="0.35">
      <c r="A201" t="s">
        <v>388</v>
      </c>
      <c r="B201" t="s">
        <v>754</v>
      </c>
      <c r="C201">
        <v>4492</v>
      </c>
      <c r="D201">
        <v>4053</v>
      </c>
      <c r="E201">
        <f>Table2[[#This Row],[Due_Amount]]-Table2[[#This Row],[Paid_Amount]]</f>
        <v>439</v>
      </c>
      <c r="F201" s="1">
        <v>45889</v>
      </c>
      <c r="G201">
        <v>22</v>
      </c>
      <c r="H201">
        <f>Table2[[#This Row],[Due_Amount]]*Table2[[#This Row],[Delay_Days]]</f>
        <v>98824</v>
      </c>
      <c r="I201" s="3" t="str">
        <f>IF(Table2[[#This Row],[Delay_Days]]=0,"On Time",IF(Table2[[#This Row],[Delay_Days]]&lt;=7,"Low Risk(1-7)",IF(Table2[[#This Row],[Delay_Days]]&lt;=15,"Medium Risk(8-15)",IF(Table2[[#This Row],[Delay_Days]]&lt;=30,"High Risk(16-30)","Severe Risk(30+)"))))</f>
        <v>High Risk(16-30)</v>
      </c>
      <c r="J201" s="5">
        <f>AVERAGE(Table2[Due_Amount])</f>
        <v>4635.1866666666665</v>
      </c>
      <c r="K201" s="5">
        <f>Table2[[#This Row],[Estimated_Market_Rent]]-Table2[[#This Row],[Due_Amount]]</f>
        <v>143.1866666666665</v>
      </c>
      <c r="L201" s="6">
        <f>IF(Table2[[#This Row],[Current Rent Gap]]&gt;0,Table2[[#This Row],[Current Rent Gap]]/Table2[[#This Row],[Estimated_Market_Rent]],0)</f>
        <v>3.08912406260517E-2</v>
      </c>
      <c r="M201" s="3" t="str">
        <f>IF(Table2[[#This Row],[Under_Market %]]&gt;0.1,"Underpriced","OK")</f>
        <v>OK</v>
      </c>
      <c r="N201" s="5">
        <f>SUMIFS(Table2[[#This Row],[Current Rent Gap]],Table2[[#This Row],[Current Rent Gap]],"&gt;0")</f>
        <v>143.1866666666665</v>
      </c>
    </row>
    <row r="202" spans="1:14" x14ac:dyDescent="0.35">
      <c r="A202" t="s">
        <v>150</v>
      </c>
      <c r="B202" t="s">
        <v>744</v>
      </c>
      <c r="C202">
        <v>4586</v>
      </c>
      <c r="D202">
        <v>4586</v>
      </c>
      <c r="E202">
        <f>Table2[[#This Row],[Due_Amount]]-Table2[[#This Row],[Paid_Amount]]</f>
        <v>0</v>
      </c>
      <c r="F202" s="1">
        <v>45936</v>
      </c>
      <c r="G202">
        <v>4</v>
      </c>
      <c r="H202">
        <f>Table2[[#This Row],[Due_Amount]]*Table2[[#This Row],[Delay_Days]]</f>
        <v>18344</v>
      </c>
      <c r="I202" s="3" t="str">
        <f>IF(Table2[[#This Row],[Delay_Days]]=0,"On Time",IF(Table2[[#This Row],[Delay_Days]]&lt;=7,"Low Risk(1-7)",IF(Table2[[#This Row],[Delay_Days]]&lt;=15,"Medium Risk(8-15)",IF(Table2[[#This Row],[Delay_Days]]&lt;=30,"High Risk(16-30)","Severe Risk(30+)"))))</f>
        <v>Low Risk(1-7)</v>
      </c>
      <c r="J202" s="5">
        <f>AVERAGE(Table2[Due_Amount])</f>
        <v>4635.1866666666665</v>
      </c>
      <c r="K202" s="5">
        <f>Table2[[#This Row],[Estimated_Market_Rent]]-Table2[[#This Row],[Due_Amount]]</f>
        <v>49.186666666666497</v>
      </c>
      <c r="L202" s="6">
        <f>IF(Table2[[#This Row],[Current Rent Gap]]&gt;0,Table2[[#This Row],[Current Rent Gap]]/Table2[[#This Row],[Estimated_Market_Rent]],0)</f>
        <v>1.0611582705047442E-2</v>
      </c>
      <c r="M202" s="3" t="str">
        <f>IF(Table2[[#This Row],[Under_Market %]]&gt;0.1,"Underpriced","OK")</f>
        <v>OK</v>
      </c>
      <c r="N202" s="5">
        <f>SUMIFS(Table2[[#This Row],[Current Rent Gap]],Table2[[#This Row],[Current Rent Gap]],"&gt;0")</f>
        <v>49.186666666666497</v>
      </c>
    </row>
    <row r="203" spans="1:14" x14ac:dyDescent="0.35">
      <c r="A203" t="s">
        <v>656</v>
      </c>
      <c r="B203" t="s">
        <v>753</v>
      </c>
      <c r="C203">
        <v>3567</v>
      </c>
      <c r="D203">
        <v>3567</v>
      </c>
      <c r="E203">
        <f>Table2[[#This Row],[Due_Amount]]-Table2[[#This Row],[Paid_Amount]]</f>
        <v>0</v>
      </c>
      <c r="F203" s="1">
        <v>45755</v>
      </c>
      <c r="G203">
        <v>0</v>
      </c>
      <c r="H203">
        <f>Table2[[#This Row],[Due_Amount]]*Table2[[#This Row],[Delay_Days]]</f>
        <v>0</v>
      </c>
      <c r="I203" s="3" t="str">
        <f>IF(Table2[[#This Row],[Delay_Days]]=0,"On Time",IF(Table2[[#This Row],[Delay_Days]]&lt;=7,"Low Risk(1-7)",IF(Table2[[#This Row],[Delay_Days]]&lt;=15,"Medium Risk(8-15)",IF(Table2[[#This Row],[Delay_Days]]&lt;=30,"High Risk(16-30)","Severe Risk(30+)"))))</f>
        <v>On Time</v>
      </c>
      <c r="J203" s="5">
        <f>AVERAGE(Table2[Due_Amount])</f>
        <v>4635.1866666666665</v>
      </c>
      <c r="K203" s="5">
        <f>Table2[[#This Row],[Estimated_Market_Rent]]-Table2[[#This Row],[Due_Amount]]</f>
        <v>1068.1866666666665</v>
      </c>
      <c r="L203" s="6">
        <f>IF(Table2[[#This Row],[Current Rent Gap]]&gt;0,Table2[[#This Row],[Current Rent Gap]]/Table2[[#This Row],[Estimated_Market_Rent]],0)</f>
        <v>0.23045170421040215</v>
      </c>
      <c r="M203" s="3" t="str">
        <f>IF(Table2[[#This Row],[Under_Market %]]&gt;0.1,"Underpriced","OK")</f>
        <v>Underpriced</v>
      </c>
      <c r="N203" s="5">
        <f>SUMIFS(Table2[[#This Row],[Current Rent Gap]],Table2[[#This Row],[Current Rent Gap]],"&gt;0")</f>
        <v>1068.1866666666665</v>
      </c>
    </row>
    <row r="204" spans="1:14" x14ac:dyDescent="0.35">
      <c r="A204" t="s">
        <v>669</v>
      </c>
      <c r="B204" t="s">
        <v>750</v>
      </c>
      <c r="C204">
        <v>6905</v>
      </c>
      <c r="D204">
        <v>6367</v>
      </c>
      <c r="E204">
        <f>Table2[[#This Row],[Due_Amount]]-Table2[[#This Row],[Paid_Amount]]</f>
        <v>538</v>
      </c>
      <c r="F204" s="1">
        <v>45909</v>
      </c>
      <c r="G204">
        <v>14</v>
      </c>
      <c r="H204">
        <f>Table2[[#This Row],[Due_Amount]]*Table2[[#This Row],[Delay_Days]]</f>
        <v>96670</v>
      </c>
      <c r="I204" s="3" t="str">
        <f>IF(Table2[[#This Row],[Delay_Days]]=0,"On Time",IF(Table2[[#This Row],[Delay_Days]]&lt;=7,"Low Risk(1-7)",IF(Table2[[#This Row],[Delay_Days]]&lt;=15,"Medium Risk(8-15)",IF(Table2[[#This Row],[Delay_Days]]&lt;=30,"High Risk(16-30)","Severe Risk(30+)"))))</f>
        <v>Medium Risk(8-15)</v>
      </c>
      <c r="J204" s="5">
        <f>AVERAGE(Table2[Due_Amount])</f>
        <v>4635.1866666666665</v>
      </c>
      <c r="K204" s="5">
        <f>Table2[[#This Row],[Estimated_Market_Rent]]-Table2[[#This Row],[Due_Amount]]</f>
        <v>-2269.8133333333335</v>
      </c>
      <c r="L204" s="6">
        <f>IF(Table2[[#This Row],[Current Rent Gap]]&gt;0,Table2[[#This Row],[Current Rent Gap]]/Table2[[#This Row],[Estimated_Market_Rent]],0)</f>
        <v>0</v>
      </c>
      <c r="M204" s="3" t="str">
        <f>IF(Table2[[#This Row],[Under_Market %]]&gt;0.1,"Underpriced","OK")</f>
        <v>OK</v>
      </c>
      <c r="N204" s="5">
        <f>SUMIFS(Table2[[#This Row],[Current Rent Gap]],Table2[[#This Row],[Current Rent Gap]],"&gt;0")</f>
        <v>0</v>
      </c>
    </row>
    <row r="205" spans="1:14" x14ac:dyDescent="0.35">
      <c r="A205" t="s">
        <v>448</v>
      </c>
      <c r="B205" t="s">
        <v>744</v>
      </c>
      <c r="C205">
        <v>4692</v>
      </c>
      <c r="D205">
        <v>3799</v>
      </c>
      <c r="E205">
        <f>Table2[[#This Row],[Due_Amount]]-Table2[[#This Row],[Paid_Amount]]</f>
        <v>893</v>
      </c>
      <c r="F205" s="1">
        <v>45923</v>
      </c>
      <c r="G205">
        <v>12</v>
      </c>
      <c r="H205">
        <f>Table2[[#This Row],[Due_Amount]]*Table2[[#This Row],[Delay_Days]]</f>
        <v>56304</v>
      </c>
      <c r="I205" s="3" t="str">
        <f>IF(Table2[[#This Row],[Delay_Days]]=0,"On Time",IF(Table2[[#This Row],[Delay_Days]]&lt;=7,"Low Risk(1-7)",IF(Table2[[#This Row],[Delay_Days]]&lt;=15,"Medium Risk(8-15)",IF(Table2[[#This Row],[Delay_Days]]&lt;=30,"High Risk(16-30)","Severe Risk(30+)"))))</f>
        <v>Medium Risk(8-15)</v>
      </c>
      <c r="J205" s="5">
        <f>AVERAGE(Table2[Due_Amount])</f>
        <v>4635.1866666666665</v>
      </c>
      <c r="K205" s="5">
        <f>Table2[[#This Row],[Estimated_Market_Rent]]-Table2[[#This Row],[Due_Amount]]</f>
        <v>-56.813333333333503</v>
      </c>
      <c r="L205" s="6">
        <f>IF(Table2[[#This Row],[Current Rent Gap]]&gt;0,Table2[[#This Row],[Current Rent Gap]]/Table2[[#This Row],[Estimated_Market_Rent]],0)</f>
        <v>0</v>
      </c>
      <c r="M205" s="3" t="str">
        <f>IF(Table2[[#This Row],[Under_Market %]]&gt;0.1,"Underpriced","OK")</f>
        <v>OK</v>
      </c>
      <c r="N205" s="5">
        <f>SUMIFS(Table2[[#This Row],[Current Rent Gap]],Table2[[#This Row],[Current Rent Gap]],"&gt;0")</f>
        <v>0</v>
      </c>
    </row>
    <row r="206" spans="1:14" x14ac:dyDescent="0.35">
      <c r="A206" t="s">
        <v>552</v>
      </c>
      <c r="B206" t="s">
        <v>752</v>
      </c>
      <c r="C206">
        <v>4709</v>
      </c>
      <c r="D206">
        <v>4478</v>
      </c>
      <c r="E206">
        <f>Table2[[#This Row],[Due_Amount]]-Table2[[#This Row],[Paid_Amount]]</f>
        <v>231</v>
      </c>
      <c r="F206" s="1">
        <v>45846</v>
      </c>
      <c r="G206">
        <v>16</v>
      </c>
      <c r="H206">
        <f>Table2[[#This Row],[Due_Amount]]*Table2[[#This Row],[Delay_Days]]</f>
        <v>75344</v>
      </c>
      <c r="I206" s="3" t="str">
        <f>IF(Table2[[#This Row],[Delay_Days]]=0,"On Time",IF(Table2[[#This Row],[Delay_Days]]&lt;=7,"Low Risk(1-7)",IF(Table2[[#This Row],[Delay_Days]]&lt;=15,"Medium Risk(8-15)",IF(Table2[[#This Row],[Delay_Days]]&lt;=30,"High Risk(16-30)","Severe Risk(30+)"))))</f>
        <v>High Risk(16-30)</v>
      </c>
      <c r="J206" s="5">
        <f>AVERAGE(Table2[Due_Amount])</f>
        <v>4635.1866666666665</v>
      </c>
      <c r="K206" s="5">
        <f>Table2[[#This Row],[Estimated_Market_Rent]]-Table2[[#This Row],[Due_Amount]]</f>
        <v>-73.813333333333503</v>
      </c>
      <c r="L206" s="6">
        <f>IF(Table2[[#This Row],[Current Rent Gap]]&gt;0,Table2[[#This Row],[Current Rent Gap]]/Table2[[#This Row],[Estimated_Market_Rent]],0)</f>
        <v>0</v>
      </c>
      <c r="M206" s="3" t="str">
        <f>IF(Table2[[#This Row],[Under_Market %]]&gt;0.1,"Underpriced","OK")</f>
        <v>OK</v>
      </c>
      <c r="N206" s="5">
        <f>SUMIFS(Table2[[#This Row],[Current Rent Gap]],Table2[[#This Row],[Current Rent Gap]],"&gt;0")</f>
        <v>0</v>
      </c>
    </row>
    <row r="207" spans="1:14" x14ac:dyDescent="0.35">
      <c r="A207" t="s">
        <v>682</v>
      </c>
      <c r="B207" t="s">
        <v>751</v>
      </c>
      <c r="C207">
        <v>2454</v>
      </c>
      <c r="D207">
        <v>2454</v>
      </c>
      <c r="E207">
        <f>Table2[[#This Row],[Due_Amount]]-Table2[[#This Row],[Paid_Amount]]</f>
        <v>0</v>
      </c>
      <c r="F207" s="1">
        <v>45891</v>
      </c>
      <c r="G207">
        <v>9</v>
      </c>
      <c r="H207">
        <f>Table2[[#This Row],[Due_Amount]]*Table2[[#This Row],[Delay_Days]]</f>
        <v>22086</v>
      </c>
      <c r="I207" s="3" t="str">
        <f>IF(Table2[[#This Row],[Delay_Days]]=0,"On Time",IF(Table2[[#This Row],[Delay_Days]]&lt;=7,"Low Risk(1-7)",IF(Table2[[#This Row],[Delay_Days]]&lt;=15,"Medium Risk(8-15)",IF(Table2[[#This Row],[Delay_Days]]&lt;=30,"High Risk(16-30)","Severe Risk(30+)"))))</f>
        <v>Medium Risk(8-15)</v>
      </c>
      <c r="J207" s="5">
        <f>AVERAGE(Table2[Due_Amount])</f>
        <v>4635.1866666666665</v>
      </c>
      <c r="K207" s="5">
        <f>Table2[[#This Row],[Estimated_Market_Rent]]-Table2[[#This Row],[Due_Amount]]</f>
        <v>2181.1866666666665</v>
      </c>
      <c r="L207" s="6">
        <f>IF(Table2[[#This Row],[Current Rent Gap]]&gt;0,Table2[[#This Row],[Current Rent Gap]]/Table2[[#This Row],[Estimated_Market_Rent]],0)</f>
        <v>0.4705714836367611</v>
      </c>
      <c r="M207" s="3" t="str">
        <f>IF(Table2[[#This Row],[Under_Market %]]&gt;0.1,"Underpriced","OK")</f>
        <v>Underpriced</v>
      </c>
      <c r="N207" s="5">
        <f>SUMIFS(Table2[[#This Row],[Current Rent Gap]],Table2[[#This Row],[Current Rent Gap]],"&gt;0")</f>
        <v>2181.1866666666665</v>
      </c>
    </row>
    <row r="208" spans="1:14" x14ac:dyDescent="0.35">
      <c r="A208" t="s">
        <v>442</v>
      </c>
      <c r="B208" t="s">
        <v>747</v>
      </c>
      <c r="C208">
        <v>4113</v>
      </c>
      <c r="D208">
        <v>4113</v>
      </c>
      <c r="E208">
        <f>Table2[[#This Row],[Due_Amount]]-Table2[[#This Row],[Paid_Amount]]</f>
        <v>0</v>
      </c>
      <c r="F208" s="1">
        <v>45985</v>
      </c>
      <c r="G208">
        <v>1</v>
      </c>
      <c r="H208">
        <f>Table2[[#This Row],[Due_Amount]]*Table2[[#This Row],[Delay_Days]]</f>
        <v>4113</v>
      </c>
      <c r="I208" s="3" t="str">
        <f>IF(Table2[[#This Row],[Delay_Days]]=0,"On Time",IF(Table2[[#This Row],[Delay_Days]]&lt;=7,"Low Risk(1-7)",IF(Table2[[#This Row],[Delay_Days]]&lt;=15,"Medium Risk(8-15)",IF(Table2[[#This Row],[Delay_Days]]&lt;=30,"High Risk(16-30)","Severe Risk(30+)"))))</f>
        <v>Low Risk(1-7)</v>
      </c>
      <c r="J208" s="5">
        <f>AVERAGE(Table2[Due_Amount])</f>
        <v>4635.1866666666665</v>
      </c>
      <c r="K208" s="5">
        <f>Table2[[#This Row],[Estimated_Market_Rent]]-Table2[[#This Row],[Due_Amount]]</f>
        <v>522.1866666666665</v>
      </c>
      <c r="L208" s="6">
        <f>IF(Table2[[#This Row],[Current Rent Gap]]&gt;0,Table2[[#This Row],[Current Rent Gap]]/Table2[[#This Row],[Estimated_Market_Rent]],0)</f>
        <v>0.11265709543520717</v>
      </c>
      <c r="M208" s="3" t="str">
        <f>IF(Table2[[#This Row],[Under_Market %]]&gt;0.1,"Underpriced","OK")</f>
        <v>Underpriced</v>
      </c>
      <c r="N208" s="5">
        <f>SUMIFS(Table2[[#This Row],[Current Rent Gap]],Table2[[#This Row],[Current Rent Gap]],"&gt;0")</f>
        <v>522.1866666666665</v>
      </c>
    </row>
    <row r="209" spans="1:14" x14ac:dyDescent="0.35">
      <c r="A209" t="s">
        <v>621</v>
      </c>
      <c r="B209" t="s">
        <v>744</v>
      </c>
      <c r="C209">
        <v>4008</v>
      </c>
      <c r="D209">
        <v>4008</v>
      </c>
      <c r="E209">
        <f>Table2[[#This Row],[Due_Amount]]-Table2[[#This Row],[Paid_Amount]]</f>
        <v>0</v>
      </c>
      <c r="F209" s="1">
        <v>45757</v>
      </c>
      <c r="G209">
        <v>9</v>
      </c>
      <c r="H209">
        <f>Table2[[#This Row],[Due_Amount]]*Table2[[#This Row],[Delay_Days]]</f>
        <v>36072</v>
      </c>
      <c r="I209" s="3" t="str">
        <f>IF(Table2[[#This Row],[Delay_Days]]=0,"On Time",IF(Table2[[#This Row],[Delay_Days]]&lt;=7,"Low Risk(1-7)",IF(Table2[[#This Row],[Delay_Days]]&lt;=15,"Medium Risk(8-15)",IF(Table2[[#This Row],[Delay_Days]]&lt;=30,"High Risk(16-30)","Severe Risk(30+)"))))</f>
        <v>Medium Risk(8-15)</v>
      </c>
      <c r="J209" s="5">
        <f>AVERAGE(Table2[Due_Amount])</f>
        <v>4635.1866666666665</v>
      </c>
      <c r="K209" s="5">
        <f>Table2[[#This Row],[Estimated_Market_Rent]]-Table2[[#This Row],[Due_Amount]]</f>
        <v>627.1866666666665</v>
      </c>
      <c r="L209" s="6">
        <f>IF(Table2[[#This Row],[Current Rent Gap]]&gt;0,Table2[[#This Row],[Current Rent Gap]]/Table2[[#This Row],[Estimated_Market_Rent]],0)</f>
        <v>0.13530990481505237</v>
      </c>
      <c r="M209" s="3" t="str">
        <f>IF(Table2[[#This Row],[Under_Market %]]&gt;0.1,"Underpriced","OK")</f>
        <v>Underpriced</v>
      </c>
      <c r="N209" s="5">
        <f>SUMIFS(Table2[[#This Row],[Current Rent Gap]],Table2[[#This Row],[Current Rent Gap]],"&gt;0")</f>
        <v>627.1866666666665</v>
      </c>
    </row>
    <row r="210" spans="1:14" x14ac:dyDescent="0.35">
      <c r="A210" t="s">
        <v>120</v>
      </c>
      <c r="B210" t="s">
        <v>748</v>
      </c>
      <c r="C210">
        <v>2007</v>
      </c>
      <c r="D210">
        <v>2007</v>
      </c>
      <c r="E210">
        <f>Table2[[#This Row],[Due_Amount]]-Table2[[#This Row],[Paid_Amount]]</f>
        <v>0</v>
      </c>
      <c r="F210" s="1">
        <v>45982</v>
      </c>
      <c r="G210">
        <v>7</v>
      </c>
      <c r="H210">
        <f>Table2[[#This Row],[Due_Amount]]*Table2[[#This Row],[Delay_Days]]</f>
        <v>14049</v>
      </c>
      <c r="I210" s="3" t="str">
        <f>IF(Table2[[#This Row],[Delay_Days]]=0,"On Time",IF(Table2[[#This Row],[Delay_Days]]&lt;=7,"Low Risk(1-7)",IF(Table2[[#This Row],[Delay_Days]]&lt;=15,"Medium Risk(8-15)",IF(Table2[[#This Row],[Delay_Days]]&lt;=30,"High Risk(16-30)","Severe Risk(30+)"))))</f>
        <v>Low Risk(1-7)</v>
      </c>
      <c r="J210" s="5">
        <f>AVERAGE(Table2[Due_Amount])</f>
        <v>4635.1866666666665</v>
      </c>
      <c r="K210" s="5">
        <f>Table2[[#This Row],[Estimated_Market_Rent]]-Table2[[#This Row],[Due_Amount]]</f>
        <v>2628.1866666666665</v>
      </c>
      <c r="L210" s="6">
        <f>IF(Table2[[#This Row],[Current Rent Gap]]&gt;0,Table2[[#This Row],[Current Rent Gap]]/Table2[[#This Row],[Estimated_Market_Rent]],0)</f>
        <v>0.56700772928238774</v>
      </c>
      <c r="M210" s="3" t="str">
        <f>IF(Table2[[#This Row],[Under_Market %]]&gt;0.1,"Underpriced","OK")</f>
        <v>Underpriced</v>
      </c>
      <c r="N210" s="5">
        <f>SUMIFS(Table2[[#This Row],[Current Rent Gap]],Table2[[#This Row],[Current Rent Gap]],"&gt;0")</f>
        <v>2628.1866666666665</v>
      </c>
    </row>
    <row r="211" spans="1:14" x14ac:dyDescent="0.35">
      <c r="A211" t="s">
        <v>605</v>
      </c>
      <c r="B211" t="s">
        <v>751</v>
      </c>
      <c r="C211">
        <v>2727</v>
      </c>
      <c r="D211">
        <v>2112</v>
      </c>
      <c r="E211">
        <f>Table2[[#This Row],[Due_Amount]]-Table2[[#This Row],[Paid_Amount]]</f>
        <v>615</v>
      </c>
      <c r="F211" s="1">
        <v>45698</v>
      </c>
      <c r="G211">
        <v>20</v>
      </c>
      <c r="H211">
        <f>Table2[[#This Row],[Due_Amount]]*Table2[[#This Row],[Delay_Days]]</f>
        <v>54540</v>
      </c>
      <c r="I211" s="3" t="str">
        <f>IF(Table2[[#This Row],[Delay_Days]]=0,"On Time",IF(Table2[[#This Row],[Delay_Days]]&lt;=7,"Low Risk(1-7)",IF(Table2[[#This Row],[Delay_Days]]&lt;=15,"Medium Risk(8-15)",IF(Table2[[#This Row],[Delay_Days]]&lt;=30,"High Risk(16-30)","Severe Risk(30+)"))))</f>
        <v>High Risk(16-30)</v>
      </c>
      <c r="J211" s="5">
        <f>AVERAGE(Table2[Due_Amount])</f>
        <v>4635.1866666666665</v>
      </c>
      <c r="K211" s="5">
        <f>Table2[[#This Row],[Estimated_Market_Rent]]-Table2[[#This Row],[Due_Amount]]</f>
        <v>1908.1866666666665</v>
      </c>
      <c r="L211" s="6">
        <f>IF(Table2[[#This Row],[Current Rent Gap]]&gt;0,Table2[[#This Row],[Current Rent Gap]]/Table2[[#This Row],[Estimated_Market_Rent]],0)</f>
        <v>0.41167417924916361</v>
      </c>
      <c r="M211" s="3" t="str">
        <f>IF(Table2[[#This Row],[Under_Market %]]&gt;0.1,"Underpriced","OK")</f>
        <v>Underpriced</v>
      </c>
      <c r="N211" s="5">
        <f>SUMIFS(Table2[[#This Row],[Current Rent Gap]],Table2[[#This Row],[Current Rent Gap]],"&gt;0")</f>
        <v>1908.1866666666665</v>
      </c>
    </row>
    <row r="212" spans="1:14" x14ac:dyDescent="0.35">
      <c r="A212" t="s">
        <v>142</v>
      </c>
      <c r="B212" t="s">
        <v>746</v>
      </c>
      <c r="C212">
        <v>2677</v>
      </c>
      <c r="D212">
        <v>2677</v>
      </c>
      <c r="E212">
        <f>Table2[[#This Row],[Due_Amount]]-Table2[[#This Row],[Paid_Amount]]</f>
        <v>0</v>
      </c>
      <c r="F212" s="1">
        <v>45977</v>
      </c>
      <c r="G212">
        <v>3</v>
      </c>
      <c r="H212">
        <f>Table2[[#This Row],[Due_Amount]]*Table2[[#This Row],[Delay_Days]]</f>
        <v>8031</v>
      </c>
      <c r="I212" s="3" t="str">
        <f>IF(Table2[[#This Row],[Delay_Days]]=0,"On Time",IF(Table2[[#This Row],[Delay_Days]]&lt;=7,"Low Risk(1-7)",IF(Table2[[#This Row],[Delay_Days]]&lt;=15,"Medium Risk(8-15)",IF(Table2[[#This Row],[Delay_Days]]&lt;=30,"High Risk(16-30)","Severe Risk(30+)"))))</f>
        <v>Low Risk(1-7)</v>
      </c>
      <c r="J212" s="5">
        <f>AVERAGE(Table2[Due_Amount])</f>
        <v>4635.1866666666665</v>
      </c>
      <c r="K212" s="5">
        <f>Table2[[#This Row],[Estimated_Market_Rent]]-Table2[[#This Row],[Due_Amount]]</f>
        <v>1958.1866666666665</v>
      </c>
      <c r="L212" s="6">
        <f>IF(Table2[[#This Row],[Current Rent Gap]]&gt;0,Table2[[#This Row],[Current Rent Gap]]/Table2[[#This Row],[Estimated_Market_Rent]],0)</f>
        <v>0.42246123133480418</v>
      </c>
      <c r="M212" s="3" t="str">
        <f>IF(Table2[[#This Row],[Under_Market %]]&gt;0.1,"Underpriced","OK")</f>
        <v>Underpriced</v>
      </c>
      <c r="N212" s="5">
        <f>SUMIFS(Table2[[#This Row],[Current Rent Gap]],Table2[[#This Row],[Current Rent Gap]],"&gt;0")</f>
        <v>1958.1866666666665</v>
      </c>
    </row>
    <row r="213" spans="1:14" x14ac:dyDescent="0.35">
      <c r="A213" t="s">
        <v>674</v>
      </c>
      <c r="B213" t="s">
        <v>745</v>
      </c>
      <c r="C213">
        <v>5776</v>
      </c>
      <c r="D213">
        <v>5776</v>
      </c>
      <c r="E213">
        <f>Table2[[#This Row],[Due_Amount]]-Table2[[#This Row],[Paid_Amount]]</f>
        <v>0</v>
      </c>
      <c r="F213" s="1">
        <v>45732</v>
      </c>
      <c r="G213">
        <v>2</v>
      </c>
      <c r="H213">
        <f>Table2[[#This Row],[Due_Amount]]*Table2[[#This Row],[Delay_Days]]</f>
        <v>11552</v>
      </c>
      <c r="I213" s="3" t="str">
        <f>IF(Table2[[#This Row],[Delay_Days]]=0,"On Time",IF(Table2[[#This Row],[Delay_Days]]&lt;=7,"Low Risk(1-7)",IF(Table2[[#This Row],[Delay_Days]]&lt;=15,"Medium Risk(8-15)",IF(Table2[[#This Row],[Delay_Days]]&lt;=30,"High Risk(16-30)","Severe Risk(30+)"))))</f>
        <v>Low Risk(1-7)</v>
      </c>
      <c r="J213" s="5">
        <f>AVERAGE(Table2[Due_Amount])</f>
        <v>4635.1866666666665</v>
      </c>
      <c r="K213" s="5">
        <f>Table2[[#This Row],[Estimated_Market_Rent]]-Table2[[#This Row],[Due_Amount]]</f>
        <v>-1140.8133333333335</v>
      </c>
      <c r="L213" s="6">
        <f>IF(Table2[[#This Row],[Current Rent Gap]]&gt;0,Table2[[#This Row],[Current Rent Gap]]/Table2[[#This Row],[Estimated_Market_Rent]],0)</f>
        <v>0</v>
      </c>
      <c r="M213" s="3" t="str">
        <f>IF(Table2[[#This Row],[Under_Market %]]&gt;0.1,"Underpriced","OK")</f>
        <v>OK</v>
      </c>
      <c r="N213" s="5">
        <f>SUMIFS(Table2[[#This Row],[Current Rent Gap]],Table2[[#This Row],[Current Rent Gap]],"&gt;0")</f>
        <v>0</v>
      </c>
    </row>
    <row r="214" spans="1:14" x14ac:dyDescent="0.35">
      <c r="A214" t="s">
        <v>145</v>
      </c>
      <c r="B214" t="s">
        <v>750</v>
      </c>
      <c r="C214">
        <v>3687</v>
      </c>
      <c r="D214">
        <v>2905</v>
      </c>
      <c r="E214">
        <f>Table2[[#This Row],[Due_Amount]]-Table2[[#This Row],[Paid_Amount]]</f>
        <v>782</v>
      </c>
      <c r="F214" s="1">
        <v>45741</v>
      </c>
      <c r="G214">
        <v>18</v>
      </c>
      <c r="H214">
        <f>Table2[[#This Row],[Due_Amount]]*Table2[[#This Row],[Delay_Days]]</f>
        <v>66366</v>
      </c>
      <c r="I214" s="3" t="str">
        <f>IF(Table2[[#This Row],[Delay_Days]]=0,"On Time",IF(Table2[[#This Row],[Delay_Days]]&lt;=7,"Low Risk(1-7)",IF(Table2[[#This Row],[Delay_Days]]&lt;=15,"Medium Risk(8-15)",IF(Table2[[#This Row],[Delay_Days]]&lt;=30,"High Risk(16-30)","Severe Risk(30+)"))))</f>
        <v>High Risk(16-30)</v>
      </c>
      <c r="J214" s="5">
        <f>AVERAGE(Table2[Due_Amount])</f>
        <v>4635.1866666666665</v>
      </c>
      <c r="K214" s="5">
        <f>Table2[[#This Row],[Estimated_Market_Rent]]-Table2[[#This Row],[Due_Amount]]</f>
        <v>948.1866666666665</v>
      </c>
      <c r="L214" s="6">
        <f>IF(Table2[[#This Row],[Current Rent Gap]]&gt;0,Table2[[#This Row],[Current Rent Gap]]/Table2[[#This Row],[Estimated_Market_Rent]],0)</f>
        <v>0.20456277920486479</v>
      </c>
      <c r="M214" s="3" t="str">
        <f>IF(Table2[[#This Row],[Under_Market %]]&gt;0.1,"Underpriced","OK")</f>
        <v>Underpriced</v>
      </c>
      <c r="N214" s="5">
        <f>SUMIFS(Table2[[#This Row],[Current Rent Gap]],Table2[[#This Row],[Current Rent Gap]],"&gt;0")</f>
        <v>948.1866666666665</v>
      </c>
    </row>
    <row r="215" spans="1:14" x14ac:dyDescent="0.35">
      <c r="A215" t="s">
        <v>533</v>
      </c>
      <c r="B215" t="s">
        <v>743</v>
      </c>
      <c r="C215">
        <v>2567</v>
      </c>
      <c r="D215">
        <v>1585</v>
      </c>
      <c r="E215">
        <f>Table2[[#This Row],[Due_Amount]]-Table2[[#This Row],[Paid_Amount]]</f>
        <v>982</v>
      </c>
      <c r="F215" s="1">
        <v>45913</v>
      </c>
      <c r="G215">
        <v>10</v>
      </c>
      <c r="H215">
        <f>Table2[[#This Row],[Due_Amount]]*Table2[[#This Row],[Delay_Days]]</f>
        <v>25670</v>
      </c>
      <c r="I215" s="3" t="str">
        <f>IF(Table2[[#This Row],[Delay_Days]]=0,"On Time",IF(Table2[[#This Row],[Delay_Days]]&lt;=7,"Low Risk(1-7)",IF(Table2[[#This Row],[Delay_Days]]&lt;=15,"Medium Risk(8-15)",IF(Table2[[#This Row],[Delay_Days]]&lt;=30,"High Risk(16-30)","Severe Risk(30+)"))))</f>
        <v>Medium Risk(8-15)</v>
      </c>
      <c r="J215" s="5">
        <f>AVERAGE(Table2[Due_Amount])</f>
        <v>4635.1866666666665</v>
      </c>
      <c r="K215" s="5">
        <f>Table2[[#This Row],[Estimated_Market_Rent]]-Table2[[#This Row],[Due_Amount]]</f>
        <v>2068.1866666666665</v>
      </c>
      <c r="L215" s="6">
        <f>IF(Table2[[#This Row],[Current Rent Gap]]&gt;0,Table2[[#This Row],[Current Rent Gap]]/Table2[[#This Row],[Estimated_Market_Rent]],0)</f>
        <v>0.44619274592321345</v>
      </c>
      <c r="M215" s="3" t="str">
        <f>IF(Table2[[#This Row],[Under_Market %]]&gt;0.1,"Underpriced","OK")</f>
        <v>Underpriced</v>
      </c>
      <c r="N215" s="5">
        <f>SUMIFS(Table2[[#This Row],[Current Rent Gap]],Table2[[#This Row],[Current Rent Gap]],"&gt;0")</f>
        <v>2068.1866666666665</v>
      </c>
    </row>
    <row r="216" spans="1:14" x14ac:dyDescent="0.35">
      <c r="A216" t="s">
        <v>446</v>
      </c>
      <c r="B216" t="s">
        <v>748</v>
      </c>
      <c r="C216">
        <v>6186</v>
      </c>
      <c r="D216">
        <v>5679</v>
      </c>
      <c r="E216">
        <f>Table2[[#This Row],[Due_Amount]]-Table2[[#This Row],[Paid_Amount]]</f>
        <v>507</v>
      </c>
      <c r="F216" s="1">
        <v>45908</v>
      </c>
      <c r="G216">
        <v>16</v>
      </c>
      <c r="H216">
        <f>Table2[[#This Row],[Due_Amount]]*Table2[[#This Row],[Delay_Days]]</f>
        <v>98976</v>
      </c>
      <c r="I216" s="3" t="str">
        <f>IF(Table2[[#This Row],[Delay_Days]]=0,"On Time",IF(Table2[[#This Row],[Delay_Days]]&lt;=7,"Low Risk(1-7)",IF(Table2[[#This Row],[Delay_Days]]&lt;=15,"Medium Risk(8-15)",IF(Table2[[#This Row],[Delay_Days]]&lt;=30,"High Risk(16-30)","Severe Risk(30+)"))))</f>
        <v>High Risk(16-30)</v>
      </c>
      <c r="J216" s="5">
        <f>AVERAGE(Table2[Due_Amount])</f>
        <v>4635.1866666666665</v>
      </c>
      <c r="K216" s="5">
        <f>Table2[[#This Row],[Estimated_Market_Rent]]-Table2[[#This Row],[Due_Amount]]</f>
        <v>-1550.8133333333335</v>
      </c>
      <c r="L216" s="6">
        <f>IF(Table2[[#This Row],[Current Rent Gap]]&gt;0,Table2[[#This Row],[Current Rent Gap]]/Table2[[#This Row],[Estimated_Market_Rent]],0)</f>
        <v>0</v>
      </c>
      <c r="M216" s="3" t="str">
        <f>IF(Table2[[#This Row],[Under_Market %]]&gt;0.1,"Underpriced","OK")</f>
        <v>OK</v>
      </c>
      <c r="N216" s="5">
        <f>SUMIFS(Table2[[#This Row],[Current Rent Gap]],Table2[[#This Row],[Current Rent Gap]],"&gt;0")</f>
        <v>0</v>
      </c>
    </row>
    <row r="217" spans="1:14" x14ac:dyDescent="0.35">
      <c r="A217" t="s">
        <v>126</v>
      </c>
      <c r="B217" t="s">
        <v>749</v>
      </c>
      <c r="C217">
        <v>5090</v>
      </c>
      <c r="D217">
        <v>4358</v>
      </c>
      <c r="E217">
        <f>Table2[[#This Row],[Due_Amount]]-Table2[[#This Row],[Paid_Amount]]</f>
        <v>732</v>
      </c>
      <c r="F217" s="1">
        <v>45767</v>
      </c>
      <c r="G217">
        <v>13</v>
      </c>
      <c r="H217">
        <f>Table2[[#This Row],[Due_Amount]]*Table2[[#This Row],[Delay_Days]]</f>
        <v>66170</v>
      </c>
      <c r="I217" s="3" t="str">
        <f>IF(Table2[[#This Row],[Delay_Days]]=0,"On Time",IF(Table2[[#This Row],[Delay_Days]]&lt;=7,"Low Risk(1-7)",IF(Table2[[#This Row],[Delay_Days]]&lt;=15,"Medium Risk(8-15)",IF(Table2[[#This Row],[Delay_Days]]&lt;=30,"High Risk(16-30)","Severe Risk(30+)"))))</f>
        <v>Medium Risk(8-15)</v>
      </c>
      <c r="J217" s="5">
        <f>AVERAGE(Table2[Due_Amount])</f>
        <v>4635.1866666666665</v>
      </c>
      <c r="K217" s="5">
        <f>Table2[[#This Row],[Estimated_Market_Rent]]-Table2[[#This Row],[Due_Amount]]</f>
        <v>-454.8133333333335</v>
      </c>
      <c r="L217" s="6">
        <f>IF(Table2[[#This Row],[Current Rent Gap]]&gt;0,Table2[[#This Row],[Current Rent Gap]]/Table2[[#This Row],[Estimated_Market_Rent]],0)</f>
        <v>0</v>
      </c>
      <c r="M217" s="3" t="str">
        <f>IF(Table2[[#This Row],[Under_Market %]]&gt;0.1,"Underpriced","OK")</f>
        <v>OK</v>
      </c>
      <c r="N217" s="5">
        <f>SUMIFS(Table2[[#This Row],[Current Rent Gap]],Table2[[#This Row],[Current Rent Gap]],"&gt;0")</f>
        <v>0</v>
      </c>
    </row>
    <row r="218" spans="1:14" x14ac:dyDescent="0.35">
      <c r="A218" t="s">
        <v>667</v>
      </c>
      <c r="B218" t="s">
        <v>748</v>
      </c>
      <c r="C218">
        <v>4228</v>
      </c>
      <c r="D218">
        <v>4228</v>
      </c>
      <c r="E218">
        <f>Table2[[#This Row],[Due_Amount]]-Table2[[#This Row],[Paid_Amount]]</f>
        <v>0</v>
      </c>
      <c r="F218" s="1">
        <v>45694</v>
      </c>
      <c r="G218">
        <v>2</v>
      </c>
      <c r="H218">
        <f>Table2[[#This Row],[Due_Amount]]*Table2[[#This Row],[Delay_Days]]</f>
        <v>8456</v>
      </c>
      <c r="I218" s="3" t="str">
        <f>IF(Table2[[#This Row],[Delay_Days]]=0,"On Time",IF(Table2[[#This Row],[Delay_Days]]&lt;=7,"Low Risk(1-7)",IF(Table2[[#This Row],[Delay_Days]]&lt;=15,"Medium Risk(8-15)",IF(Table2[[#This Row],[Delay_Days]]&lt;=30,"High Risk(16-30)","Severe Risk(30+)"))))</f>
        <v>Low Risk(1-7)</v>
      </c>
      <c r="J218" s="5">
        <f>AVERAGE(Table2[Due_Amount])</f>
        <v>4635.1866666666665</v>
      </c>
      <c r="K218" s="5">
        <f>Table2[[#This Row],[Estimated_Market_Rent]]-Table2[[#This Row],[Due_Amount]]</f>
        <v>407.1866666666665</v>
      </c>
      <c r="L218" s="6">
        <f>IF(Table2[[#This Row],[Current Rent Gap]]&gt;0,Table2[[#This Row],[Current Rent Gap]]/Table2[[#This Row],[Estimated_Market_Rent]],0)</f>
        <v>8.7846875638233887E-2</v>
      </c>
      <c r="M218" s="3" t="str">
        <f>IF(Table2[[#This Row],[Under_Market %]]&gt;0.1,"Underpriced","OK")</f>
        <v>OK</v>
      </c>
      <c r="N218" s="5">
        <f>SUMIFS(Table2[[#This Row],[Current Rent Gap]],Table2[[#This Row],[Current Rent Gap]],"&gt;0")</f>
        <v>407.1866666666665</v>
      </c>
    </row>
    <row r="219" spans="1:14" x14ac:dyDescent="0.35">
      <c r="A219" t="s">
        <v>676</v>
      </c>
      <c r="B219" t="s">
        <v>754</v>
      </c>
      <c r="C219">
        <v>4799</v>
      </c>
      <c r="D219">
        <v>4799</v>
      </c>
      <c r="E219">
        <f>Table2[[#This Row],[Due_Amount]]-Table2[[#This Row],[Paid_Amount]]</f>
        <v>0</v>
      </c>
      <c r="F219" s="1">
        <v>45831</v>
      </c>
      <c r="G219">
        <v>9</v>
      </c>
      <c r="H219">
        <f>Table2[[#This Row],[Due_Amount]]*Table2[[#This Row],[Delay_Days]]</f>
        <v>43191</v>
      </c>
      <c r="I219" s="3" t="str">
        <f>IF(Table2[[#This Row],[Delay_Days]]=0,"On Time",IF(Table2[[#This Row],[Delay_Days]]&lt;=7,"Low Risk(1-7)",IF(Table2[[#This Row],[Delay_Days]]&lt;=15,"Medium Risk(8-15)",IF(Table2[[#This Row],[Delay_Days]]&lt;=30,"High Risk(16-30)","Severe Risk(30+)"))))</f>
        <v>Medium Risk(8-15)</v>
      </c>
      <c r="J219" s="5">
        <f>AVERAGE(Table2[Due_Amount])</f>
        <v>4635.1866666666665</v>
      </c>
      <c r="K219" s="5">
        <f>Table2[[#This Row],[Estimated_Market_Rent]]-Table2[[#This Row],[Due_Amount]]</f>
        <v>-163.8133333333335</v>
      </c>
      <c r="L219" s="6">
        <f>IF(Table2[[#This Row],[Current Rent Gap]]&gt;0,Table2[[#This Row],[Current Rent Gap]]/Table2[[#This Row],[Estimated_Market_Rent]],0)</f>
        <v>0</v>
      </c>
      <c r="M219" s="3" t="str">
        <f>IF(Table2[[#This Row],[Under_Market %]]&gt;0.1,"Underpriced","OK")</f>
        <v>OK</v>
      </c>
      <c r="N219" s="5">
        <f>SUMIFS(Table2[[#This Row],[Current Rent Gap]],Table2[[#This Row],[Current Rent Gap]],"&gt;0")</f>
        <v>0</v>
      </c>
    </row>
    <row r="220" spans="1:14" x14ac:dyDescent="0.35">
      <c r="A220" t="s">
        <v>15</v>
      </c>
      <c r="B220" t="s">
        <v>743</v>
      </c>
      <c r="C220">
        <v>6377</v>
      </c>
      <c r="D220">
        <v>5742</v>
      </c>
      <c r="E220">
        <f>Table2[[#This Row],[Due_Amount]]-Table2[[#This Row],[Paid_Amount]]</f>
        <v>635</v>
      </c>
      <c r="F220" s="1">
        <v>45998</v>
      </c>
      <c r="G220">
        <v>21</v>
      </c>
      <c r="H220">
        <f>Table2[[#This Row],[Due_Amount]]*Table2[[#This Row],[Delay_Days]]</f>
        <v>133917</v>
      </c>
      <c r="I220" s="3" t="str">
        <f>IF(Table2[[#This Row],[Delay_Days]]=0,"On Time",IF(Table2[[#This Row],[Delay_Days]]&lt;=7,"Low Risk(1-7)",IF(Table2[[#This Row],[Delay_Days]]&lt;=15,"Medium Risk(8-15)",IF(Table2[[#This Row],[Delay_Days]]&lt;=30,"High Risk(16-30)","Severe Risk(30+)"))))</f>
        <v>High Risk(16-30)</v>
      </c>
      <c r="J220" s="5">
        <f>AVERAGE(Table2[Due_Amount])</f>
        <v>4635.1866666666665</v>
      </c>
      <c r="K220" s="5">
        <f>Table2[[#This Row],[Estimated_Market_Rent]]-Table2[[#This Row],[Due_Amount]]</f>
        <v>-1741.8133333333335</v>
      </c>
      <c r="L220" s="6">
        <f>IF(Table2[[#This Row],[Current Rent Gap]]&gt;0,Table2[[#This Row],[Current Rent Gap]]/Table2[[#This Row],[Estimated_Market_Rent]],0)</f>
        <v>0</v>
      </c>
      <c r="M220" s="3" t="str">
        <f>IF(Table2[[#This Row],[Under_Market %]]&gt;0.1,"Underpriced","OK")</f>
        <v>OK</v>
      </c>
      <c r="N220" s="5">
        <f>SUMIFS(Table2[[#This Row],[Current Rent Gap]],Table2[[#This Row],[Current Rent Gap]],"&gt;0")</f>
        <v>0</v>
      </c>
    </row>
    <row r="221" spans="1:14" x14ac:dyDescent="0.35">
      <c r="A221" t="s">
        <v>708</v>
      </c>
      <c r="B221" t="s">
        <v>749</v>
      </c>
      <c r="C221">
        <v>3884</v>
      </c>
      <c r="D221">
        <v>3884</v>
      </c>
      <c r="E221">
        <f>Table2[[#This Row],[Due_Amount]]-Table2[[#This Row],[Paid_Amount]]</f>
        <v>0</v>
      </c>
      <c r="F221" s="1">
        <v>45756</v>
      </c>
      <c r="G221">
        <v>0</v>
      </c>
      <c r="H221">
        <f>Table2[[#This Row],[Due_Amount]]*Table2[[#This Row],[Delay_Days]]</f>
        <v>0</v>
      </c>
      <c r="I221" s="3" t="str">
        <f>IF(Table2[[#This Row],[Delay_Days]]=0,"On Time",IF(Table2[[#This Row],[Delay_Days]]&lt;=7,"Low Risk(1-7)",IF(Table2[[#This Row],[Delay_Days]]&lt;=15,"Medium Risk(8-15)",IF(Table2[[#This Row],[Delay_Days]]&lt;=30,"High Risk(16-30)","Severe Risk(30+)"))))</f>
        <v>On Time</v>
      </c>
      <c r="J221" s="5">
        <f>AVERAGE(Table2[Due_Amount])</f>
        <v>4635.1866666666665</v>
      </c>
      <c r="K221" s="5">
        <f>Table2[[#This Row],[Estimated_Market_Rent]]-Table2[[#This Row],[Due_Amount]]</f>
        <v>751.1866666666665</v>
      </c>
      <c r="L221" s="6">
        <f>IF(Table2[[#This Row],[Current Rent Gap]]&gt;0,Table2[[#This Row],[Current Rent Gap]]/Table2[[#This Row],[Estimated_Market_Rent]],0)</f>
        <v>0.16206179398744097</v>
      </c>
      <c r="M221" s="3" t="str">
        <f>IF(Table2[[#This Row],[Under_Market %]]&gt;0.1,"Underpriced","OK")</f>
        <v>Underpriced</v>
      </c>
      <c r="N221" s="5">
        <f>SUMIFS(Table2[[#This Row],[Current Rent Gap]],Table2[[#This Row],[Current Rent Gap]],"&gt;0")</f>
        <v>751.1866666666665</v>
      </c>
    </row>
    <row r="222" spans="1:14" x14ac:dyDescent="0.35">
      <c r="A222" t="s">
        <v>167</v>
      </c>
      <c r="B222" t="s">
        <v>752</v>
      </c>
      <c r="C222">
        <v>3561</v>
      </c>
      <c r="D222">
        <v>3561</v>
      </c>
      <c r="E222">
        <f>Table2[[#This Row],[Due_Amount]]-Table2[[#This Row],[Paid_Amount]]</f>
        <v>0</v>
      </c>
      <c r="F222" s="1">
        <v>45831</v>
      </c>
      <c r="G222">
        <v>2</v>
      </c>
      <c r="H222">
        <f>Table2[[#This Row],[Due_Amount]]*Table2[[#This Row],[Delay_Days]]</f>
        <v>7122</v>
      </c>
      <c r="I222" s="3" t="str">
        <f>IF(Table2[[#This Row],[Delay_Days]]=0,"On Time",IF(Table2[[#This Row],[Delay_Days]]&lt;=7,"Low Risk(1-7)",IF(Table2[[#This Row],[Delay_Days]]&lt;=15,"Medium Risk(8-15)",IF(Table2[[#This Row],[Delay_Days]]&lt;=30,"High Risk(16-30)","Severe Risk(30+)"))))</f>
        <v>Low Risk(1-7)</v>
      </c>
      <c r="J222" s="5">
        <f>AVERAGE(Table2[Due_Amount])</f>
        <v>4635.1866666666665</v>
      </c>
      <c r="K222" s="5">
        <f>Table2[[#This Row],[Estimated_Market_Rent]]-Table2[[#This Row],[Due_Amount]]</f>
        <v>1074.1866666666665</v>
      </c>
      <c r="L222" s="6">
        <f>IF(Table2[[#This Row],[Current Rent Gap]]&gt;0,Table2[[#This Row],[Current Rent Gap]]/Table2[[#This Row],[Estimated_Market_Rent]],0)</f>
        <v>0.23174615046067901</v>
      </c>
      <c r="M222" s="3" t="str">
        <f>IF(Table2[[#This Row],[Under_Market %]]&gt;0.1,"Underpriced","OK")</f>
        <v>Underpriced</v>
      </c>
      <c r="N222" s="5">
        <f>SUMIFS(Table2[[#This Row],[Current Rent Gap]],Table2[[#This Row],[Current Rent Gap]],"&gt;0")</f>
        <v>1074.1866666666665</v>
      </c>
    </row>
    <row r="223" spans="1:14" x14ac:dyDescent="0.35">
      <c r="A223" t="s">
        <v>158</v>
      </c>
      <c r="B223" t="s">
        <v>743</v>
      </c>
      <c r="C223">
        <v>4165</v>
      </c>
      <c r="D223">
        <v>4165</v>
      </c>
      <c r="E223">
        <f>Table2[[#This Row],[Due_Amount]]-Table2[[#This Row],[Paid_Amount]]</f>
        <v>0</v>
      </c>
      <c r="F223" s="1">
        <v>45866</v>
      </c>
      <c r="G223">
        <v>9</v>
      </c>
      <c r="H223">
        <f>Table2[[#This Row],[Due_Amount]]*Table2[[#This Row],[Delay_Days]]</f>
        <v>37485</v>
      </c>
      <c r="I223" s="3" t="str">
        <f>IF(Table2[[#This Row],[Delay_Days]]=0,"On Time",IF(Table2[[#This Row],[Delay_Days]]&lt;=7,"Low Risk(1-7)",IF(Table2[[#This Row],[Delay_Days]]&lt;=15,"Medium Risk(8-15)",IF(Table2[[#This Row],[Delay_Days]]&lt;=30,"High Risk(16-30)","Severe Risk(30+)"))))</f>
        <v>Medium Risk(8-15)</v>
      </c>
      <c r="J223" s="5">
        <f>AVERAGE(Table2[Due_Amount])</f>
        <v>4635.1866666666665</v>
      </c>
      <c r="K223" s="5">
        <f>Table2[[#This Row],[Estimated_Market_Rent]]-Table2[[#This Row],[Due_Amount]]</f>
        <v>470.1866666666665</v>
      </c>
      <c r="L223" s="6">
        <f>IF(Table2[[#This Row],[Current Rent Gap]]&gt;0,Table2[[#This Row],[Current Rent Gap]]/Table2[[#This Row],[Estimated_Market_Rent]],0)</f>
        <v>0.10143856126614099</v>
      </c>
      <c r="M223" s="3" t="str">
        <f>IF(Table2[[#This Row],[Under_Market %]]&gt;0.1,"Underpriced","OK")</f>
        <v>Underpriced</v>
      </c>
      <c r="N223" s="5">
        <f>SUMIFS(Table2[[#This Row],[Current Rent Gap]],Table2[[#This Row],[Current Rent Gap]],"&gt;0")</f>
        <v>470.1866666666665</v>
      </c>
    </row>
    <row r="224" spans="1:14" x14ac:dyDescent="0.35">
      <c r="A224" t="s">
        <v>211</v>
      </c>
      <c r="B224" t="s">
        <v>754</v>
      </c>
      <c r="C224">
        <v>3428</v>
      </c>
      <c r="D224">
        <v>3428</v>
      </c>
      <c r="E224">
        <f>Table2[[#This Row],[Due_Amount]]-Table2[[#This Row],[Paid_Amount]]</f>
        <v>0</v>
      </c>
      <c r="F224" s="1">
        <v>45978</v>
      </c>
      <c r="G224">
        <v>3</v>
      </c>
      <c r="H224">
        <f>Table2[[#This Row],[Due_Amount]]*Table2[[#This Row],[Delay_Days]]</f>
        <v>10284</v>
      </c>
      <c r="I224" s="3" t="str">
        <f>IF(Table2[[#This Row],[Delay_Days]]=0,"On Time",IF(Table2[[#This Row],[Delay_Days]]&lt;=7,"Low Risk(1-7)",IF(Table2[[#This Row],[Delay_Days]]&lt;=15,"Medium Risk(8-15)",IF(Table2[[#This Row],[Delay_Days]]&lt;=30,"High Risk(16-30)","Severe Risk(30+)"))))</f>
        <v>Low Risk(1-7)</v>
      </c>
      <c r="J224" s="5">
        <f>AVERAGE(Table2[Due_Amount])</f>
        <v>4635.1866666666665</v>
      </c>
      <c r="K224" s="5">
        <f>Table2[[#This Row],[Estimated_Market_Rent]]-Table2[[#This Row],[Due_Amount]]</f>
        <v>1207.1866666666665</v>
      </c>
      <c r="L224" s="6">
        <f>IF(Table2[[#This Row],[Current Rent Gap]]&gt;0,Table2[[#This Row],[Current Rent Gap]]/Table2[[#This Row],[Estimated_Market_Rent]],0)</f>
        <v>0.2604397090084829</v>
      </c>
      <c r="M224" s="3" t="str">
        <f>IF(Table2[[#This Row],[Under_Market %]]&gt;0.1,"Underpriced","OK")</f>
        <v>Underpriced</v>
      </c>
      <c r="N224" s="5">
        <f>SUMIFS(Table2[[#This Row],[Current Rent Gap]],Table2[[#This Row],[Current Rent Gap]],"&gt;0")</f>
        <v>1207.1866666666665</v>
      </c>
    </row>
    <row r="225" spans="1:14" x14ac:dyDescent="0.35">
      <c r="A225" t="s">
        <v>237</v>
      </c>
      <c r="B225" t="s">
        <v>743</v>
      </c>
      <c r="C225">
        <v>4528</v>
      </c>
      <c r="D225">
        <v>4133</v>
      </c>
      <c r="E225">
        <f>Table2[[#This Row],[Due_Amount]]-Table2[[#This Row],[Paid_Amount]]</f>
        <v>395</v>
      </c>
      <c r="F225" s="1">
        <v>45669</v>
      </c>
      <c r="G225">
        <v>14</v>
      </c>
      <c r="H225">
        <f>Table2[[#This Row],[Due_Amount]]*Table2[[#This Row],[Delay_Days]]</f>
        <v>63392</v>
      </c>
      <c r="I225" s="3" t="str">
        <f>IF(Table2[[#This Row],[Delay_Days]]=0,"On Time",IF(Table2[[#This Row],[Delay_Days]]&lt;=7,"Low Risk(1-7)",IF(Table2[[#This Row],[Delay_Days]]&lt;=15,"Medium Risk(8-15)",IF(Table2[[#This Row],[Delay_Days]]&lt;=30,"High Risk(16-30)","Severe Risk(30+)"))))</f>
        <v>Medium Risk(8-15)</v>
      </c>
      <c r="J225" s="5">
        <f>AVERAGE(Table2[Due_Amount])</f>
        <v>4635.1866666666665</v>
      </c>
      <c r="K225" s="5">
        <f>Table2[[#This Row],[Estimated_Market_Rent]]-Table2[[#This Row],[Due_Amount]]</f>
        <v>107.1866666666665</v>
      </c>
      <c r="L225" s="6">
        <f>IF(Table2[[#This Row],[Current Rent Gap]]&gt;0,Table2[[#This Row],[Current Rent Gap]]/Table2[[#This Row],[Estimated_Market_Rent]],0)</f>
        <v>2.3124563124390495E-2</v>
      </c>
      <c r="M225" s="3" t="str">
        <f>IF(Table2[[#This Row],[Under_Market %]]&gt;0.1,"Underpriced","OK")</f>
        <v>OK</v>
      </c>
      <c r="N225" s="5">
        <f>SUMIFS(Table2[[#This Row],[Current Rent Gap]],Table2[[#This Row],[Current Rent Gap]],"&gt;0")</f>
        <v>107.1866666666665</v>
      </c>
    </row>
    <row r="226" spans="1:14" x14ac:dyDescent="0.35">
      <c r="A226" t="s">
        <v>255</v>
      </c>
      <c r="B226" t="s">
        <v>753</v>
      </c>
      <c r="C226">
        <v>4996</v>
      </c>
      <c r="D226">
        <v>4155</v>
      </c>
      <c r="E226">
        <f>Table2[[#This Row],[Due_Amount]]-Table2[[#This Row],[Paid_Amount]]</f>
        <v>841</v>
      </c>
      <c r="F226" s="1">
        <v>45870</v>
      </c>
      <c r="G226">
        <v>18</v>
      </c>
      <c r="H226">
        <f>Table2[[#This Row],[Due_Amount]]*Table2[[#This Row],[Delay_Days]]</f>
        <v>89928</v>
      </c>
      <c r="I226" s="3" t="str">
        <f>IF(Table2[[#This Row],[Delay_Days]]=0,"On Time",IF(Table2[[#This Row],[Delay_Days]]&lt;=7,"Low Risk(1-7)",IF(Table2[[#This Row],[Delay_Days]]&lt;=15,"Medium Risk(8-15)",IF(Table2[[#This Row],[Delay_Days]]&lt;=30,"High Risk(16-30)","Severe Risk(30+)"))))</f>
        <v>High Risk(16-30)</v>
      </c>
      <c r="J226" s="5">
        <f>AVERAGE(Table2[Due_Amount])</f>
        <v>4635.1866666666665</v>
      </c>
      <c r="K226" s="5">
        <f>Table2[[#This Row],[Estimated_Market_Rent]]-Table2[[#This Row],[Due_Amount]]</f>
        <v>-360.8133333333335</v>
      </c>
      <c r="L226" s="6">
        <f>IF(Table2[[#This Row],[Current Rent Gap]]&gt;0,Table2[[#This Row],[Current Rent Gap]]/Table2[[#This Row],[Estimated_Market_Rent]],0)</f>
        <v>0</v>
      </c>
      <c r="M226" s="3" t="str">
        <f>IF(Table2[[#This Row],[Under_Market %]]&gt;0.1,"Underpriced","OK")</f>
        <v>OK</v>
      </c>
      <c r="N226" s="5">
        <f>SUMIFS(Table2[[#This Row],[Current Rent Gap]],Table2[[#This Row],[Current Rent Gap]],"&gt;0")</f>
        <v>0</v>
      </c>
    </row>
    <row r="227" spans="1:14" x14ac:dyDescent="0.35">
      <c r="A227" t="s">
        <v>558</v>
      </c>
      <c r="B227" t="s">
        <v>748</v>
      </c>
      <c r="C227">
        <v>2649</v>
      </c>
      <c r="D227">
        <v>2103</v>
      </c>
      <c r="E227">
        <f>Table2[[#This Row],[Due_Amount]]-Table2[[#This Row],[Paid_Amount]]</f>
        <v>546</v>
      </c>
      <c r="F227" s="1">
        <v>45692</v>
      </c>
      <c r="G227">
        <v>14</v>
      </c>
      <c r="H227">
        <f>Table2[[#This Row],[Due_Amount]]*Table2[[#This Row],[Delay_Days]]</f>
        <v>37086</v>
      </c>
      <c r="I227" s="3" t="str">
        <f>IF(Table2[[#This Row],[Delay_Days]]=0,"On Time",IF(Table2[[#This Row],[Delay_Days]]&lt;=7,"Low Risk(1-7)",IF(Table2[[#This Row],[Delay_Days]]&lt;=15,"Medium Risk(8-15)",IF(Table2[[#This Row],[Delay_Days]]&lt;=30,"High Risk(16-30)","Severe Risk(30+)"))))</f>
        <v>Medium Risk(8-15)</v>
      </c>
      <c r="J227" s="5">
        <f>AVERAGE(Table2[Due_Amount])</f>
        <v>4635.1866666666665</v>
      </c>
      <c r="K227" s="5">
        <f>Table2[[#This Row],[Estimated_Market_Rent]]-Table2[[#This Row],[Due_Amount]]</f>
        <v>1986.1866666666665</v>
      </c>
      <c r="L227" s="6">
        <f>IF(Table2[[#This Row],[Current Rent Gap]]&gt;0,Table2[[#This Row],[Current Rent Gap]]/Table2[[#This Row],[Estimated_Market_Rent]],0)</f>
        <v>0.42850198050276289</v>
      </c>
      <c r="M227" s="3" t="str">
        <f>IF(Table2[[#This Row],[Under_Market %]]&gt;0.1,"Underpriced","OK")</f>
        <v>Underpriced</v>
      </c>
      <c r="N227" s="5">
        <f>SUMIFS(Table2[[#This Row],[Current Rent Gap]],Table2[[#This Row],[Current Rent Gap]],"&gt;0")</f>
        <v>1986.1866666666665</v>
      </c>
    </row>
    <row r="228" spans="1:14" x14ac:dyDescent="0.35">
      <c r="A228" t="s">
        <v>472</v>
      </c>
      <c r="B228" t="s">
        <v>743</v>
      </c>
      <c r="C228">
        <v>2880</v>
      </c>
      <c r="D228">
        <v>2880</v>
      </c>
      <c r="E228">
        <f>Table2[[#This Row],[Due_Amount]]-Table2[[#This Row],[Paid_Amount]]</f>
        <v>0</v>
      </c>
      <c r="F228" s="1">
        <v>45754</v>
      </c>
      <c r="G228">
        <v>3</v>
      </c>
      <c r="H228">
        <f>Table2[[#This Row],[Due_Amount]]*Table2[[#This Row],[Delay_Days]]</f>
        <v>8640</v>
      </c>
      <c r="I228" s="3" t="str">
        <f>IF(Table2[[#This Row],[Delay_Days]]=0,"On Time",IF(Table2[[#This Row],[Delay_Days]]&lt;=7,"Low Risk(1-7)",IF(Table2[[#This Row],[Delay_Days]]&lt;=15,"Medium Risk(8-15)",IF(Table2[[#This Row],[Delay_Days]]&lt;=30,"High Risk(16-30)","Severe Risk(30+)"))))</f>
        <v>Low Risk(1-7)</v>
      </c>
      <c r="J228" s="5">
        <f>AVERAGE(Table2[Due_Amount])</f>
        <v>4635.1866666666665</v>
      </c>
      <c r="K228" s="5">
        <f>Table2[[#This Row],[Estimated_Market_Rent]]-Table2[[#This Row],[Due_Amount]]</f>
        <v>1755.1866666666665</v>
      </c>
      <c r="L228" s="6">
        <f>IF(Table2[[#This Row],[Current Rent Gap]]&gt;0,Table2[[#This Row],[Current Rent Gap]]/Table2[[#This Row],[Estimated_Market_Rent]],0)</f>
        <v>0.37866579986710347</v>
      </c>
      <c r="M228" s="3" t="str">
        <f>IF(Table2[[#This Row],[Under_Market %]]&gt;0.1,"Underpriced","OK")</f>
        <v>Underpriced</v>
      </c>
      <c r="N228" s="5">
        <f>SUMIFS(Table2[[#This Row],[Current Rent Gap]],Table2[[#This Row],[Current Rent Gap]],"&gt;0")</f>
        <v>1755.1866666666665</v>
      </c>
    </row>
    <row r="229" spans="1:14" x14ac:dyDescent="0.35">
      <c r="A229" t="s">
        <v>696</v>
      </c>
      <c r="B229" t="s">
        <v>753</v>
      </c>
      <c r="C229">
        <v>4675</v>
      </c>
      <c r="D229">
        <v>4675</v>
      </c>
      <c r="E229">
        <f>Table2[[#This Row],[Due_Amount]]-Table2[[#This Row],[Paid_Amount]]</f>
        <v>0</v>
      </c>
      <c r="F229" s="1">
        <v>45788</v>
      </c>
      <c r="G229">
        <v>9</v>
      </c>
      <c r="H229">
        <f>Table2[[#This Row],[Due_Amount]]*Table2[[#This Row],[Delay_Days]]</f>
        <v>42075</v>
      </c>
      <c r="I229" s="3" t="str">
        <f>IF(Table2[[#This Row],[Delay_Days]]=0,"On Time",IF(Table2[[#This Row],[Delay_Days]]&lt;=7,"Low Risk(1-7)",IF(Table2[[#This Row],[Delay_Days]]&lt;=15,"Medium Risk(8-15)",IF(Table2[[#This Row],[Delay_Days]]&lt;=30,"High Risk(16-30)","Severe Risk(30+)"))))</f>
        <v>Medium Risk(8-15)</v>
      </c>
      <c r="J229" s="5">
        <f>AVERAGE(Table2[Due_Amount])</f>
        <v>4635.1866666666665</v>
      </c>
      <c r="K229" s="5">
        <f>Table2[[#This Row],[Estimated_Market_Rent]]-Table2[[#This Row],[Due_Amount]]</f>
        <v>-39.813333333333503</v>
      </c>
      <c r="L229" s="6">
        <f>IF(Table2[[#This Row],[Current Rent Gap]]&gt;0,Table2[[#This Row],[Current Rent Gap]]/Table2[[#This Row],[Estimated_Market_Rent]],0)</f>
        <v>0</v>
      </c>
      <c r="M229" s="3" t="str">
        <f>IF(Table2[[#This Row],[Under_Market %]]&gt;0.1,"Underpriced","OK")</f>
        <v>OK</v>
      </c>
      <c r="N229" s="5">
        <f>SUMIFS(Table2[[#This Row],[Current Rent Gap]],Table2[[#This Row],[Current Rent Gap]],"&gt;0")</f>
        <v>0</v>
      </c>
    </row>
    <row r="230" spans="1:14" x14ac:dyDescent="0.35">
      <c r="A230" t="s">
        <v>318</v>
      </c>
      <c r="B230" t="s">
        <v>753</v>
      </c>
      <c r="C230">
        <v>5810</v>
      </c>
      <c r="D230">
        <v>5810</v>
      </c>
      <c r="E230">
        <f>Table2[[#This Row],[Due_Amount]]-Table2[[#This Row],[Paid_Amount]]</f>
        <v>0</v>
      </c>
      <c r="F230" s="1">
        <v>45893</v>
      </c>
      <c r="G230">
        <v>4</v>
      </c>
      <c r="H230">
        <f>Table2[[#This Row],[Due_Amount]]*Table2[[#This Row],[Delay_Days]]</f>
        <v>23240</v>
      </c>
      <c r="I230" s="3" t="str">
        <f>IF(Table2[[#This Row],[Delay_Days]]=0,"On Time",IF(Table2[[#This Row],[Delay_Days]]&lt;=7,"Low Risk(1-7)",IF(Table2[[#This Row],[Delay_Days]]&lt;=15,"Medium Risk(8-15)",IF(Table2[[#This Row],[Delay_Days]]&lt;=30,"High Risk(16-30)","Severe Risk(30+)"))))</f>
        <v>Low Risk(1-7)</v>
      </c>
      <c r="J230" s="5">
        <f>AVERAGE(Table2[Due_Amount])</f>
        <v>4635.1866666666665</v>
      </c>
      <c r="K230" s="5">
        <f>Table2[[#This Row],[Estimated_Market_Rent]]-Table2[[#This Row],[Due_Amount]]</f>
        <v>-1174.8133333333335</v>
      </c>
      <c r="L230" s="6">
        <f>IF(Table2[[#This Row],[Current Rent Gap]]&gt;0,Table2[[#This Row],[Current Rent Gap]]/Table2[[#This Row],[Estimated_Market_Rent]],0)</f>
        <v>0</v>
      </c>
      <c r="M230" s="3" t="str">
        <f>IF(Table2[[#This Row],[Under_Market %]]&gt;0.1,"Underpriced","OK")</f>
        <v>OK</v>
      </c>
      <c r="N230" s="5">
        <f>SUMIFS(Table2[[#This Row],[Current Rent Gap]],Table2[[#This Row],[Current Rent Gap]],"&gt;0")</f>
        <v>0</v>
      </c>
    </row>
    <row r="231" spans="1:14" x14ac:dyDescent="0.35">
      <c r="A231" t="s">
        <v>665</v>
      </c>
      <c r="B231" t="s">
        <v>746</v>
      </c>
      <c r="C231">
        <v>4803</v>
      </c>
      <c r="D231">
        <v>4054</v>
      </c>
      <c r="E231">
        <f>Table2[[#This Row],[Due_Amount]]-Table2[[#This Row],[Paid_Amount]]</f>
        <v>749</v>
      </c>
      <c r="F231" s="1">
        <v>45682</v>
      </c>
      <c r="G231">
        <v>24</v>
      </c>
      <c r="H231">
        <f>Table2[[#This Row],[Due_Amount]]*Table2[[#This Row],[Delay_Days]]</f>
        <v>115272</v>
      </c>
      <c r="I231" s="3" t="str">
        <f>IF(Table2[[#This Row],[Delay_Days]]=0,"On Time",IF(Table2[[#This Row],[Delay_Days]]&lt;=7,"Low Risk(1-7)",IF(Table2[[#This Row],[Delay_Days]]&lt;=15,"Medium Risk(8-15)",IF(Table2[[#This Row],[Delay_Days]]&lt;=30,"High Risk(16-30)","Severe Risk(30+)"))))</f>
        <v>High Risk(16-30)</v>
      </c>
      <c r="J231" s="5">
        <f>AVERAGE(Table2[Due_Amount])</f>
        <v>4635.1866666666665</v>
      </c>
      <c r="K231" s="5">
        <f>Table2[[#This Row],[Estimated_Market_Rent]]-Table2[[#This Row],[Due_Amount]]</f>
        <v>-167.8133333333335</v>
      </c>
      <c r="L231" s="6">
        <f>IF(Table2[[#This Row],[Current Rent Gap]]&gt;0,Table2[[#This Row],[Current Rent Gap]]/Table2[[#This Row],[Estimated_Market_Rent]],0)</f>
        <v>0</v>
      </c>
      <c r="M231" s="3" t="str">
        <f>IF(Table2[[#This Row],[Under_Market %]]&gt;0.1,"Underpriced","OK")</f>
        <v>OK</v>
      </c>
      <c r="N231" s="5">
        <f>SUMIFS(Table2[[#This Row],[Current Rent Gap]],Table2[[#This Row],[Current Rent Gap]],"&gt;0")</f>
        <v>0</v>
      </c>
    </row>
    <row r="232" spans="1:14" x14ac:dyDescent="0.35">
      <c r="A232" t="s">
        <v>341</v>
      </c>
      <c r="B232" t="s">
        <v>748</v>
      </c>
      <c r="C232">
        <v>2151</v>
      </c>
      <c r="D232">
        <v>2064</v>
      </c>
      <c r="E232">
        <f>Table2[[#This Row],[Due_Amount]]-Table2[[#This Row],[Paid_Amount]]</f>
        <v>87</v>
      </c>
      <c r="F232" s="1">
        <v>45885</v>
      </c>
      <c r="G232">
        <v>20</v>
      </c>
      <c r="H232">
        <f>Table2[[#This Row],[Due_Amount]]*Table2[[#This Row],[Delay_Days]]</f>
        <v>43020</v>
      </c>
      <c r="I232" s="3" t="str">
        <f>IF(Table2[[#This Row],[Delay_Days]]=0,"On Time",IF(Table2[[#This Row],[Delay_Days]]&lt;=7,"Low Risk(1-7)",IF(Table2[[#This Row],[Delay_Days]]&lt;=15,"Medium Risk(8-15)",IF(Table2[[#This Row],[Delay_Days]]&lt;=30,"High Risk(16-30)","Severe Risk(30+)"))))</f>
        <v>High Risk(16-30)</v>
      </c>
      <c r="J232" s="5">
        <f>AVERAGE(Table2[Due_Amount])</f>
        <v>4635.1866666666665</v>
      </c>
      <c r="K232" s="5">
        <f>Table2[[#This Row],[Estimated_Market_Rent]]-Table2[[#This Row],[Due_Amount]]</f>
        <v>2484.1866666666665</v>
      </c>
      <c r="L232" s="6">
        <f>IF(Table2[[#This Row],[Current Rent Gap]]&gt;0,Table2[[#This Row],[Current Rent Gap]]/Table2[[#This Row],[Estimated_Market_Rent]],0)</f>
        <v>0.53594101927574289</v>
      </c>
      <c r="M232" s="3" t="str">
        <f>IF(Table2[[#This Row],[Under_Market %]]&gt;0.1,"Underpriced","OK")</f>
        <v>Underpriced</v>
      </c>
      <c r="N232" s="5">
        <f>SUMIFS(Table2[[#This Row],[Current Rent Gap]],Table2[[#This Row],[Current Rent Gap]],"&gt;0")</f>
        <v>2484.1866666666665</v>
      </c>
    </row>
    <row r="233" spans="1:14" x14ac:dyDescent="0.35">
      <c r="A233" t="s">
        <v>650</v>
      </c>
      <c r="B233" t="s">
        <v>746</v>
      </c>
      <c r="C233">
        <v>6775</v>
      </c>
      <c r="D233">
        <v>5793</v>
      </c>
      <c r="E233">
        <f>Table2[[#This Row],[Due_Amount]]-Table2[[#This Row],[Paid_Amount]]</f>
        <v>982</v>
      </c>
      <c r="F233" s="1">
        <v>45890</v>
      </c>
      <c r="G233">
        <v>11</v>
      </c>
      <c r="H233">
        <f>Table2[[#This Row],[Due_Amount]]*Table2[[#This Row],[Delay_Days]]</f>
        <v>74525</v>
      </c>
      <c r="I233" s="3" t="str">
        <f>IF(Table2[[#This Row],[Delay_Days]]=0,"On Time",IF(Table2[[#This Row],[Delay_Days]]&lt;=7,"Low Risk(1-7)",IF(Table2[[#This Row],[Delay_Days]]&lt;=15,"Medium Risk(8-15)",IF(Table2[[#This Row],[Delay_Days]]&lt;=30,"High Risk(16-30)","Severe Risk(30+)"))))</f>
        <v>Medium Risk(8-15)</v>
      </c>
      <c r="J233" s="5">
        <f>AVERAGE(Table2[Due_Amount])</f>
        <v>4635.1866666666665</v>
      </c>
      <c r="K233" s="5">
        <f>Table2[[#This Row],[Estimated_Market_Rent]]-Table2[[#This Row],[Due_Amount]]</f>
        <v>-2139.8133333333335</v>
      </c>
      <c r="L233" s="6">
        <f>IF(Table2[[#This Row],[Current Rent Gap]]&gt;0,Table2[[#This Row],[Current Rent Gap]]/Table2[[#This Row],[Estimated_Market_Rent]],0)</f>
        <v>0</v>
      </c>
      <c r="M233" s="3" t="str">
        <f>IF(Table2[[#This Row],[Under_Market %]]&gt;0.1,"Underpriced","OK")</f>
        <v>OK</v>
      </c>
      <c r="N233" s="5">
        <f>SUMIFS(Table2[[#This Row],[Current Rent Gap]],Table2[[#This Row],[Current Rent Gap]],"&gt;0")</f>
        <v>0</v>
      </c>
    </row>
    <row r="234" spans="1:14" x14ac:dyDescent="0.35">
      <c r="A234" t="s">
        <v>461</v>
      </c>
      <c r="B234" t="s">
        <v>746</v>
      </c>
      <c r="C234">
        <v>5190</v>
      </c>
      <c r="D234">
        <v>4711</v>
      </c>
      <c r="E234">
        <f>Table2[[#This Row],[Due_Amount]]-Table2[[#This Row],[Paid_Amount]]</f>
        <v>479</v>
      </c>
      <c r="F234" s="1">
        <v>45958</v>
      </c>
      <c r="G234">
        <v>19</v>
      </c>
      <c r="H234">
        <f>Table2[[#This Row],[Due_Amount]]*Table2[[#This Row],[Delay_Days]]</f>
        <v>98610</v>
      </c>
      <c r="I234" s="3" t="str">
        <f>IF(Table2[[#This Row],[Delay_Days]]=0,"On Time",IF(Table2[[#This Row],[Delay_Days]]&lt;=7,"Low Risk(1-7)",IF(Table2[[#This Row],[Delay_Days]]&lt;=15,"Medium Risk(8-15)",IF(Table2[[#This Row],[Delay_Days]]&lt;=30,"High Risk(16-30)","Severe Risk(30+)"))))</f>
        <v>High Risk(16-30)</v>
      </c>
      <c r="J234" s="5">
        <f>AVERAGE(Table2[Due_Amount])</f>
        <v>4635.1866666666665</v>
      </c>
      <c r="K234" s="5">
        <f>Table2[[#This Row],[Estimated_Market_Rent]]-Table2[[#This Row],[Due_Amount]]</f>
        <v>-554.8133333333335</v>
      </c>
      <c r="L234" s="6">
        <f>IF(Table2[[#This Row],[Current Rent Gap]]&gt;0,Table2[[#This Row],[Current Rent Gap]]/Table2[[#This Row],[Estimated_Market_Rent]],0)</f>
        <v>0</v>
      </c>
      <c r="M234" s="3" t="str">
        <f>IF(Table2[[#This Row],[Under_Market %]]&gt;0.1,"Underpriced","OK")</f>
        <v>OK</v>
      </c>
      <c r="N234" s="5">
        <f>SUMIFS(Table2[[#This Row],[Current Rent Gap]],Table2[[#This Row],[Current Rent Gap]],"&gt;0")</f>
        <v>0</v>
      </c>
    </row>
    <row r="235" spans="1:14" x14ac:dyDescent="0.35">
      <c r="A235" t="s">
        <v>97</v>
      </c>
      <c r="B235" t="s">
        <v>754</v>
      </c>
      <c r="C235">
        <v>4628</v>
      </c>
      <c r="D235">
        <v>4453</v>
      </c>
      <c r="E235">
        <f>Table2[[#This Row],[Due_Amount]]-Table2[[#This Row],[Paid_Amount]]</f>
        <v>175</v>
      </c>
      <c r="F235" s="1">
        <v>45875</v>
      </c>
      <c r="G235">
        <v>23</v>
      </c>
      <c r="H235">
        <f>Table2[[#This Row],[Due_Amount]]*Table2[[#This Row],[Delay_Days]]</f>
        <v>106444</v>
      </c>
      <c r="I235" s="3" t="str">
        <f>IF(Table2[[#This Row],[Delay_Days]]=0,"On Time",IF(Table2[[#This Row],[Delay_Days]]&lt;=7,"Low Risk(1-7)",IF(Table2[[#This Row],[Delay_Days]]&lt;=15,"Medium Risk(8-15)",IF(Table2[[#This Row],[Delay_Days]]&lt;=30,"High Risk(16-30)","Severe Risk(30+)"))))</f>
        <v>High Risk(16-30)</v>
      </c>
      <c r="J235" s="5">
        <f>AVERAGE(Table2[Due_Amount])</f>
        <v>4635.1866666666665</v>
      </c>
      <c r="K235" s="5">
        <f>Table2[[#This Row],[Estimated_Market_Rent]]-Table2[[#This Row],[Due_Amount]]</f>
        <v>7.1866666666664969</v>
      </c>
      <c r="L235" s="6">
        <f>IF(Table2[[#This Row],[Current Rent Gap]]&gt;0,Table2[[#This Row],[Current Rent Gap]]/Table2[[#This Row],[Estimated_Market_Rent]],0)</f>
        <v>1.5504589531093673E-3</v>
      </c>
      <c r="M235" s="3" t="str">
        <f>IF(Table2[[#This Row],[Under_Market %]]&gt;0.1,"Underpriced","OK")</f>
        <v>OK</v>
      </c>
      <c r="N235" s="5">
        <f>SUMIFS(Table2[[#This Row],[Current Rent Gap]],Table2[[#This Row],[Current Rent Gap]],"&gt;0")</f>
        <v>7.1866666666664969</v>
      </c>
    </row>
    <row r="236" spans="1:14" x14ac:dyDescent="0.35">
      <c r="A236" t="s">
        <v>690</v>
      </c>
      <c r="B236" t="s">
        <v>748</v>
      </c>
      <c r="C236">
        <v>4044</v>
      </c>
      <c r="D236">
        <v>3514</v>
      </c>
      <c r="E236">
        <f>Table2[[#This Row],[Due_Amount]]-Table2[[#This Row],[Paid_Amount]]</f>
        <v>530</v>
      </c>
      <c r="F236" s="1">
        <v>45704</v>
      </c>
      <c r="G236">
        <v>11</v>
      </c>
      <c r="H236">
        <f>Table2[[#This Row],[Due_Amount]]*Table2[[#This Row],[Delay_Days]]</f>
        <v>44484</v>
      </c>
      <c r="I236" s="3" t="str">
        <f>IF(Table2[[#This Row],[Delay_Days]]=0,"On Time",IF(Table2[[#This Row],[Delay_Days]]&lt;=7,"Low Risk(1-7)",IF(Table2[[#This Row],[Delay_Days]]&lt;=15,"Medium Risk(8-15)",IF(Table2[[#This Row],[Delay_Days]]&lt;=30,"High Risk(16-30)","Severe Risk(30+)"))))</f>
        <v>Medium Risk(8-15)</v>
      </c>
      <c r="J236" s="5">
        <f>AVERAGE(Table2[Due_Amount])</f>
        <v>4635.1866666666665</v>
      </c>
      <c r="K236" s="5">
        <f>Table2[[#This Row],[Estimated_Market_Rent]]-Table2[[#This Row],[Due_Amount]]</f>
        <v>591.1866666666665</v>
      </c>
      <c r="L236" s="6">
        <f>IF(Table2[[#This Row],[Current Rent Gap]]&gt;0,Table2[[#This Row],[Current Rent Gap]]/Table2[[#This Row],[Estimated_Market_Rent]],0)</f>
        <v>0.12754322731339116</v>
      </c>
      <c r="M236" s="3" t="str">
        <f>IF(Table2[[#This Row],[Under_Market %]]&gt;0.1,"Underpriced","OK")</f>
        <v>Underpriced</v>
      </c>
      <c r="N236" s="5">
        <f>SUMIFS(Table2[[#This Row],[Current Rent Gap]],Table2[[#This Row],[Current Rent Gap]],"&gt;0")</f>
        <v>591.1866666666665</v>
      </c>
    </row>
    <row r="237" spans="1:14" x14ac:dyDescent="0.35">
      <c r="A237" t="s">
        <v>82</v>
      </c>
      <c r="B237" t="s">
        <v>744</v>
      </c>
      <c r="C237">
        <v>6685</v>
      </c>
      <c r="D237">
        <v>6685</v>
      </c>
      <c r="E237">
        <f>Table2[[#This Row],[Due_Amount]]-Table2[[#This Row],[Paid_Amount]]</f>
        <v>0</v>
      </c>
      <c r="F237" s="1">
        <v>45697</v>
      </c>
      <c r="G237">
        <v>8</v>
      </c>
      <c r="H237">
        <f>Table2[[#This Row],[Due_Amount]]*Table2[[#This Row],[Delay_Days]]</f>
        <v>53480</v>
      </c>
      <c r="I237" s="3" t="str">
        <f>IF(Table2[[#This Row],[Delay_Days]]=0,"On Time",IF(Table2[[#This Row],[Delay_Days]]&lt;=7,"Low Risk(1-7)",IF(Table2[[#This Row],[Delay_Days]]&lt;=15,"Medium Risk(8-15)",IF(Table2[[#This Row],[Delay_Days]]&lt;=30,"High Risk(16-30)","Severe Risk(30+)"))))</f>
        <v>Medium Risk(8-15)</v>
      </c>
      <c r="J237" s="5">
        <f>AVERAGE(Table2[Due_Amount])</f>
        <v>4635.1866666666665</v>
      </c>
      <c r="K237" s="5">
        <f>Table2[[#This Row],[Estimated_Market_Rent]]-Table2[[#This Row],[Due_Amount]]</f>
        <v>-2049.8133333333335</v>
      </c>
      <c r="L237" s="6">
        <f>IF(Table2[[#This Row],[Current Rent Gap]]&gt;0,Table2[[#This Row],[Current Rent Gap]]/Table2[[#This Row],[Estimated_Market_Rent]],0)</f>
        <v>0</v>
      </c>
      <c r="M237" s="3" t="str">
        <f>IF(Table2[[#This Row],[Under_Market %]]&gt;0.1,"Underpriced","OK")</f>
        <v>OK</v>
      </c>
      <c r="N237" s="5">
        <f>SUMIFS(Table2[[#This Row],[Current Rent Gap]],Table2[[#This Row],[Current Rent Gap]],"&gt;0")</f>
        <v>0</v>
      </c>
    </row>
    <row r="238" spans="1:14" x14ac:dyDescent="0.35">
      <c r="A238" t="s">
        <v>420</v>
      </c>
      <c r="B238" t="s">
        <v>749</v>
      </c>
      <c r="C238">
        <v>4445</v>
      </c>
      <c r="D238">
        <v>3738</v>
      </c>
      <c r="E238">
        <f>Table2[[#This Row],[Due_Amount]]-Table2[[#This Row],[Paid_Amount]]</f>
        <v>707</v>
      </c>
      <c r="F238" s="1">
        <v>45666</v>
      </c>
      <c r="G238">
        <v>18</v>
      </c>
      <c r="H238">
        <f>Table2[[#This Row],[Due_Amount]]*Table2[[#This Row],[Delay_Days]]</f>
        <v>80010</v>
      </c>
      <c r="I238" s="3" t="str">
        <f>IF(Table2[[#This Row],[Delay_Days]]=0,"On Time",IF(Table2[[#This Row],[Delay_Days]]&lt;=7,"Low Risk(1-7)",IF(Table2[[#This Row],[Delay_Days]]&lt;=15,"Medium Risk(8-15)",IF(Table2[[#This Row],[Delay_Days]]&lt;=30,"High Risk(16-30)","Severe Risk(30+)"))))</f>
        <v>High Risk(16-30)</v>
      </c>
      <c r="J238" s="5">
        <f>AVERAGE(Table2[Due_Amount])</f>
        <v>4635.1866666666665</v>
      </c>
      <c r="K238" s="5">
        <f>Table2[[#This Row],[Estimated_Market_Rent]]-Table2[[#This Row],[Due_Amount]]</f>
        <v>190.1866666666665</v>
      </c>
      <c r="L238" s="6">
        <f>IF(Table2[[#This Row],[Current Rent Gap]]&gt;0,Table2[[#This Row],[Current Rent Gap]]/Table2[[#This Row],[Estimated_Market_Rent]],0)</f>
        <v>4.103106958655383E-2</v>
      </c>
      <c r="M238" s="3" t="str">
        <f>IF(Table2[[#This Row],[Under_Market %]]&gt;0.1,"Underpriced","OK")</f>
        <v>OK</v>
      </c>
      <c r="N238" s="5">
        <f>SUMIFS(Table2[[#This Row],[Current Rent Gap]],Table2[[#This Row],[Current Rent Gap]],"&gt;0")</f>
        <v>190.1866666666665</v>
      </c>
    </row>
    <row r="239" spans="1:14" x14ac:dyDescent="0.35">
      <c r="A239" t="s">
        <v>628</v>
      </c>
      <c r="B239" t="s">
        <v>748</v>
      </c>
      <c r="C239">
        <v>2273</v>
      </c>
      <c r="D239">
        <v>1593</v>
      </c>
      <c r="E239">
        <f>Table2[[#This Row],[Due_Amount]]-Table2[[#This Row],[Paid_Amount]]</f>
        <v>680</v>
      </c>
      <c r="F239" s="1">
        <v>45907</v>
      </c>
      <c r="G239">
        <v>21</v>
      </c>
      <c r="H239">
        <f>Table2[[#This Row],[Due_Amount]]*Table2[[#This Row],[Delay_Days]]</f>
        <v>47733</v>
      </c>
      <c r="I239" s="3" t="str">
        <f>IF(Table2[[#This Row],[Delay_Days]]=0,"On Time",IF(Table2[[#This Row],[Delay_Days]]&lt;=7,"Low Risk(1-7)",IF(Table2[[#This Row],[Delay_Days]]&lt;=15,"Medium Risk(8-15)",IF(Table2[[#This Row],[Delay_Days]]&lt;=30,"High Risk(16-30)","Severe Risk(30+)"))))</f>
        <v>High Risk(16-30)</v>
      </c>
      <c r="J239" s="5">
        <f>AVERAGE(Table2[Due_Amount])</f>
        <v>4635.1866666666665</v>
      </c>
      <c r="K239" s="5">
        <f>Table2[[#This Row],[Estimated_Market_Rent]]-Table2[[#This Row],[Due_Amount]]</f>
        <v>2362.1866666666665</v>
      </c>
      <c r="L239" s="6">
        <f>IF(Table2[[#This Row],[Current Rent Gap]]&gt;0,Table2[[#This Row],[Current Rent Gap]]/Table2[[#This Row],[Estimated_Market_Rent]],0)</f>
        <v>0.5096206121867799</v>
      </c>
      <c r="M239" s="3" t="str">
        <f>IF(Table2[[#This Row],[Under_Market %]]&gt;0.1,"Underpriced","OK")</f>
        <v>Underpriced</v>
      </c>
      <c r="N239" s="5">
        <f>SUMIFS(Table2[[#This Row],[Current Rent Gap]],Table2[[#This Row],[Current Rent Gap]],"&gt;0")</f>
        <v>2362.1866666666665</v>
      </c>
    </row>
    <row r="240" spans="1:14" x14ac:dyDescent="0.35">
      <c r="A240" t="s">
        <v>718</v>
      </c>
      <c r="B240" t="s">
        <v>744</v>
      </c>
      <c r="C240">
        <v>5896</v>
      </c>
      <c r="D240">
        <v>5896</v>
      </c>
      <c r="E240">
        <f>Table2[[#This Row],[Due_Amount]]-Table2[[#This Row],[Paid_Amount]]</f>
        <v>0</v>
      </c>
      <c r="F240" s="1">
        <v>45942</v>
      </c>
      <c r="G240">
        <v>4</v>
      </c>
      <c r="H240">
        <f>Table2[[#This Row],[Due_Amount]]*Table2[[#This Row],[Delay_Days]]</f>
        <v>23584</v>
      </c>
      <c r="I240" s="3" t="str">
        <f>IF(Table2[[#This Row],[Delay_Days]]=0,"On Time",IF(Table2[[#This Row],[Delay_Days]]&lt;=7,"Low Risk(1-7)",IF(Table2[[#This Row],[Delay_Days]]&lt;=15,"Medium Risk(8-15)",IF(Table2[[#This Row],[Delay_Days]]&lt;=30,"High Risk(16-30)","Severe Risk(30+)"))))</f>
        <v>Low Risk(1-7)</v>
      </c>
      <c r="J240" s="5">
        <f>AVERAGE(Table2[Due_Amount])</f>
        <v>4635.1866666666665</v>
      </c>
      <c r="K240" s="5">
        <f>Table2[[#This Row],[Estimated_Market_Rent]]-Table2[[#This Row],[Due_Amount]]</f>
        <v>-1260.8133333333335</v>
      </c>
      <c r="L240" s="6">
        <f>IF(Table2[[#This Row],[Current Rent Gap]]&gt;0,Table2[[#This Row],[Current Rent Gap]]/Table2[[#This Row],[Estimated_Market_Rent]],0)</f>
        <v>0</v>
      </c>
      <c r="M240" s="3" t="str">
        <f>IF(Table2[[#This Row],[Under_Market %]]&gt;0.1,"Underpriced","OK")</f>
        <v>OK</v>
      </c>
      <c r="N240" s="5">
        <f>SUMIFS(Table2[[#This Row],[Current Rent Gap]],Table2[[#This Row],[Current Rent Gap]],"&gt;0")</f>
        <v>0</v>
      </c>
    </row>
    <row r="241" spans="1:14" x14ac:dyDescent="0.35">
      <c r="A241" t="s">
        <v>485</v>
      </c>
      <c r="B241" t="s">
        <v>748</v>
      </c>
      <c r="C241">
        <v>5237</v>
      </c>
      <c r="D241">
        <v>5237</v>
      </c>
      <c r="E241">
        <f>Table2[[#This Row],[Due_Amount]]-Table2[[#This Row],[Paid_Amount]]</f>
        <v>0</v>
      </c>
      <c r="F241" s="1">
        <v>45890</v>
      </c>
      <c r="G241">
        <v>9</v>
      </c>
      <c r="H241">
        <f>Table2[[#This Row],[Due_Amount]]*Table2[[#This Row],[Delay_Days]]</f>
        <v>47133</v>
      </c>
      <c r="I241" s="3" t="str">
        <f>IF(Table2[[#This Row],[Delay_Days]]=0,"On Time",IF(Table2[[#This Row],[Delay_Days]]&lt;=7,"Low Risk(1-7)",IF(Table2[[#This Row],[Delay_Days]]&lt;=15,"Medium Risk(8-15)",IF(Table2[[#This Row],[Delay_Days]]&lt;=30,"High Risk(16-30)","Severe Risk(30+)"))))</f>
        <v>Medium Risk(8-15)</v>
      </c>
      <c r="J241" s="5">
        <f>AVERAGE(Table2[Due_Amount])</f>
        <v>4635.1866666666665</v>
      </c>
      <c r="K241" s="5">
        <f>Table2[[#This Row],[Estimated_Market_Rent]]-Table2[[#This Row],[Due_Amount]]</f>
        <v>-601.8133333333335</v>
      </c>
      <c r="L241" s="6">
        <f>IF(Table2[[#This Row],[Current Rent Gap]]&gt;0,Table2[[#This Row],[Current Rent Gap]]/Table2[[#This Row],[Estimated_Market_Rent]],0)</f>
        <v>0</v>
      </c>
      <c r="M241" s="3" t="str">
        <f>IF(Table2[[#This Row],[Under_Market %]]&gt;0.1,"Underpriced","OK")</f>
        <v>OK</v>
      </c>
      <c r="N241" s="5">
        <f>SUMIFS(Table2[[#This Row],[Current Rent Gap]],Table2[[#This Row],[Current Rent Gap]],"&gt;0")</f>
        <v>0</v>
      </c>
    </row>
    <row r="242" spans="1:14" x14ac:dyDescent="0.35">
      <c r="A242" t="s">
        <v>282</v>
      </c>
      <c r="B242" t="s">
        <v>744</v>
      </c>
      <c r="C242">
        <v>4940</v>
      </c>
      <c r="D242">
        <v>4940</v>
      </c>
      <c r="E242">
        <f>Table2[[#This Row],[Due_Amount]]-Table2[[#This Row],[Paid_Amount]]</f>
        <v>0</v>
      </c>
      <c r="F242" s="1">
        <v>45931</v>
      </c>
      <c r="G242">
        <v>6</v>
      </c>
      <c r="H242">
        <f>Table2[[#This Row],[Due_Amount]]*Table2[[#This Row],[Delay_Days]]</f>
        <v>29640</v>
      </c>
      <c r="I242" s="3" t="str">
        <f>IF(Table2[[#This Row],[Delay_Days]]=0,"On Time",IF(Table2[[#This Row],[Delay_Days]]&lt;=7,"Low Risk(1-7)",IF(Table2[[#This Row],[Delay_Days]]&lt;=15,"Medium Risk(8-15)",IF(Table2[[#This Row],[Delay_Days]]&lt;=30,"High Risk(16-30)","Severe Risk(30+)"))))</f>
        <v>Low Risk(1-7)</v>
      </c>
      <c r="J242" s="5">
        <f>AVERAGE(Table2[Due_Amount])</f>
        <v>4635.1866666666665</v>
      </c>
      <c r="K242" s="5">
        <f>Table2[[#This Row],[Estimated_Market_Rent]]-Table2[[#This Row],[Due_Amount]]</f>
        <v>-304.8133333333335</v>
      </c>
      <c r="L242" s="6">
        <f>IF(Table2[[#This Row],[Current Rent Gap]]&gt;0,Table2[[#This Row],[Current Rent Gap]]/Table2[[#This Row],[Estimated_Market_Rent]],0)</f>
        <v>0</v>
      </c>
      <c r="M242" s="3" t="str">
        <f>IF(Table2[[#This Row],[Under_Market %]]&gt;0.1,"Underpriced","OK")</f>
        <v>OK</v>
      </c>
      <c r="N242" s="5">
        <f>SUMIFS(Table2[[#This Row],[Current Rent Gap]],Table2[[#This Row],[Current Rent Gap]],"&gt;0")</f>
        <v>0</v>
      </c>
    </row>
    <row r="243" spans="1:14" x14ac:dyDescent="0.35">
      <c r="A243" t="s">
        <v>29</v>
      </c>
      <c r="B243" t="s">
        <v>749</v>
      </c>
      <c r="C243">
        <v>3328</v>
      </c>
      <c r="D243">
        <v>2612</v>
      </c>
      <c r="E243">
        <f>Table2[[#This Row],[Due_Amount]]-Table2[[#This Row],[Paid_Amount]]</f>
        <v>716</v>
      </c>
      <c r="F243" s="1">
        <v>45924</v>
      </c>
      <c r="G243">
        <v>11</v>
      </c>
      <c r="H243">
        <f>Table2[[#This Row],[Due_Amount]]*Table2[[#This Row],[Delay_Days]]</f>
        <v>36608</v>
      </c>
      <c r="I243" s="3" t="str">
        <f>IF(Table2[[#This Row],[Delay_Days]]=0,"On Time",IF(Table2[[#This Row],[Delay_Days]]&lt;=7,"Low Risk(1-7)",IF(Table2[[#This Row],[Delay_Days]]&lt;=15,"Medium Risk(8-15)",IF(Table2[[#This Row],[Delay_Days]]&lt;=30,"High Risk(16-30)","Severe Risk(30+)"))))</f>
        <v>Medium Risk(8-15)</v>
      </c>
      <c r="J243" s="5">
        <f>AVERAGE(Table2[Due_Amount])</f>
        <v>4635.1866666666665</v>
      </c>
      <c r="K243" s="5">
        <f>Table2[[#This Row],[Estimated_Market_Rent]]-Table2[[#This Row],[Due_Amount]]</f>
        <v>1307.1866666666665</v>
      </c>
      <c r="L243" s="6">
        <f>IF(Table2[[#This Row],[Current Rent Gap]]&gt;0,Table2[[#This Row],[Current Rent Gap]]/Table2[[#This Row],[Estimated_Market_Rent]],0)</f>
        <v>0.28201381317976404</v>
      </c>
      <c r="M243" s="3" t="str">
        <f>IF(Table2[[#This Row],[Under_Market %]]&gt;0.1,"Underpriced","OK")</f>
        <v>Underpriced</v>
      </c>
      <c r="N243" s="5">
        <f>SUMIFS(Table2[[#This Row],[Current Rent Gap]],Table2[[#This Row],[Current Rent Gap]],"&gt;0")</f>
        <v>1307.1866666666665</v>
      </c>
    </row>
    <row r="244" spans="1:14" x14ac:dyDescent="0.35">
      <c r="A244" t="s">
        <v>103</v>
      </c>
      <c r="B244" t="s">
        <v>754</v>
      </c>
      <c r="C244">
        <v>6799</v>
      </c>
      <c r="D244">
        <v>6799</v>
      </c>
      <c r="E244">
        <f>Table2[[#This Row],[Due_Amount]]-Table2[[#This Row],[Paid_Amount]]</f>
        <v>0</v>
      </c>
      <c r="F244" s="1">
        <v>45910</v>
      </c>
      <c r="G244">
        <v>6</v>
      </c>
      <c r="H244">
        <f>Table2[[#This Row],[Due_Amount]]*Table2[[#This Row],[Delay_Days]]</f>
        <v>40794</v>
      </c>
      <c r="I244" s="3" t="str">
        <f>IF(Table2[[#This Row],[Delay_Days]]=0,"On Time",IF(Table2[[#This Row],[Delay_Days]]&lt;=7,"Low Risk(1-7)",IF(Table2[[#This Row],[Delay_Days]]&lt;=15,"Medium Risk(8-15)",IF(Table2[[#This Row],[Delay_Days]]&lt;=30,"High Risk(16-30)","Severe Risk(30+)"))))</f>
        <v>Low Risk(1-7)</v>
      </c>
      <c r="J244" s="5">
        <f>AVERAGE(Table2[Due_Amount])</f>
        <v>4635.1866666666665</v>
      </c>
      <c r="K244" s="5">
        <f>Table2[[#This Row],[Estimated_Market_Rent]]-Table2[[#This Row],[Due_Amount]]</f>
        <v>-2163.8133333333335</v>
      </c>
      <c r="L244" s="6">
        <f>IF(Table2[[#This Row],[Current Rent Gap]]&gt;0,Table2[[#This Row],[Current Rent Gap]]/Table2[[#This Row],[Estimated_Market_Rent]],0)</f>
        <v>0</v>
      </c>
      <c r="M244" s="3" t="str">
        <f>IF(Table2[[#This Row],[Under_Market %]]&gt;0.1,"Underpriced","OK")</f>
        <v>OK</v>
      </c>
      <c r="N244" s="5">
        <f>SUMIFS(Table2[[#This Row],[Current Rent Gap]],Table2[[#This Row],[Current Rent Gap]],"&gt;0")</f>
        <v>0</v>
      </c>
    </row>
    <row r="245" spans="1:14" x14ac:dyDescent="0.35">
      <c r="A245" t="s">
        <v>29</v>
      </c>
      <c r="B245" t="s">
        <v>747</v>
      </c>
      <c r="C245">
        <v>3949</v>
      </c>
      <c r="D245">
        <v>3818</v>
      </c>
      <c r="E245">
        <f>Table2[[#This Row],[Due_Amount]]-Table2[[#This Row],[Paid_Amount]]</f>
        <v>131</v>
      </c>
      <c r="F245" s="1">
        <v>45946</v>
      </c>
      <c r="G245">
        <v>12</v>
      </c>
      <c r="H245">
        <f>Table2[[#This Row],[Due_Amount]]*Table2[[#This Row],[Delay_Days]]</f>
        <v>47388</v>
      </c>
      <c r="I245" s="3" t="str">
        <f>IF(Table2[[#This Row],[Delay_Days]]=0,"On Time",IF(Table2[[#This Row],[Delay_Days]]&lt;=7,"Low Risk(1-7)",IF(Table2[[#This Row],[Delay_Days]]&lt;=15,"Medium Risk(8-15)",IF(Table2[[#This Row],[Delay_Days]]&lt;=30,"High Risk(16-30)","Severe Risk(30+)"))))</f>
        <v>Medium Risk(8-15)</v>
      </c>
      <c r="J245" s="5">
        <f>AVERAGE(Table2[Due_Amount])</f>
        <v>4635.1866666666665</v>
      </c>
      <c r="K245" s="5">
        <f>Table2[[#This Row],[Estimated_Market_Rent]]-Table2[[#This Row],[Due_Amount]]</f>
        <v>686.1866666666665</v>
      </c>
      <c r="L245" s="6">
        <f>IF(Table2[[#This Row],[Current Rent Gap]]&gt;0,Table2[[#This Row],[Current Rent Gap]]/Table2[[#This Row],[Estimated_Market_Rent]],0)</f>
        <v>0.14803862627610823</v>
      </c>
      <c r="M245" s="3" t="str">
        <f>IF(Table2[[#This Row],[Under_Market %]]&gt;0.1,"Underpriced","OK")</f>
        <v>Underpriced</v>
      </c>
      <c r="N245" s="5">
        <f>SUMIFS(Table2[[#This Row],[Current Rent Gap]],Table2[[#This Row],[Current Rent Gap]],"&gt;0")</f>
        <v>686.1866666666665</v>
      </c>
    </row>
    <row r="246" spans="1:14" x14ac:dyDescent="0.35">
      <c r="A246" t="s">
        <v>396</v>
      </c>
      <c r="B246" t="s">
        <v>751</v>
      </c>
      <c r="C246">
        <v>4993</v>
      </c>
      <c r="D246">
        <v>4993</v>
      </c>
      <c r="E246">
        <f>Table2[[#This Row],[Due_Amount]]-Table2[[#This Row],[Paid_Amount]]</f>
        <v>0</v>
      </c>
      <c r="F246" s="1">
        <v>45769</v>
      </c>
      <c r="G246">
        <v>3</v>
      </c>
      <c r="H246">
        <f>Table2[[#This Row],[Due_Amount]]*Table2[[#This Row],[Delay_Days]]</f>
        <v>14979</v>
      </c>
      <c r="I246" s="3" t="str">
        <f>IF(Table2[[#This Row],[Delay_Days]]=0,"On Time",IF(Table2[[#This Row],[Delay_Days]]&lt;=7,"Low Risk(1-7)",IF(Table2[[#This Row],[Delay_Days]]&lt;=15,"Medium Risk(8-15)",IF(Table2[[#This Row],[Delay_Days]]&lt;=30,"High Risk(16-30)","Severe Risk(30+)"))))</f>
        <v>Low Risk(1-7)</v>
      </c>
      <c r="J246" s="5">
        <f>AVERAGE(Table2[Due_Amount])</f>
        <v>4635.1866666666665</v>
      </c>
      <c r="K246" s="5">
        <f>Table2[[#This Row],[Estimated_Market_Rent]]-Table2[[#This Row],[Due_Amount]]</f>
        <v>-357.8133333333335</v>
      </c>
      <c r="L246" s="6">
        <f>IF(Table2[[#This Row],[Current Rent Gap]]&gt;0,Table2[[#This Row],[Current Rent Gap]]/Table2[[#This Row],[Estimated_Market_Rent]],0)</f>
        <v>0</v>
      </c>
      <c r="M246" s="3" t="str">
        <f>IF(Table2[[#This Row],[Under_Market %]]&gt;0.1,"Underpriced","OK")</f>
        <v>OK</v>
      </c>
      <c r="N246" s="5">
        <f>SUMIFS(Table2[[#This Row],[Current Rent Gap]],Table2[[#This Row],[Current Rent Gap]],"&gt;0")</f>
        <v>0</v>
      </c>
    </row>
    <row r="247" spans="1:14" x14ac:dyDescent="0.35">
      <c r="A247" t="s">
        <v>398</v>
      </c>
      <c r="B247" t="s">
        <v>747</v>
      </c>
      <c r="C247">
        <v>4654</v>
      </c>
      <c r="D247">
        <v>4113</v>
      </c>
      <c r="E247">
        <f>Table2[[#This Row],[Due_Amount]]-Table2[[#This Row],[Paid_Amount]]</f>
        <v>541</v>
      </c>
      <c r="F247" s="1">
        <v>45975</v>
      </c>
      <c r="G247">
        <v>22</v>
      </c>
      <c r="H247">
        <f>Table2[[#This Row],[Due_Amount]]*Table2[[#This Row],[Delay_Days]]</f>
        <v>102388</v>
      </c>
      <c r="I247" s="3" t="str">
        <f>IF(Table2[[#This Row],[Delay_Days]]=0,"On Time",IF(Table2[[#This Row],[Delay_Days]]&lt;=7,"Low Risk(1-7)",IF(Table2[[#This Row],[Delay_Days]]&lt;=15,"Medium Risk(8-15)",IF(Table2[[#This Row],[Delay_Days]]&lt;=30,"High Risk(16-30)","Severe Risk(30+)"))))</f>
        <v>High Risk(16-30)</v>
      </c>
      <c r="J247" s="5">
        <f>AVERAGE(Table2[Due_Amount])</f>
        <v>4635.1866666666665</v>
      </c>
      <c r="K247" s="5">
        <f>Table2[[#This Row],[Estimated_Market_Rent]]-Table2[[#This Row],[Due_Amount]]</f>
        <v>-18.813333333333503</v>
      </c>
      <c r="L247" s="6">
        <f>IF(Table2[[#This Row],[Current Rent Gap]]&gt;0,Table2[[#This Row],[Current Rent Gap]]/Table2[[#This Row],[Estimated_Market_Rent]],0)</f>
        <v>0</v>
      </c>
      <c r="M247" s="3" t="str">
        <f>IF(Table2[[#This Row],[Under_Market %]]&gt;0.1,"Underpriced","OK")</f>
        <v>OK</v>
      </c>
      <c r="N247" s="5">
        <f>SUMIFS(Table2[[#This Row],[Current Rent Gap]],Table2[[#This Row],[Current Rent Gap]],"&gt;0")</f>
        <v>0</v>
      </c>
    </row>
    <row r="248" spans="1:14" x14ac:dyDescent="0.35">
      <c r="A248" t="s">
        <v>298</v>
      </c>
      <c r="B248" t="s">
        <v>754</v>
      </c>
      <c r="C248">
        <v>4300</v>
      </c>
      <c r="D248">
        <v>4294</v>
      </c>
      <c r="E248">
        <f>Table2[[#This Row],[Due_Amount]]-Table2[[#This Row],[Paid_Amount]]</f>
        <v>6</v>
      </c>
      <c r="F248" s="1">
        <v>45908</v>
      </c>
      <c r="G248">
        <v>17</v>
      </c>
      <c r="H248">
        <f>Table2[[#This Row],[Due_Amount]]*Table2[[#This Row],[Delay_Days]]</f>
        <v>73100</v>
      </c>
      <c r="I248" s="3" t="str">
        <f>IF(Table2[[#This Row],[Delay_Days]]=0,"On Time",IF(Table2[[#This Row],[Delay_Days]]&lt;=7,"Low Risk(1-7)",IF(Table2[[#This Row],[Delay_Days]]&lt;=15,"Medium Risk(8-15)",IF(Table2[[#This Row],[Delay_Days]]&lt;=30,"High Risk(16-30)","Severe Risk(30+)"))))</f>
        <v>High Risk(16-30)</v>
      </c>
      <c r="J248" s="5">
        <f>AVERAGE(Table2[Due_Amount])</f>
        <v>4635.1866666666665</v>
      </c>
      <c r="K248" s="5">
        <f>Table2[[#This Row],[Estimated_Market_Rent]]-Table2[[#This Row],[Due_Amount]]</f>
        <v>335.1866666666665</v>
      </c>
      <c r="L248" s="6">
        <f>IF(Table2[[#This Row],[Current Rent Gap]]&gt;0,Table2[[#This Row],[Current Rent Gap]]/Table2[[#This Row],[Estimated_Market_Rent]],0)</f>
        <v>7.2313520634911463E-2</v>
      </c>
      <c r="M248" s="3" t="str">
        <f>IF(Table2[[#This Row],[Under_Market %]]&gt;0.1,"Underpriced","OK")</f>
        <v>OK</v>
      </c>
      <c r="N248" s="5">
        <f>SUMIFS(Table2[[#This Row],[Current Rent Gap]],Table2[[#This Row],[Current Rent Gap]],"&gt;0")</f>
        <v>335.1866666666665</v>
      </c>
    </row>
    <row r="249" spans="1:14" x14ac:dyDescent="0.35">
      <c r="A249" t="s">
        <v>573</v>
      </c>
      <c r="B249" t="s">
        <v>752</v>
      </c>
      <c r="C249">
        <v>6367</v>
      </c>
      <c r="D249">
        <v>5588</v>
      </c>
      <c r="E249">
        <f>Table2[[#This Row],[Due_Amount]]-Table2[[#This Row],[Paid_Amount]]</f>
        <v>779</v>
      </c>
      <c r="F249" s="1">
        <v>45744</v>
      </c>
      <c r="G249">
        <v>16</v>
      </c>
      <c r="H249">
        <f>Table2[[#This Row],[Due_Amount]]*Table2[[#This Row],[Delay_Days]]</f>
        <v>101872</v>
      </c>
      <c r="I249" s="3" t="str">
        <f>IF(Table2[[#This Row],[Delay_Days]]=0,"On Time",IF(Table2[[#This Row],[Delay_Days]]&lt;=7,"Low Risk(1-7)",IF(Table2[[#This Row],[Delay_Days]]&lt;=15,"Medium Risk(8-15)",IF(Table2[[#This Row],[Delay_Days]]&lt;=30,"High Risk(16-30)","Severe Risk(30+)"))))</f>
        <v>High Risk(16-30)</v>
      </c>
      <c r="J249" s="5">
        <f>AVERAGE(Table2[Due_Amount])</f>
        <v>4635.1866666666665</v>
      </c>
      <c r="K249" s="5">
        <f>Table2[[#This Row],[Estimated_Market_Rent]]-Table2[[#This Row],[Due_Amount]]</f>
        <v>-1731.8133333333335</v>
      </c>
      <c r="L249" s="6">
        <f>IF(Table2[[#This Row],[Current Rent Gap]]&gt;0,Table2[[#This Row],[Current Rent Gap]]/Table2[[#This Row],[Estimated_Market_Rent]],0)</f>
        <v>0</v>
      </c>
      <c r="M249" s="3" t="str">
        <f>IF(Table2[[#This Row],[Under_Market %]]&gt;0.1,"Underpriced","OK")</f>
        <v>OK</v>
      </c>
      <c r="N249" s="5">
        <f>SUMIFS(Table2[[#This Row],[Current Rent Gap]],Table2[[#This Row],[Current Rent Gap]],"&gt;0")</f>
        <v>0</v>
      </c>
    </row>
    <row r="250" spans="1:14" x14ac:dyDescent="0.35">
      <c r="A250" t="s">
        <v>537</v>
      </c>
      <c r="B250" t="s">
        <v>750</v>
      </c>
      <c r="C250">
        <v>3108</v>
      </c>
      <c r="D250">
        <v>2110</v>
      </c>
      <c r="E250">
        <f>Table2[[#This Row],[Due_Amount]]-Table2[[#This Row],[Paid_Amount]]</f>
        <v>998</v>
      </c>
      <c r="F250" s="1">
        <v>45822</v>
      </c>
      <c r="G250">
        <v>22</v>
      </c>
      <c r="H250">
        <f>Table2[[#This Row],[Due_Amount]]*Table2[[#This Row],[Delay_Days]]</f>
        <v>68376</v>
      </c>
      <c r="I250" s="3" t="str">
        <f>IF(Table2[[#This Row],[Delay_Days]]=0,"On Time",IF(Table2[[#This Row],[Delay_Days]]&lt;=7,"Low Risk(1-7)",IF(Table2[[#This Row],[Delay_Days]]&lt;=15,"Medium Risk(8-15)",IF(Table2[[#This Row],[Delay_Days]]&lt;=30,"High Risk(16-30)","Severe Risk(30+)"))))</f>
        <v>High Risk(16-30)</v>
      </c>
      <c r="J250" s="5">
        <f>AVERAGE(Table2[Due_Amount])</f>
        <v>4635.1866666666665</v>
      </c>
      <c r="K250" s="5">
        <f>Table2[[#This Row],[Estimated_Market_Rent]]-Table2[[#This Row],[Due_Amount]]</f>
        <v>1527.1866666666665</v>
      </c>
      <c r="L250" s="6">
        <f>IF(Table2[[#This Row],[Current Rent Gap]]&gt;0,Table2[[#This Row],[Current Rent Gap]]/Table2[[#This Row],[Estimated_Market_Rent]],0)</f>
        <v>0.32947684235658253</v>
      </c>
      <c r="M250" s="3" t="str">
        <f>IF(Table2[[#This Row],[Under_Market %]]&gt;0.1,"Underpriced","OK")</f>
        <v>Underpriced</v>
      </c>
      <c r="N250" s="5">
        <f>SUMIFS(Table2[[#This Row],[Current Rent Gap]],Table2[[#This Row],[Current Rent Gap]],"&gt;0")</f>
        <v>1527.1866666666665</v>
      </c>
    </row>
    <row r="251" spans="1:14" x14ac:dyDescent="0.35">
      <c r="A251" t="s">
        <v>11</v>
      </c>
      <c r="B251" t="s">
        <v>750</v>
      </c>
      <c r="C251">
        <v>3712</v>
      </c>
      <c r="D251">
        <v>3712</v>
      </c>
      <c r="E251">
        <f>Table2[[#This Row],[Due_Amount]]-Table2[[#This Row],[Paid_Amount]]</f>
        <v>0</v>
      </c>
      <c r="F251" s="1">
        <v>45902</v>
      </c>
      <c r="G251">
        <v>3</v>
      </c>
      <c r="H251">
        <f>Table2[[#This Row],[Due_Amount]]*Table2[[#This Row],[Delay_Days]]</f>
        <v>11136</v>
      </c>
      <c r="I251" s="3" t="str">
        <f>IF(Table2[[#This Row],[Delay_Days]]=0,"On Time",IF(Table2[[#This Row],[Delay_Days]]&lt;=7,"Low Risk(1-7)",IF(Table2[[#This Row],[Delay_Days]]&lt;=15,"Medium Risk(8-15)",IF(Table2[[#This Row],[Delay_Days]]&lt;=30,"High Risk(16-30)","Severe Risk(30+)"))))</f>
        <v>Low Risk(1-7)</v>
      </c>
      <c r="J251" s="5">
        <f>AVERAGE(Table2[Due_Amount])</f>
        <v>4635.1866666666665</v>
      </c>
      <c r="K251" s="5">
        <f>Table2[[#This Row],[Estimated_Market_Rent]]-Table2[[#This Row],[Due_Amount]]</f>
        <v>923.1866666666665</v>
      </c>
      <c r="L251" s="6">
        <f>IF(Table2[[#This Row],[Current Rent Gap]]&gt;0,Table2[[#This Row],[Current Rent Gap]]/Table2[[#This Row],[Estimated_Market_Rent]],0)</f>
        <v>0.19916925316204451</v>
      </c>
      <c r="M251" s="3" t="str">
        <f>IF(Table2[[#This Row],[Under_Market %]]&gt;0.1,"Underpriced","OK")</f>
        <v>Underpriced</v>
      </c>
      <c r="N251" s="5">
        <f>SUMIFS(Table2[[#This Row],[Current Rent Gap]],Table2[[#This Row],[Current Rent Gap]],"&gt;0")</f>
        <v>923.1866666666665</v>
      </c>
    </row>
    <row r="252" spans="1:14" x14ac:dyDescent="0.35">
      <c r="A252" t="s">
        <v>221</v>
      </c>
      <c r="B252" t="s">
        <v>754</v>
      </c>
      <c r="C252">
        <v>5754</v>
      </c>
      <c r="D252">
        <v>5312</v>
      </c>
      <c r="E252">
        <f>Table2[[#This Row],[Due_Amount]]-Table2[[#This Row],[Paid_Amount]]</f>
        <v>442</v>
      </c>
      <c r="F252" s="1">
        <v>45927</v>
      </c>
      <c r="G252">
        <v>22</v>
      </c>
      <c r="H252">
        <f>Table2[[#This Row],[Due_Amount]]*Table2[[#This Row],[Delay_Days]]</f>
        <v>126588</v>
      </c>
      <c r="I252" s="3" t="str">
        <f>IF(Table2[[#This Row],[Delay_Days]]=0,"On Time",IF(Table2[[#This Row],[Delay_Days]]&lt;=7,"Low Risk(1-7)",IF(Table2[[#This Row],[Delay_Days]]&lt;=15,"Medium Risk(8-15)",IF(Table2[[#This Row],[Delay_Days]]&lt;=30,"High Risk(16-30)","Severe Risk(30+)"))))</f>
        <v>High Risk(16-30)</v>
      </c>
      <c r="J252" s="5">
        <f>AVERAGE(Table2[Due_Amount])</f>
        <v>4635.1866666666665</v>
      </c>
      <c r="K252" s="5">
        <f>Table2[[#This Row],[Estimated_Market_Rent]]-Table2[[#This Row],[Due_Amount]]</f>
        <v>-1118.8133333333335</v>
      </c>
      <c r="L252" s="6">
        <f>IF(Table2[[#This Row],[Current Rent Gap]]&gt;0,Table2[[#This Row],[Current Rent Gap]]/Table2[[#This Row],[Estimated_Market_Rent]],0)</f>
        <v>0</v>
      </c>
      <c r="M252" s="3" t="str">
        <f>IF(Table2[[#This Row],[Under_Market %]]&gt;0.1,"Underpriced","OK")</f>
        <v>OK</v>
      </c>
      <c r="N252" s="5">
        <f>SUMIFS(Table2[[#This Row],[Current Rent Gap]],Table2[[#This Row],[Current Rent Gap]],"&gt;0")</f>
        <v>0</v>
      </c>
    </row>
    <row r="253" spans="1:14" x14ac:dyDescent="0.35">
      <c r="A253" t="s">
        <v>188</v>
      </c>
      <c r="B253" t="s">
        <v>750</v>
      </c>
      <c r="C253">
        <v>2310</v>
      </c>
      <c r="D253">
        <v>2306</v>
      </c>
      <c r="E253">
        <f>Table2[[#This Row],[Due_Amount]]-Table2[[#This Row],[Paid_Amount]]</f>
        <v>4</v>
      </c>
      <c r="F253" s="1">
        <v>45945</v>
      </c>
      <c r="G253">
        <v>20</v>
      </c>
      <c r="H253">
        <f>Table2[[#This Row],[Due_Amount]]*Table2[[#This Row],[Delay_Days]]</f>
        <v>46200</v>
      </c>
      <c r="I253" s="3" t="str">
        <f>IF(Table2[[#This Row],[Delay_Days]]=0,"On Time",IF(Table2[[#This Row],[Delay_Days]]&lt;=7,"Low Risk(1-7)",IF(Table2[[#This Row],[Delay_Days]]&lt;=15,"Medium Risk(8-15)",IF(Table2[[#This Row],[Delay_Days]]&lt;=30,"High Risk(16-30)","Severe Risk(30+)"))))</f>
        <v>High Risk(16-30)</v>
      </c>
      <c r="J253" s="5">
        <f>AVERAGE(Table2[Due_Amount])</f>
        <v>4635.1866666666665</v>
      </c>
      <c r="K253" s="5">
        <f>Table2[[#This Row],[Estimated_Market_Rent]]-Table2[[#This Row],[Due_Amount]]</f>
        <v>2325.1866666666665</v>
      </c>
      <c r="L253" s="6">
        <f>IF(Table2[[#This Row],[Current Rent Gap]]&gt;0,Table2[[#This Row],[Current Rent Gap]]/Table2[[#This Row],[Estimated_Market_Rent]],0)</f>
        <v>0.50163819364340589</v>
      </c>
      <c r="M253" s="3" t="str">
        <f>IF(Table2[[#This Row],[Under_Market %]]&gt;0.1,"Underpriced","OK")</f>
        <v>Underpriced</v>
      </c>
      <c r="N253" s="5">
        <f>SUMIFS(Table2[[#This Row],[Current Rent Gap]],Table2[[#This Row],[Current Rent Gap]],"&gt;0")</f>
        <v>2325.1866666666665</v>
      </c>
    </row>
    <row r="254" spans="1:14" x14ac:dyDescent="0.35">
      <c r="A254" t="s">
        <v>82</v>
      </c>
      <c r="B254" t="s">
        <v>748</v>
      </c>
      <c r="C254">
        <v>2043</v>
      </c>
      <c r="D254">
        <v>1452</v>
      </c>
      <c r="E254">
        <f>Table2[[#This Row],[Due_Amount]]-Table2[[#This Row],[Paid_Amount]]</f>
        <v>591</v>
      </c>
      <c r="F254" s="1">
        <v>45953</v>
      </c>
      <c r="G254">
        <v>19</v>
      </c>
      <c r="H254">
        <f>Table2[[#This Row],[Due_Amount]]*Table2[[#This Row],[Delay_Days]]</f>
        <v>38817</v>
      </c>
      <c r="I254" s="3" t="str">
        <f>IF(Table2[[#This Row],[Delay_Days]]=0,"On Time",IF(Table2[[#This Row],[Delay_Days]]&lt;=7,"Low Risk(1-7)",IF(Table2[[#This Row],[Delay_Days]]&lt;=15,"Medium Risk(8-15)",IF(Table2[[#This Row],[Delay_Days]]&lt;=30,"High Risk(16-30)","Severe Risk(30+)"))))</f>
        <v>High Risk(16-30)</v>
      </c>
      <c r="J254" s="5">
        <f>AVERAGE(Table2[Due_Amount])</f>
        <v>4635.1866666666665</v>
      </c>
      <c r="K254" s="5">
        <f>Table2[[#This Row],[Estimated_Market_Rent]]-Table2[[#This Row],[Due_Amount]]</f>
        <v>2592.1866666666665</v>
      </c>
      <c r="L254" s="6">
        <f>IF(Table2[[#This Row],[Current Rent Gap]]&gt;0,Table2[[#This Row],[Current Rent Gap]]/Table2[[#This Row],[Estimated_Market_Rent]],0)</f>
        <v>0.55924105178072658</v>
      </c>
      <c r="M254" s="3" t="str">
        <f>IF(Table2[[#This Row],[Under_Market %]]&gt;0.1,"Underpriced","OK")</f>
        <v>Underpriced</v>
      </c>
      <c r="N254" s="5">
        <f>SUMIFS(Table2[[#This Row],[Current Rent Gap]],Table2[[#This Row],[Current Rent Gap]],"&gt;0")</f>
        <v>2592.1866666666665</v>
      </c>
    </row>
    <row r="255" spans="1:14" x14ac:dyDescent="0.35">
      <c r="A255" t="s">
        <v>41</v>
      </c>
      <c r="B255" t="s">
        <v>745</v>
      </c>
      <c r="C255">
        <v>2633</v>
      </c>
      <c r="D255">
        <v>1813</v>
      </c>
      <c r="E255">
        <f>Table2[[#This Row],[Due_Amount]]-Table2[[#This Row],[Paid_Amount]]</f>
        <v>820</v>
      </c>
      <c r="F255" s="1">
        <v>45734</v>
      </c>
      <c r="G255">
        <v>20</v>
      </c>
      <c r="H255">
        <f>Table2[[#This Row],[Due_Amount]]*Table2[[#This Row],[Delay_Days]]</f>
        <v>52660</v>
      </c>
      <c r="I255" s="3" t="str">
        <f>IF(Table2[[#This Row],[Delay_Days]]=0,"On Time",IF(Table2[[#This Row],[Delay_Days]]&lt;=7,"Low Risk(1-7)",IF(Table2[[#This Row],[Delay_Days]]&lt;=15,"Medium Risk(8-15)",IF(Table2[[#This Row],[Delay_Days]]&lt;=30,"High Risk(16-30)","Severe Risk(30+)"))))</f>
        <v>High Risk(16-30)</v>
      </c>
      <c r="J255" s="5">
        <f>AVERAGE(Table2[Due_Amount])</f>
        <v>4635.1866666666665</v>
      </c>
      <c r="K255" s="5">
        <f>Table2[[#This Row],[Estimated_Market_Rent]]-Table2[[#This Row],[Due_Amount]]</f>
        <v>2002.1866666666665</v>
      </c>
      <c r="L255" s="6">
        <f>IF(Table2[[#This Row],[Current Rent Gap]]&gt;0,Table2[[#This Row],[Current Rent Gap]]/Table2[[#This Row],[Estimated_Market_Rent]],0)</f>
        <v>0.43195383717016789</v>
      </c>
      <c r="M255" s="3" t="str">
        <f>IF(Table2[[#This Row],[Under_Market %]]&gt;0.1,"Underpriced","OK")</f>
        <v>Underpriced</v>
      </c>
      <c r="N255" s="5">
        <f>SUMIFS(Table2[[#This Row],[Current Rent Gap]],Table2[[#This Row],[Current Rent Gap]],"&gt;0")</f>
        <v>2002.1866666666665</v>
      </c>
    </row>
    <row r="256" spans="1:14" x14ac:dyDescent="0.35">
      <c r="A256" t="s">
        <v>737</v>
      </c>
      <c r="B256" t="s">
        <v>750</v>
      </c>
      <c r="C256">
        <v>2685</v>
      </c>
      <c r="D256">
        <v>2685</v>
      </c>
      <c r="E256">
        <f>Table2[[#This Row],[Due_Amount]]-Table2[[#This Row],[Paid_Amount]]</f>
        <v>0</v>
      </c>
      <c r="F256" s="1">
        <v>45945</v>
      </c>
      <c r="G256">
        <v>2</v>
      </c>
      <c r="H256">
        <f>Table2[[#This Row],[Due_Amount]]*Table2[[#This Row],[Delay_Days]]</f>
        <v>5370</v>
      </c>
      <c r="I256" s="3" t="str">
        <f>IF(Table2[[#This Row],[Delay_Days]]=0,"On Time",IF(Table2[[#This Row],[Delay_Days]]&lt;=7,"Low Risk(1-7)",IF(Table2[[#This Row],[Delay_Days]]&lt;=15,"Medium Risk(8-15)",IF(Table2[[#This Row],[Delay_Days]]&lt;=30,"High Risk(16-30)","Severe Risk(30+)"))))</f>
        <v>Low Risk(1-7)</v>
      </c>
      <c r="J256" s="5">
        <f>AVERAGE(Table2[Due_Amount])</f>
        <v>4635.1866666666665</v>
      </c>
      <c r="K256" s="5">
        <f>Table2[[#This Row],[Estimated_Market_Rent]]-Table2[[#This Row],[Due_Amount]]</f>
        <v>1950.1866666666665</v>
      </c>
      <c r="L256" s="6">
        <f>IF(Table2[[#This Row],[Current Rent Gap]]&gt;0,Table2[[#This Row],[Current Rent Gap]]/Table2[[#This Row],[Estimated_Market_Rent]],0)</f>
        <v>0.42073530300110168</v>
      </c>
      <c r="M256" s="3" t="str">
        <f>IF(Table2[[#This Row],[Under_Market %]]&gt;0.1,"Underpriced","OK")</f>
        <v>Underpriced</v>
      </c>
      <c r="N256" s="5">
        <f>SUMIFS(Table2[[#This Row],[Current Rent Gap]],Table2[[#This Row],[Current Rent Gap]],"&gt;0")</f>
        <v>1950.1866666666665</v>
      </c>
    </row>
    <row r="257" spans="1:14" x14ac:dyDescent="0.35">
      <c r="A257" t="s">
        <v>665</v>
      </c>
      <c r="B257" t="s">
        <v>743</v>
      </c>
      <c r="C257">
        <v>2560</v>
      </c>
      <c r="D257">
        <v>2560</v>
      </c>
      <c r="E257">
        <f>Table2[[#This Row],[Due_Amount]]-Table2[[#This Row],[Paid_Amount]]</f>
        <v>0</v>
      </c>
      <c r="F257" s="1">
        <v>45755</v>
      </c>
      <c r="G257">
        <v>1</v>
      </c>
      <c r="H257">
        <f>Table2[[#This Row],[Due_Amount]]*Table2[[#This Row],[Delay_Days]]</f>
        <v>2560</v>
      </c>
      <c r="I257" s="3" t="str">
        <f>IF(Table2[[#This Row],[Delay_Days]]=0,"On Time",IF(Table2[[#This Row],[Delay_Days]]&lt;=7,"Low Risk(1-7)",IF(Table2[[#This Row],[Delay_Days]]&lt;=15,"Medium Risk(8-15)",IF(Table2[[#This Row],[Delay_Days]]&lt;=30,"High Risk(16-30)","Severe Risk(30+)"))))</f>
        <v>Low Risk(1-7)</v>
      </c>
      <c r="J257" s="5">
        <f>AVERAGE(Table2[Due_Amount])</f>
        <v>4635.1866666666665</v>
      </c>
      <c r="K257" s="5">
        <f>Table2[[#This Row],[Estimated_Market_Rent]]-Table2[[#This Row],[Due_Amount]]</f>
        <v>2075.1866666666665</v>
      </c>
      <c r="L257" s="6">
        <f>IF(Table2[[#This Row],[Current Rent Gap]]&gt;0,Table2[[#This Row],[Current Rent Gap]]/Table2[[#This Row],[Estimated_Market_Rent]],0)</f>
        <v>0.4477029332152031</v>
      </c>
      <c r="M257" s="3" t="str">
        <f>IF(Table2[[#This Row],[Under_Market %]]&gt;0.1,"Underpriced","OK")</f>
        <v>Underpriced</v>
      </c>
      <c r="N257" s="5">
        <f>SUMIFS(Table2[[#This Row],[Current Rent Gap]],Table2[[#This Row],[Current Rent Gap]],"&gt;0")</f>
        <v>2075.1866666666665</v>
      </c>
    </row>
    <row r="258" spans="1:14" x14ac:dyDescent="0.35">
      <c r="A258" t="s">
        <v>646</v>
      </c>
      <c r="B258" t="s">
        <v>752</v>
      </c>
      <c r="C258">
        <v>3497</v>
      </c>
      <c r="D258">
        <v>3151</v>
      </c>
      <c r="E258">
        <f>Table2[[#This Row],[Due_Amount]]-Table2[[#This Row],[Paid_Amount]]</f>
        <v>346</v>
      </c>
      <c r="F258" s="1">
        <v>45908</v>
      </c>
      <c r="G258">
        <v>17</v>
      </c>
      <c r="H258">
        <f>Table2[[#This Row],[Due_Amount]]*Table2[[#This Row],[Delay_Days]]</f>
        <v>59449</v>
      </c>
      <c r="I258" s="3" t="str">
        <f>IF(Table2[[#This Row],[Delay_Days]]=0,"On Time",IF(Table2[[#This Row],[Delay_Days]]&lt;=7,"Low Risk(1-7)",IF(Table2[[#This Row],[Delay_Days]]&lt;=15,"Medium Risk(8-15)",IF(Table2[[#This Row],[Delay_Days]]&lt;=30,"High Risk(16-30)","Severe Risk(30+)"))))</f>
        <v>High Risk(16-30)</v>
      </c>
      <c r="J258" s="5">
        <f>AVERAGE(Table2[Due_Amount])</f>
        <v>4635.1866666666665</v>
      </c>
      <c r="K258" s="5">
        <f>Table2[[#This Row],[Estimated_Market_Rent]]-Table2[[#This Row],[Due_Amount]]</f>
        <v>1138.1866666666665</v>
      </c>
      <c r="L258" s="6">
        <f>IF(Table2[[#This Row],[Current Rent Gap]]&gt;0,Table2[[#This Row],[Current Rent Gap]]/Table2[[#This Row],[Estimated_Market_Rent]],0)</f>
        <v>0.24555357713029893</v>
      </c>
      <c r="M258" s="3" t="str">
        <f>IF(Table2[[#This Row],[Under_Market %]]&gt;0.1,"Underpriced","OK")</f>
        <v>Underpriced</v>
      </c>
      <c r="N258" s="5">
        <f>SUMIFS(Table2[[#This Row],[Current Rent Gap]],Table2[[#This Row],[Current Rent Gap]],"&gt;0")</f>
        <v>1138.1866666666665</v>
      </c>
    </row>
    <row r="259" spans="1:14" x14ac:dyDescent="0.35">
      <c r="A259" t="s">
        <v>669</v>
      </c>
      <c r="B259" t="s">
        <v>748</v>
      </c>
      <c r="C259">
        <v>2217</v>
      </c>
      <c r="D259">
        <v>2217</v>
      </c>
      <c r="E259">
        <f>Table2[[#This Row],[Due_Amount]]-Table2[[#This Row],[Paid_Amount]]</f>
        <v>0</v>
      </c>
      <c r="F259" s="1">
        <v>45833</v>
      </c>
      <c r="G259">
        <v>7</v>
      </c>
      <c r="H259">
        <f>Table2[[#This Row],[Due_Amount]]*Table2[[#This Row],[Delay_Days]]</f>
        <v>15519</v>
      </c>
      <c r="I259" s="3" t="str">
        <f>IF(Table2[[#This Row],[Delay_Days]]=0,"On Time",IF(Table2[[#This Row],[Delay_Days]]&lt;=7,"Low Risk(1-7)",IF(Table2[[#This Row],[Delay_Days]]&lt;=15,"Medium Risk(8-15)",IF(Table2[[#This Row],[Delay_Days]]&lt;=30,"High Risk(16-30)","Severe Risk(30+)"))))</f>
        <v>Low Risk(1-7)</v>
      </c>
      <c r="J259" s="5">
        <f>AVERAGE(Table2[Due_Amount])</f>
        <v>4635.1866666666665</v>
      </c>
      <c r="K259" s="5">
        <f>Table2[[#This Row],[Estimated_Market_Rent]]-Table2[[#This Row],[Due_Amount]]</f>
        <v>2418.1866666666665</v>
      </c>
      <c r="L259" s="6">
        <f>IF(Table2[[#This Row],[Current Rent Gap]]&gt;0,Table2[[#This Row],[Current Rent Gap]]/Table2[[#This Row],[Estimated_Market_Rent]],0)</f>
        <v>0.52170211052269733</v>
      </c>
      <c r="M259" s="3" t="str">
        <f>IF(Table2[[#This Row],[Under_Market %]]&gt;0.1,"Underpriced","OK")</f>
        <v>Underpriced</v>
      </c>
      <c r="N259" s="5">
        <f>SUMIFS(Table2[[#This Row],[Current Rent Gap]],Table2[[#This Row],[Current Rent Gap]],"&gt;0")</f>
        <v>2418.1866666666665</v>
      </c>
    </row>
    <row r="260" spans="1:14" x14ac:dyDescent="0.35">
      <c r="A260" t="s">
        <v>433</v>
      </c>
      <c r="B260" t="s">
        <v>746</v>
      </c>
      <c r="C260">
        <v>5239</v>
      </c>
      <c r="D260">
        <v>5239</v>
      </c>
      <c r="E260">
        <f>Table2[[#This Row],[Due_Amount]]-Table2[[#This Row],[Paid_Amount]]</f>
        <v>0</v>
      </c>
      <c r="F260" s="1">
        <v>45690</v>
      </c>
      <c r="G260">
        <v>5</v>
      </c>
      <c r="H260">
        <f>Table2[[#This Row],[Due_Amount]]*Table2[[#This Row],[Delay_Days]]</f>
        <v>26195</v>
      </c>
      <c r="I260" s="3" t="str">
        <f>IF(Table2[[#This Row],[Delay_Days]]=0,"On Time",IF(Table2[[#This Row],[Delay_Days]]&lt;=7,"Low Risk(1-7)",IF(Table2[[#This Row],[Delay_Days]]&lt;=15,"Medium Risk(8-15)",IF(Table2[[#This Row],[Delay_Days]]&lt;=30,"High Risk(16-30)","Severe Risk(30+)"))))</f>
        <v>Low Risk(1-7)</v>
      </c>
      <c r="J260" s="5">
        <f>AVERAGE(Table2[Due_Amount])</f>
        <v>4635.1866666666665</v>
      </c>
      <c r="K260" s="5">
        <f>Table2[[#This Row],[Estimated_Market_Rent]]-Table2[[#This Row],[Due_Amount]]</f>
        <v>-603.8133333333335</v>
      </c>
      <c r="L260" s="6">
        <f>IF(Table2[[#This Row],[Current Rent Gap]]&gt;0,Table2[[#This Row],[Current Rent Gap]]/Table2[[#This Row],[Estimated_Market_Rent]],0)</f>
        <v>0</v>
      </c>
      <c r="M260" s="3" t="str">
        <f>IF(Table2[[#This Row],[Under_Market %]]&gt;0.1,"Underpriced","OK")</f>
        <v>OK</v>
      </c>
      <c r="N260" s="5">
        <f>SUMIFS(Table2[[#This Row],[Current Rent Gap]],Table2[[#This Row],[Current Rent Gap]],"&gt;0")</f>
        <v>0</v>
      </c>
    </row>
    <row r="261" spans="1:14" x14ac:dyDescent="0.35">
      <c r="A261" t="s">
        <v>467</v>
      </c>
      <c r="B261" t="s">
        <v>746</v>
      </c>
      <c r="C261">
        <v>2905</v>
      </c>
      <c r="D261">
        <v>2902</v>
      </c>
      <c r="E261">
        <f>Table2[[#This Row],[Due_Amount]]-Table2[[#This Row],[Paid_Amount]]</f>
        <v>3</v>
      </c>
      <c r="F261" s="1">
        <v>45905</v>
      </c>
      <c r="G261">
        <v>15</v>
      </c>
      <c r="H261">
        <f>Table2[[#This Row],[Due_Amount]]*Table2[[#This Row],[Delay_Days]]</f>
        <v>43575</v>
      </c>
      <c r="I261" s="3" t="str">
        <f>IF(Table2[[#This Row],[Delay_Days]]=0,"On Time",IF(Table2[[#This Row],[Delay_Days]]&lt;=7,"Low Risk(1-7)",IF(Table2[[#This Row],[Delay_Days]]&lt;=15,"Medium Risk(8-15)",IF(Table2[[#This Row],[Delay_Days]]&lt;=30,"High Risk(16-30)","Severe Risk(30+)"))))</f>
        <v>Medium Risk(8-15)</v>
      </c>
      <c r="J261" s="5">
        <f>AVERAGE(Table2[Due_Amount])</f>
        <v>4635.1866666666665</v>
      </c>
      <c r="K261" s="5">
        <f>Table2[[#This Row],[Estimated_Market_Rent]]-Table2[[#This Row],[Due_Amount]]</f>
        <v>1730.1866666666665</v>
      </c>
      <c r="L261" s="6">
        <f>IF(Table2[[#This Row],[Current Rent Gap]]&gt;0,Table2[[#This Row],[Current Rent Gap]]/Table2[[#This Row],[Estimated_Market_Rent]],0)</f>
        <v>0.37327227382428324</v>
      </c>
      <c r="M261" s="3" t="str">
        <f>IF(Table2[[#This Row],[Under_Market %]]&gt;0.1,"Underpriced","OK")</f>
        <v>Underpriced</v>
      </c>
      <c r="N261" s="5">
        <f>SUMIFS(Table2[[#This Row],[Current Rent Gap]],Table2[[#This Row],[Current Rent Gap]],"&gt;0")</f>
        <v>1730.1866666666665</v>
      </c>
    </row>
    <row r="262" spans="1:14" x14ac:dyDescent="0.35">
      <c r="A262" t="s">
        <v>19</v>
      </c>
      <c r="B262" t="s">
        <v>750</v>
      </c>
      <c r="C262">
        <v>5828</v>
      </c>
      <c r="D262">
        <v>5828</v>
      </c>
      <c r="E262">
        <f>Table2[[#This Row],[Due_Amount]]-Table2[[#This Row],[Paid_Amount]]</f>
        <v>0</v>
      </c>
      <c r="F262" s="1">
        <v>45803</v>
      </c>
      <c r="G262">
        <v>2</v>
      </c>
      <c r="H262">
        <f>Table2[[#This Row],[Due_Amount]]*Table2[[#This Row],[Delay_Days]]</f>
        <v>11656</v>
      </c>
      <c r="I262" s="3" t="str">
        <f>IF(Table2[[#This Row],[Delay_Days]]=0,"On Time",IF(Table2[[#This Row],[Delay_Days]]&lt;=7,"Low Risk(1-7)",IF(Table2[[#This Row],[Delay_Days]]&lt;=15,"Medium Risk(8-15)",IF(Table2[[#This Row],[Delay_Days]]&lt;=30,"High Risk(16-30)","Severe Risk(30+)"))))</f>
        <v>Low Risk(1-7)</v>
      </c>
      <c r="J262" s="5">
        <f>AVERAGE(Table2[Due_Amount])</f>
        <v>4635.1866666666665</v>
      </c>
      <c r="K262" s="5">
        <f>Table2[[#This Row],[Estimated_Market_Rent]]-Table2[[#This Row],[Due_Amount]]</f>
        <v>-1192.8133333333335</v>
      </c>
      <c r="L262" s="6">
        <f>IF(Table2[[#This Row],[Current Rent Gap]]&gt;0,Table2[[#This Row],[Current Rent Gap]]/Table2[[#This Row],[Estimated_Market_Rent]],0)</f>
        <v>0</v>
      </c>
      <c r="M262" s="3" t="str">
        <f>IF(Table2[[#This Row],[Under_Market %]]&gt;0.1,"Underpriced","OK")</f>
        <v>OK</v>
      </c>
      <c r="N262" s="5">
        <f>SUMIFS(Table2[[#This Row],[Current Rent Gap]],Table2[[#This Row],[Current Rent Gap]],"&gt;0")</f>
        <v>0</v>
      </c>
    </row>
    <row r="263" spans="1:14" x14ac:dyDescent="0.35">
      <c r="A263" t="s">
        <v>722</v>
      </c>
      <c r="B263" t="s">
        <v>748</v>
      </c>
      <c r="C263">
        <v>5718</v>
      </c>
      <c r="D263">
        <v>5718</v>
      </c>
      <c r="E263">
        <f>Table2[[#This Row],[Due_Amount]]-Table2[[#This Row],[Paid_Amount]]</f>
        <v>0</v>
      </c>
      <c r="F263" s="1">
        <v>45729</v>
      </c>
      <c r="G263">
        <v>4</v>
      </c>
      <c r="H263">
        <f>Table2[[#This Row],[Due_Amount]]*Table2[[#This Row],[Delay_Days]]</f>
        <v>22872</v>
      </c>
      <c r="I263" s="3" t="str">
        <f>IF(Table2[[#This Row],[Delay_Days]]=0,"On Time",IF(Table2[[#This Row],[Delay_Days]]&lt;=7,"Low Risk(1-7)",IF(Table2[[#This Row],[Delay_Days]]&lt;=15,"Medium Risk(8-15)",IF(Table2[[#This Row],[Delay_Days]]&lt;=30,"High Risk(16-30)","Severe Risk(30+)"))))</f>
        <v>Low Risk(1-7)</v>
      </c>
      <c r="J263" s="5">
        <f>AVERAGE(Table2[Due_Amount])</f>
        <v>4635.1866666666665</v>
      </c>
      <c r="K263" s="5">
        <f>Table2[[#This Row],[Estimated_Market_Rent]]-Table2[[#This Row],[Due_Amount]]</f>
        <v>-1082.8133333333335</v>
      </c>
      <c r="L263" s="6">
        <f>IF(Table2[[#This Row],[Current Rent Gap]]&gt;0,Table2[[#This Row],[Current Rent Gap]]/Table2[[#This Row],[Estimated_Market_Rent]],0)</f>
        <v>0</v>
      </c>
      <c r="M263" s="3" t="str">
        <f>IF(Table2[[#This Row],[Under_Market %]]&gt;0.1,"Underpriced","OK")</f>
        <v>OK</v>
      </c>
      <c r="N263" s="5">
        <f>SUMIFS(Table2[[#This Row],[Current Rent Gap]],Table2[[#This Row],[Current Rent Gap]],"&gt;0")</f>
        <v>0</v>
      </c>
    </row>
    <row r="264" spans="1:14" x14ac:dyDescent="0.35">
      <c r="A264" t="s">
        <v>310</v>
      </c>
      <c r="B264" t="s">
        <v>746</v>
      </c>
      <c r="C264">
        <v>4863</v>
      </c>
      <c r="D264">
        <v>4863</v>
      </c>
      <c r="E264">
        <f>Table2[[#This Row],[Due_Amount]]-Table2[[#This Row],[Paid_Amount]]</f>
        <v>0</v>
      </c>
      <c r="F264" s="1">
        <v>45712</v>
      </c>
      <c r="G264">
        <v>0</v>
      </c>
      <c r="H264">
        <f>Table2[[#This Row],[Due_Amount]]*Table2[[#This Row],[Delay_Days]]</f>
        <v>0</v>
      </c>
      <c r="I264" s="3" t="str">
        <f>IF(Table2[[#This Row],[Delay_Days]]=0,"On Time",IF(Table2[[#This Row],[Delay_Days]]&lt;=7,"Low Risk(1-7)",IF(Table2[[#This Row],[Delay_Days]]&lt;=15,"Medium Risk(8-15)",IF(Table2[[#This Row],[Delay_Days]]&lt;=30,"High Risk(16-30)","Severe Risk(30+)"))))</f>
        <v>On Time</v>
      </c>
      <c r="J264" s="5">
        <f>AVERAGE(Table2[Due_Amount])</f>
        <v>4635.1866666666665</v>
      </c>
      <c r="K264" s="5">
        <f>Table2[[#This Row],[Estimated_Market_Rent]]-Table2[[#This Row],[Due_Amount]]</f>
        <v>-227.8133333333335</v>
      </c>
      <c r="L264" s="6">
        <f>IF(Table2[[#This Row],[Current Rent Gap]]&gt;0,Table2[[#This Row],[Current Rent Gap]]/Table2[[#This Row],[Estimated_Market_Rent]],0)</f>
        <v>0</v>
      </c>
      <c r="M264" s="3" t="str">
        <f>IF(Table2[[#This Row],[Under_Market %]]&gt;0.1,"Underpriced","OK")</f>
        <v>OK</v>
      </c>
      <c r="N264" s="5">
        <f>SUMIFS(Table2[[#This Row],[Current Rent Gap]],Table2[[#This Row],[Current Rent Gap]],"&gt;0")</f>
        <v>0</v>
      </c>
    </row>
    <row r="265" spans="1:14" x14ac:dyDescent="0.35">
      <c r="A265" t="s">
        <v>678</v>
      </c>
      <c r="B265" t="s">
        <v>743</v>
      </c>
      <c r="C265">
        <v>6291</v>
      </c>
      <c r="D265">
        <v>6291</v>
      </c>
      <c r="E265">
        <f>Table2[[#This Row],[Due_Amount]]-Table2[[#This Row],[Paid_Amount]]</f>
        <v>0</v>
      </c>
      <c r="F265" s="1">
        <v>45828</v>
      </c>
      <c r="G265">
        <v>2</v>
      </c>
      <c r="H265">
        <f>Table2[[#This Row],[Due_Amount]]*Table2[[#This Row],[Delay_Days]]</f>
        <v>12582</v>
      </c>
      <c r="I265" s="3" t="str">
        <f>IF(Table2[[#This Row],[Delay_Days]]=0,"On Time",IF(Table2[[#This Row],[Delay_Days]]&lt;=7,"Low Risk(1-7)",IF(Table2[[#This Row],[Delay_Days]]&lt;=15,"Medium Risk(8-15)",IF(Table2[[#This Row],[Delay_Days]]&lt;=30,"High Risk(16-30)","Severe Risk(30+)"))))</f>
        <v>Low Risk(1-7)</v>
      </c>
      <c r="J265" s="5">
        <f>AVERAGE(Table2[Due_Amount])</f>
        <v>4635.1866666666665</v>
      </c>
      <c r="K265" s="5">
        <f>Table2[[#This Row],[Estimated_Market_Rent]]-Table2[[#This Row],[Due_Amount]]</f>
        <v>-1655.8133333333335</v>
      </c>
      <c r="L265" s="6">
        <f>IF(Table2[[#This Row],[Current Rent Gap]]&gt;0,Table2[[#This Row],[Current Rent Gap]]/Table2[[#This Row],[Estimated_Market_Rent]],0)</f>
        <v>0</v>
      </c>
      <c r="M265" s="3" t="str">
        <f>IF(Table2[[#This Row],[Under_Market %]]&gt;0.1,"Underpriced","OK")</f>
        <v>OK</v>
      </c>
      <c r="N265" s="5">
        <f>SUMIFS(Table2[[#This Row],[Current Rent Gap]],Table2[[#This Row],[Current Rent Gap]],"&gt;0")</f>
        <v>0</v>
      </c>
    </row>
    <row r="266" spans="1:14" x14ac:dyDescent="0.35">
      <c r="A266" t="s">
        <v>170</v>
      </c>
      <c r="B266" t="s">
        <v>753</v>
      </c>
      <c r="C266">
        <v>4437</v>
      </c>
      <c r="D266">
        <v>3509</v>
      </c>
      <c r="E266">
        <f>Table2[[#This Row],[Due_Amount]]-Table2[[#This Row],[Paid_Amount]]</f>
        <v>928</v>
      </c>
      <c r="F266" s="1">
        <v>45717</v>
      </c>
      <c r="G266">
        <v>25</v>
      </c>
      <c r="H266">
        <f>Table2[[#This Row],[Due_Amount]]*Table2[[#This Row],[Delay_Days]]</f>
        <v>110925</v>
      </c>
      <c r="I266" s="3" t="str">
        <f>IF(Table2[[#This Row],[Delay_Days]]=0,"On Time",IF(Table2[[#This Row],[Delay_Days]]&lt;=7,"Low Risk(1-7)",IF(Table2[[#This Row],[Delay_Days]]&lt;=15,"Medium Risk(8-15)",IF(Table2[[#This Row],[Delay_Days]]&lt;=30,"High Risk(16-30)","Severe Risk(30+)"))))</f>
        <v>High Risk(16-30)</v>
      </c>
      <c r="J266" s="5">
        <f>AVERAGE(Table2[Due_Amount])</f>
        <v>4635.1866666666665</v>
      </c>
      <c r="K266" s="5">
        <f>Table2[[#This Row],[Estimated_Market_Rent]]-Table2[[#This Row],[Due_Amount]]</f>
        <v>198.1866666666665</v>
      </c>
      <c r="L266" s="6">
        <f>IF(Table2[[#This Row],[Current Rent Gap]]&gt;0,Table2[[#This Row],[Current Rent Gap]]/Table2[[#This Row],[Estimated_Market_Rent]],0)</f>
        <v>4.2756997920256321E-2</v>
      </c>
      <c r="M266" s="3" t="str">
        <f>IF(Table2[[#This Row],[Under_Market %]]&gt;0.1,"Underpriced","OK")</f>
        <v>OK</v>
      </c>
      <c r="N266" s="5">
        <f>SUMIFS(Table2[[#This Row],[Current Rent Gap]],Table2[[#This Row],[Current Rent Gap]],"&gt;0")</f>
        <v>198.1866666666665</v>
      </c>
    </row>
    <row r="267" spans="1:14" x14ac:dyDescent="0.35">
      <c r="A267" t="s">
        <v>243</v>
      </c>
      <c r="B267" t="s">
        <v>746</v>
      </c>
      <c r="C267">
        <v>5538</v>
      </c>
      <c r="D267">
        <v>4764</v>
      </c>
      <c r="E267">
        <f>Table2[[#This Row],[Due_Amount]]-Table2[[#This Row],[Paid_Amount]]</f>
        <v>774</v>
      </c>
      <c r="F267" s="1">
        <v>45699</v>
      </c>
      <c r="G267">
        <v>24</v>
      </c>
      <c r="H267">
        <f>Table2[[#This Row],[Due_Amount]]*Table2[[#This Row],[Delay_Days]]</f>
        <v>132912</v>
      </c>
      <c r="I267" s="3" t="str">
        <f>IF(Table2[[#This Row],[Delay_Days]]=0,"On Time",IF(Table2[[#This Row],[Delay_Days]]&lt;=7,"Low Risk(1-7)",IF(Table2[[#This Row],[Delay_Days]]&lt;=15,"Medium Risk(8-15)",IF(Table2[[#This Row],[Delay_Days]]&lt;=30,"High Risk(16-30)","Severe Risk(30+)"))))</f>
        <v>High Risk(16-30)</v>
      </c>
      <c r="J267" s="5">
        <f>AVERAGE(Table2[Due_Amount])</f>
        <v>4635.1866666666665</v>
      </c>
      <c r="K267" s="5">
        <f>Table2[[#This Row],[Estimated_Market_Rent]]-Table2[[#This Row],[Due_Amount]]</f>
        <v>-902.8133333333335</v>
      </c>
      <c r="L267" s="6">
        <f>IF(Table2[[#This Row],[Current Rent Gap]]&gt;0,Table2[[#This Row],[Current Rent Gap]]/Table2[[#This Row],[Estimated_Market_Rent]],0)</f>
        <v>0</v>
      </c>
      <c r="M267" s="3" t="str">
        <f>IF(Table2[[#This Row],[Under_Market %]]&gt;0.1,"Underpriced","OK")</f>
        <v>OK</v>
      </c>
      <c r="N267" s="5">
        <f>SUMIFS(Table2[[#This Row],[Current Rent Gap]],Table2[[#This Row],[Current Rent Gap]],"&gt;0")</f>
        <v>0</v>
      </c>
    </row>
    <row r="268" spans="1:14" x14ac:dyDescent="0.35">
      <c r="A268" t="s">
        <v>216</v>
      </c>
      <c r="B268" t="s">
        <v>754</v>
      </c>
      <c r="C268">
        <v>6095</v>
      </c>
      <c r="D268">
        <v>5297</v>
      </c>
      <c r="E268">
        <f>Table2[[#This Row],[Due_Amount]]-Table2[[#This Row],[Paid_Amount]]</f>
        <v>798</v>
      </c>
      <c r="F268" s="1">
        <v>45691</v>
      </c>
      <c r="G268">
        <v>10</v>
      </c>
      <c r="H268">
        <f>Table2[[#This Row],[Due_Amount]]*Table2[[#This Row],[Delay_Days]]</f>
        <v>60950</v>
      </c>
      <c r="I268" s="3" t="str">
        <f>IF(Table2[[#This Row],[Delay_Days]]=0,"On Time",IF(Table2[[#This Row],[Delay_Days]]&lt;=7,"Low Risk(1-7)",IF(Table2[[#This Row],[Delay_Days]]&lt;=15,"Medium Risk(8-15)",IF(Table2[[#This Row],[Delay_Days]]&lt;=30,"High Risk(16-30)","Severe Risk(30+)"))))</f>
        <v>Medium Risk(8-15)</v>
      </c>
      <c r="J268" s="5">
        <f>AVERAGE(Table2[Due_Amount])</f>
        <v>4635.1866666666665</v>
      </c>
      <c r="K268" s="5">
        <f>Table2[[#This Row],[Estimated_Market_Rent]]-Table2[[#This Row],[Due_Amount]]</f>
        <v>-1459.8133333333335</v>
      </c>
      <c r="L268" s="6">
        <f>IF(Table2[[#This Row],[Current Rent Gap]]&gt;0,Table2[[#This Row],[Current Rent Gap]]/Table2[[#This Row],[Estimated_Market_Rent]],0)</f>
        <v>0</v>
      </c>
      <c r="M268" s="3" t="str">
        <f>IF(Table2[[#This Row],[Under_Market %]]&gt;0.1,"Underpriced","OK")</f>
        <v>OK</v>
      </c>
      <c r="N268" s="5">
        <f>SUMIFS(Table2[[#This Row],[Current Rent Gap]],Table2[[#This Row],[Current Rent Gap]],"&gt;0")</f>
        <v>0</v>
      </c>
    </row>
    <row r="269" spans="1:14" x14ac:dyDescent="0.35">
      <c r="A269" t="s">
        <v>262</v>
      </c>
      <c r="B269" t="s">
        <v>744</v>
      </c>
      <c r="C269">
        <v>2841</v>
      </c>
      <c r="D269">
        <v>2841</v>
      </c>
      <c r="E269">
        <f>Table2[[#This Row],[Due_Amount]]-Table2[[#This Row],[Paid_Amount]]</f>
        <v>0</v>
      </c>
      <c r="F269" s="1">
        <v>45903</v>
      </c>
      <c r="G269">
        <v>5</v>
      </c>
      <c r="H269">
        <f>Table2[[#This Row],[Due_Amount]]*Table2[[#This Row],[Delay_Days]]</f>
        <v>14205</v>
      </c>
      <c r="I269" s="3" t="str">
        <f>IF(Table2[[#This Row],[Delay_Days]]=0,"On Time",IF(Table2[[#This Row],[Delay_Days]]&lt;=7,"Low Risk(1-7)",IF(Table2[[#This Row],[Delay_Days]]&lt;=15,"Medium Risk(8-15)",IF(Table2[[#This Row],[Delay_Days]]&lt;=30,"High Risk(16-30)","Severe Risk(30+)"))))</f>
        <v>Low Risk(1-7)</v>
      </c>
      <c r="J269" s="5">
        <f>AVERAGE(Table2[Due_Amount])</f>
        <v>4635.1866666666665</v>
      </c>
      <c r="K269" s="5">
        <f>Table2[[#This Row],[Estimated_Market_Rent]]-Table2[[#This Row],[Due_Amount]]</f>
        <v>1794.1866666666665</v>
      </c>
      <c r="L269" s="6">
        <f>IF(Table2[[#This Row],[Current Rent Gap]]&gt;0,Table2[[#This Row],[Current Rent Gap]]/Table2[[#This Row],[Estimated_Market_Rent]],0)</f>
        <v>0.38707970049390311</v>
      </c>
      <c r="M269" s="3" t="str">
        <f>IF(Table2[[#This Row],[Under_Market %]]&gt;0.1,"Underpriced","OK")</f>
        <v>Underpriced</v>
      </c>
      <c r="N269" s="5">
        <f>SUMIFS(Table2[[#This Row],[Current Rent Gap]],Table2[[#This Row],[Current Rent Gap]],"&gt;0")</f>
        <v>1794.1866666666665</v>
      </c>
    </row>
    <row r="270" spans="1:14" x14ac:dyDescent="0.35">
      <c r="A270" t="s">
        <v>273</v>
      </c>
      <c r="B270" t="s">
        <v>744</v>
      </c>
      <c r="C270">
        <v>4361</v>
      </c>
      <c r="D270">
        <v>3465</v>
      </c>
      <c r="E270">
        <f>Table2[[#This Row],[Due_Amount]]-Table2[[#This Row],[Paid_Amount]]</f>
        <v>896</v>
      </c>
      <c r="F270" s="1">
        <v>45769</v>
      </c>
      <c r="G270">
        <v>20</v>
      </c>
      <c r="H270">
        <f>Table2[[#This Row],[Due_Amount]]*Table2[[#This Row],[Delay_Days]]</f>
        <v>87220</v>
      </c>
      <c r="I270" s="3" t="str">
        <f>IF(Table2[[#This Row],[Delay_Days]]=0,"On Time",IF(Table2[[#This Row],[Delay_Days]]&lt;=7,"Low Risk(1-7)",IF(Table2[[#This Row],[Delay_Days]]&lt;=15,"Medium Risk(8-15)",IF(Table2[[#This Row],[Delay_Days]]&lt;=30,"High Risk(16-30)","Severe Risk(30+)"))))</f>
        <v>High Risk(16-30)</v>
      </c>
      <c r="J270" s="5">
        <f>AVERAGE(Table2[Due_Amount])</f>
        <v>4635.1866666666665</v>
      </c>
      <c r="K270" s="5">
        <f>Table2[[#This Row],[Estimated_Market_Rent]]-Table2[[#This Row],[Due_Amount]]</f>
        <v>274.1866666666665</v>
      </c>
      <c r="L270" s="6">
        <f>IF(Table2[[#This Row],[Current Rent Gap]]&gt;0,Table2[[#This Row],[Current Rent Gap]]/Table2[[#This Row],[Estimated_Market_Rent]],0)</f>
        <v>5.915331709042998E-2</v>
      </c>
      <c r="M270" s="3" t="str">
        <f>IF(Table2[[#This Row],[Under_Market %]]&gt;0.1,"Underpriced","OK")</f>
        <v>OK</v>
      </c>
      <c r="N270" s="5">
        <f>SUMIFS(Table2[[#This Row],[Current Rent Gap]],Table2[[#This Row],[Current Rent Gap]],"&gt;0")</f>
        <v>274.1866666666665</v>
      </c>
    </row>
    <row r="271" spans="1:14" x14ac:dyDescent="0.35">
      <c r="A271" t="s">
        <v>611</v>
      </c>
      <c r="B271" t="s">
        <v>746</v>
      </c>
      <c r="C271">
        <v>6168</v>
      </c>
      <c r="D271">
        <v>6168</v>
      </c>
      <c r="E271">
        <f>Table2[[#This Row],[Due_Amount]]-Table2[[#This Row],[Paid_Amount]]</f>
        <v>0</v>
      </c>
      <c r="F271" s="1">
        <v>45999</v>
      </c>
      <c r="G271">
        <v>3</v>
      </c>
      <c r="H271">
        <f>Table2[[#This Row],[Due_Amount]]*Table2[[#This Row],[Delay_Days]]</f>
        <v>18504</v>
      </c>
      <c r="I271" s="3" t="str">
        <f>IF(Table2[[#This Row],[Delay_Days]]=0,"On Time",IF(Table2[[#This Row],[Delay_Days]]&lt;=7,"Low Risk(1-7)",IF(Table2[[#This Row],[Delay_Days]]&lt;=15,"Medium Risk(8-15)",IF(Table2[[#This Row],[Delay_Days]]&lt;=30,"High Risk(16-30)","Severe Risk(30+)"))))</f>
        <v>Low Risk(1-7)</v>
      </c>
      <c r="J271" s="5">
        <f>AVERAGE(Table2[Due_Amount])</f>
        <v>4635.1866666666665</v>
      </c>
      <c r="K271" s="5">
        <f>Table2[[#This Row],[Estimated_Market_Rent]]-Table2[[#This Row],[Due_Amount]]</f>
        <v>-1532.8133333333335</v>
      </c>
      <c r="L271" s="6">
        <f>IF(Table2[[#This Row],[Current Rent Gap]]&gt;0,Table2[[#This Row],[Current Rent Gap]]/Table2[[#This Row],[Estimated_Market_Rent]],0)</f>
        <v>0</v>
      </c>
      <c r="M271" s="3" t="str">
        <f>IF(Table2[[#This Row],[Under_Market %]]&gt;0.1,"Underpriced","OK")</f>
        <v>OK</v>
      </c>
      <c r="N271" s="5">
        <f>SUMIFS(Table2[[#This Row],[Current Rent Gap]],Table2[[#This Row],[Current Rent Gap]],"&gt;0")</f>
        <v>0</v>
      </c>
    </row>
    <row r="272" spans="1:14" x14ac:dyDescent="0.35">
      <c r="A272" t="s">
        <v>587</v>
      </c>
      <c r="B272" t="s">
        <v>746</v>
      </c>
      <c r="C272">
        <v>5226</v>
      </c>
      <c r="D272">
        <v>5032</v>
      </c>
      <c r="E272">
        <f>Table2[[#This Row],[Due_Amount]]-Table2[[#This Row],[Paid_Amount]]</f>
        <v>194</v>
      </c>
      <c r="F272" s="1">
        <v>45907</v>
      </c>
      <c r="G272">
        <v>12</v>
      </c>
      <c r="H272">
        <f>Table2[[#This Row],[Due_Amount]]*Table2[[#This Row],[Delay_Days]]</f>
        <v>62712</v>
      </c>
      <c r="I272" s="3" t="str">
        <f>IF(Table2[[#This Row],[Delay_Days]]=0,"On Time",IF(Table2[[#This Row],[Delay_Days]]&lt;=7,"Low Risk(1-7)",IF(Table2[[#This Row],[Delay_Days]]&lt;=15,"Medium Risk(8-15)",IF(Table2[[#This Row],[Delay_Days]]&lt;=30,"High Risk(16-30)","Severe Risk(30+)"))))</f>
        <v>Medium Risk(8-15)</v>
      </c>
      <c r="J272" s="5">
        <f>AVERAGE(Table2[Due_Amount])</f>
        <v>4635.1866666666665</v>
      </c>
      <c r="K272" s="5">
        <f>Table2[[#This Row],[Estimated_Market_Rent]]-Table2[[#This Row],[Due_Amount]]</f>
        <v>-590.8133333333335</v>
      </c>
      <c r="L272" s="6">
        <f>IF(Table2[[#This Row],[Current Rent Gap]]&gt;0,Table2[[#This Row],[Current Rent Gap]]/Table2[[#This Row],[Estimated_Market_Rent]],0)</f>
        <v>0</v>
      </c>
      <c r="M272" s="3" t="str">
        <f>IF(Table2[[#This Row],[Under_Market %]]&gt;0.1,"Underpriced","OK")</f>
        <v>OK</v>
      </c>
      <c r="N272" s="5">
        <f>SUMIFS(Table2[[#This Row],[Current Rent Gap]],Table2[[#This Row],[Current Rent Gap]],"&gt;0")</f>
        <v>0</v>
      </c>
    </row>
    <row r="273" spans="1:14" x14ac:dyDescent="0.35">
      <c r="A273" t="s">
        <v>728</v>
      </c>
      <c r="B273" t="s">
        <v>753</v>
      </c>
      <c r="C273">
        <v>2899</v>
      </c>
      <c r="D273">
        <v>2784</v>
      </c>
      <c r="E273">
        <f>Table2[[#This Row],[Due_Amount]]-Table2[[#This Row],[Paid_Amount]]</f>
        <v>115</v>
      </c>
      <c r="F273" s="1">
        <v>45871</v>
      </c>
      <c r="G273">
        <v>16</v>
      </c>
      <c r="H273">
        <f>Table2[[#This Row],[Due_Amount]]*Table2[[#This Row],[Delay_Days]]</f>
        <v>46384</v>
      </c>
      <c r="I273" s="3" t="str">
        <f>IF(Table2[[#This Row],[Delay_Days]]=0,"On Time",IF(Table2[[#This Row],[Delay_Days]]&lt;=7,"Low Risk(1-7)",IF(Table2[[#This Row],[Delay_Days]]&lt;=15,"Medium Risk(8-15)",IF(Table2[[#This Row],[Delay_Days]]&lt;=30,"High Risk(16-30)","Severe Risk(30+)"))))</f>
        <v>High Risk(16-30)</v>
      </c>
      <c r="J273" s="5">
        <f>AVERAGE(Table2[Due_Amount])</f>
        <v>4635.1866666666665</v>
      </c>
      <c r="K273" s="5">
        <f>Table2[[#This Row],[Estimated_Market_Rent]]-Table2[[#This Row],[Due_Amount]]</f>
        <v>1736.1866666666665</v>
      </c>
      <c r="L273" s="6">
        <f>IF(Table2[[#This Row],[Current Rent Gap]]&gt;0,Table2[[#This Row],[Current Rent Gap]]/Table2[[#This Row],[Estimated_Market_Rent]],0)</f>
        <v>0.3745667200745601</v>
      </c>
      <c r="M273" s="3" t="str">
        <f>IF(Table2[[#This Row],[Under_Market %]]&gt;0.1,"Underpriced","OK")</f>
        <v>Underpriced</v>
      </c>
      <c r="N273" s="5">
        <f>SUMIFS(Table2[[#This Row],[Current Rent Gap]],Table2[[#This Row],[Current Rent Gap]],"&gt;0")</f>
        <v>1736.1866666666665</v>
      </c>
    </row>
    <row r="274" spans="1:14" x14ac:dyDescent="0.35">
      <c r="A274" t="s">
        <v>117</v>
      </c>
      <c r="B274" t="s">
        <v>747</v>
      </c>
      <c r="C274">
        <v>5080</v>
      </c>
      <c r="D274">
        <v>4722</v>
      </c>
      <c r="E274">
        <f>Table2[[#This Row],[Due_Amount]]-Table2[[#This Row],[Paid_Amount]]</f>
        <v>358</v>
      </c>
      <c r="F274" s="1">
        <v>45672</v>
      </c>
      <c r="G274">
        <v>24</v>
      </c>
      <c r="H274">
        <f>Table2[[#This Row],[Due_Amount]]*Table2[[#This Row],[Delay_Days]]</f>
        <v>121920</v>
      </c>
      <c r="I274" s="3" t="str">
        <f>IF(Table2[[#This Row],[Delay_Days]]=0,"On Time",IF(Table2[[#This Row],[Delay_Days]]&lt;=7,"Low Risk(1-7)",IF(Table2[[#This Row],[Delay_Days]]&lt;=15,"Medium Risk(8-15)",IF(Table2[[#This Row],[Delay_Days]]&lt;=30,"High Risk(16-30)","Severe Risk(30+)"))))</f>
        <v>High Risk(16-30)</v>
      </c>
      <c r="J274" s="5">
        <f>AVERAGE(Table2[Due_Amount])</f>
        <v>4635.1866666666665</v>
      </c>
      <c r="K274" s="5">
        <f>Table2[[#This Row],[Estimated_Market_Rent]]-Table2[[#This Row],[Due_Amount]]</f>
        <v>-444.8133333333335</v>
      </c>
      <c r="L274" s="6">
        <f>IF(Table2[[#This Row],[Current Rent Gap]]&gt;0,Table2[[#This Row],[Current Rent Gap]]/Table2[[#This Row],[Estimated_Market_Rent]],0)</f>
        <v>0</v>
      </c>
      <c r="M274" s="3" t="str">
        <f>IF(Table2[[#This Row],[Under_Market %]]&gt;0.1,"Underpriced","OK")</f>
        <v>OK</v>
      </c>
      <c r="N274" s="5">
        <f>SUMIFS(Table2[[#This Row],[Current Rent Gap]],Table2[[#This Row],[Current Rent Gap]],"&gt;0")</f>
        <v>0</v>
      </c>
    </row>
    <row r="275" spans="1:14" x14ac:dyDescent="0.35">
      <c r="A275" t="s">
        <v>196</v>
      </c>
      <c r="B275" t="s">
        <v>743</v>
      </c>
      <c r="C275">
        <v>3621</v>
      </c>
      <c r="D275">
        <v>3621</v>
      </c>
      <c r="E275">
        <f>Table2[[#This Row],[Due_Amount]]-Table2[[#This Row],[Paid_Amount]]</f>
        <v>0</v>
      </c>
      <c r="F275" s="1">
        <v>46006</v>
      </c>
      <c r="G275">
        <v>8</v>
      </c>
      <c r="H275">
        <f>Table2[[#This Row],[Due_Amount]]*Table2[[#This Row],[Delay_Days]]</f>
        <v>28968</v>
      </c>
      <c r="I275" s="3" t="str">
        <f>IF(Table2[[#This Row],[Delay_Days]]=0,"On Time",IF(Table2[[#This Row],[Delay_Days]]&lt;=7,"Low Risk(1-7)",IF(Table2[[#This Row],[Delay_Days]]&lt;=15,"Medium Risk(8-15)",IF(Table2[[#This Row],[Delay_Days]]&lt;=30,"High Risk(16-30)","Severe Risk(30+)"))))</f>
        <v>Medium Risk(8-15)</v>
      </c>
      <c r="J275" s="5">
        <f>AVERAGE(Table2[Due_Amount])</f>
        <v>4635.1866666666665</v>
      </c>
      <c r="K275" s="5">
        <f>Table2[[#This Row],[Estimated_Market_Rent]]-Table2[[#This Row],[Due_Amount]]</f>
        <v>1014.1866666666665</v>
      </c>
      <c r="L275" s="6">
        <f>IF(Table2[[#This Row],[Current Rent Gap]]&gt;0,Table2[[#This Row],[Current Rent Gap]]/Table2[[#This Row],[Estimated_Market_Rent]],0)</f>
        <v>0.21880168795791033</v>
      </c>
      <c r="M275" s="3" t="str">
        <f>IF(Table2[[#This Row],[Under_Market %]]&gt;0.1,"Underpriced","OK")</f>
        <v>Underpriced</v>
      </c>
      <c r="N275" s="5">
        <f>SUMIFS(Table2[[#This Row],[Current Rent Gap]],Table2[[#This Row],[Current Rent Gap]],"&gt;0")</f>
        <v>1014.1866666666665</v>
      </c>
    </row>
    <row r="276" spans="1:14" x14ac:dyDescent="0.35">
      <c r="A276" t="s">
        <v>312</v>
      </c>
      <c r="B276" t="s">
        <v>753</v>
      </c>
      <c r="C276">
        <v>2843</v>
      </c>
      <c r="D276">
        <v>2264</v>
      </c>
      <c r="E276">
        <f>Table2[[#This Row],[Due_Amount]]-Table2[[#This Row],[Paid_Amount]]</f>
        <v>579</v>
      </c>
      <c r="F276" s="1">
        <v>45812</v>
      </c>
      <c r="G276">
        <v>10</v>
      </c>
      <c r="H276">
        <f>Table2[[#This Row],[Due_Amount]]*Table2[[#This Row],[Delay_Days]]</f>
        <v>28430</v>
      </c>
      <c r="I276" s="3" t="str">
        <f>IF(Table2[[#This Row],[Delay_Days]]=0,"On Time",IF(Table2[[#This Row],[Delay_Days]]&lt;=7,"Low Risk(1-7)",IF(Table2[[#This Row],[Delay_Days]]&lt;=15,"Medium Risk(8-15)",IF(Table2[[#This Row],[Delay_Days]]&lt;=30,"High Risk(16-30)","Severe Risk(30+)"))))</f>
        <v>Medium Risk(8-15)</v>
      </c>
      <c r="J276" s="5">
        <f>AVERAGE(Table2[Due_Amount])</f>
        <v>4635.1866666666665</v>
      </c>
      <c r="K276" s="5">
        <f>Table2[[#This Row],[Estimated_Market_Rent]]-Table2[[#This Row],[Due_Amount]]</f>
        <v>1792.1866666666665</v>
      </c>
      <c r="L276" s="6">
        <f>IF(Table2[[#This Row],[Current Rent Gap]]&gt;0,Table2[[#This Row],[Current Rent Gap]]/Table2[[#This Row],[Estimated_Market_Rent]],0)</f>
        <v>0.38664821841047753</v>
      </c>
      <c r="M276" s="3" t="str">
        <f>IF(Table2[[#This Row],[Under_Market %]]&gt;0.1,"Underpriced","OK")</f>
        <v>Underpriced</v>
      </c>
      <c r="N276" s="5">
        <f>SUMIFS(Table2[[#This Row],[Current Rent Gap]],Table2[[#This Row],[Current Rent Gap]],"&gt;0")</f>
        <v>1792.1866666666665</v>
      </c>
    </row>
    <row r="277" spans="1:14" x14ac:dyDescent="0.35">
      <c r="A277" t="s">
        <v>636</v>
      </c>
      <c r="B277" t="s">
        <v>745</v>
      </c>
      <c r="C277">
        <v>4795</v>
      </c>
      <c r="D277">
        <v>4795</v>
      </c>
      <c r="E277">
        <f>Table2[[#This Row],[Due_Amount]]-Table2[[#This Row],[Paid_Amount]]</f>
        <v>0</v>
      </c>
      <c r="F277" s="1">
        <v>45984</v>
      </c>
      <c r="G277">
        <v>0</v>
      </c>
      <c r="H277">
        <f>Table2[[#This Row],[Due_Amount]]*Table2[[#This Row],[Delay_Days]]</f>
        <v>0</v>
      </c>
      <c r="I277" s="3" t="str">
        <f>IF(Table2[[#This Row],[Delay_Days]]=0,"On Time",IF(Table2[[#This Row],[Delay_Days]]&lt;=7,"Low Risk(1-7)",IF(Table2[[#This Row],[Delay_Days]]&lt;=15,"Medium Risk(8-15)",IF(Table2[[#This Row],[Delay_Days]]&lt;=30,"High Risk(16-30)","Severe Risk(30+)"))))</f>
        <v>On Time</v>
      </c>
      <c r="J277" s="5">
        <f>AVERAGE(Table2[Due_Amount])</f>
        <v>4635.1866666666665</v>
      </c>
      <c r="K277" s="5">
        <f>Table2[[#This Row],[Estimated_Market_Rent]]-Table2[[#This Row],[Due_Amount]]</f>
        <v>-159.8133333333335</v>
      </c>
      <c r="L277" s="6">
        <f>IF(Table2[[#This Row],[Current Rent Gap]]&gt;0,Table2[[#This Row],[Current Rent Gap]]/Table2[[#This Row],[Estimated_Market_Rent]],0)</f>
        <v>0</v>
      </c>
      <c r="M277" s="3" t="str">
        <f>IF(Table2[[#This Row],[Under_Market %]]&gt;0.1,"Underpriced","OK")</f>
        <v>OK</v>
      </c>
      <c r="N277" s="5">
        <f>SUMIFS(Table2[[#This Row],[Current Rent Gap]],Table2[[#This Row],[Current Rent Gap]],"&gt;0")</f>
        <v>0</v>
      </c>
    </row>
    <row r="278" spans="1:14" x14ac:dyDescent="0.35">
      <c r="A278" t="s">
        <v>615</v>
      </c>
      <c r="B278" t="s">
        <v>746</v>
      </c>
      <c r="C278">
        <v>3397</v>
      </c>
      <c r="D278">
        <v>3397</v>
      </c>
      <c r="E278">
        <f>Table2[[#This Row],[Due_Amount]]-Table2[[#This Row],[Paid_Amount]]</f>
        <v>0</v>
      </c>
      <c r="F278" s="1">
        <v>45834</v>
      </c>
      <c r="G278">
        <v>7</v>
      </c>
      <c r="H278">
        <f>Table2[[#This Row],[Due_Amount]]*Table2[[#This Row],[Delay_Days]]</f>
        <v>23779</v>
      </c>
      <c r="I278" s="3" t="str">
        <f>IF(Table2[[#This Row],[Delay_Days]]=0,"On Time",IF(Table2[[#This Row],[Delay_Days]]&lt;=7,"Low Risk(1-7)",IF(Table2[[#This Row],[Delay_Days]]&lt;=15,"Medium Risk(8-15)",IF(Table2[[#This Row],[Delay_Days]]&lt;=30,"High Risk(16-30)","Severe Risk(30+)"))))</f>
        <v>Low Risk(1-7)</v>
      </c>
      <c r="J278" s="5">
        <f>AVERAGE(Table2[Due_Amount])</f>
        <v>4635.1866666666665</v>
      </c>
      <c r="K278" s="5">
        <f>Table2[[#This Row],[Estimated_Market_Rent]]-Table2[[#This Row],[Due_Amount]]</f>
        <v>1238.1866666666665</v>
      </c>
      <c r="L278" s="6">
        <f>IF(Table2[[#This Row],[Current Rent Gap]]&gt;0,Table2[[#This Row],[Current Rent Gap]]/Table2[[#This Row],[Estimated_Market_Rent]],0)</f>
        <v>0.26712768130158004</v>
      </c>
      <c r="M278" s="3" t="str">
        <f>IF(Table2[[#This Row],[Under_Market %]]&gt;0.1,"Underpriced","OK")</f>
        <v>Underpriced</v>
      </c>
      <c r="N278" s="5">
        <f>SUMIFS(Table2[[#This Row],[Current Rent Gap]],Table2[[#This Row],[Current Rent Gap]],"&gt;0")</f>
        <v>1238.1866666666665</v>
      </c>
    </row>
    <row r="279" spans="1:14" x14ac:dyDescent="0.35">
      <c r="A279" t="s">
        <v>644</v>
      </c>
      <c r="B279" t="s">
        <v>750</v>
      </c>
      <c r="C279">
        <v>3991</v>
      </c>
      <c r="D279">
        <v>3991</v>
      </c>
      <c r="E279">
        <f>Table2[[#This Row],[Due_Amount]]-Table2[[#This Row],[Paid_Amount]]</f>
        <v>0</v>
      </c>
      <c r="F279" s="1">
        <v>45997</v>
      </c>
      <c r="G279">
        <v>8</v>
      </c>
      <c r="H279">
        <f>Table2[[#This Row],[Due_Amount]]*Table2[[#This Row],[Delay_Days]]</f>
        <v>31928</v>
      </c>
      <c r="I279" s="3" t="str">
        <f>IF(Table2[[#This Row],[Delay_Days]]=0,"On Time",IF(Table2[[#This Row],[Delay_Days]]&lt;=7,"Low Risk(1-7)",IF(Table2[[#This Row],[Delay_Days]]&lt;=15,"Medium Risk(8-15)",IF(Table2[[#This Row],[Delay_Days]]&lt;=30,"High Risk(16-30)","Severe Risk(30+)"))))</f>
        <v>Medium Risk(8-15)</v>
      </c>
      <c r="J279" s="5">
        <f>AVERAGE(Table2[Due_Amount])</f>
        <v>4635.1866666666665</v>
      </c>
      <c r="K279" s="5">
        <f>Table2[[#This Row],[Estimated_Market_Rent]]-Table2[[#This Row],[Due_Amount]]</f>
        <v>644.1866666666665</v>
      </c>
      <c r="L279" s="6">
        <f>IF(Table2[[#This Row],[Current Rent Gap]]&gt;0,Table2[[#This Row],[Current Rent Gap]]/Table2[[#This Row],[Estimated_Market_Rent]],0)</f>
        <v>0.13897750252417015</v>
      </c>
      <c r="M279" s="3" t="str">
        <f>IF(Table2[[#This Row],[Under_Market %]]&gt;0.1,"Underpriced","OK")</f>
        <v>Underpriced</v>
      </c>
      <c r="N279" s="5">
        <f>SUMIFS(Table2[[#This Row],[Current Rent Gap]],Table2[[#This Row],[Current Rent Gap]],"&gt;0")</f>
        <v>644.1866666666665</v>
      </c>
    </row>
    <row r="280" spans="1:14" x14ac:dyDescent="0.35">
      <c r="A280" t="s">
        <v>360</v>
      </c>
      <c r="B280" t="s">
        <v>753</v>
      </c>
      <c r="C280">
        <v>6832</v>
      </c>
      <c r="D280">
        <v>6832</v>
      </c>
      <c r="E280">
        <f>Table2[[#This Row],[Due_Amount]]-Table2[[#This Row],[Paid_Amount]]</f>
        <v>0</v>
      </c>
      <c r="F280" s="1">
        <v>45785</v>
      </c>
      <c r="G280">
        <v>9</v>
      </c>
      <c r="H280">
        <f>Table2[[#This Row],[Due_Amount]]*Table2[[#This Row],[Delay_Days]]</f>
        <v>61488</v>
      </c>
      <c r="I280" s="3" t="str">
        <f>IF(Table2[[#This Row],[Delay_Days]]=0,"On Time",IF(Table2[[#This Row],[Delay_Days]]&lt;=7,"Low Risk(1-7)",IF(Table2[[#This Row],[Delay_Days]]&lt;=15,"Medium Risk(8-15)",IF(Table2[[#This Row],[Delay_Days]]&lt;=30,"High Risk(16-30)","Severe Risk(30+)"))))</f>
        <v>Medium Risk(8-15)</v>
      </c>
      <c r="J280" s="5">
        <f>AVERAGE(Table2[Due_Amount])</f>
        <v>4635.1866666666665</v>
      </c>
      <c r="K280" s="5">
        <f>Table2[[#This Row],[Estimated_Market_Rent]]-Table2[[#This Row],[Due_Amount]]</f>
        <v>-2196.8133333333335</v>
      </c>
      <c r="L280" s="6">
        <f>IF(Table2[[#This Row],[Current Rent Gap]]&gt;0,Table2[[#This Row],[Current Rent Gap]]/Table2[[#This Row],[Estimated_Market_Rent]],0)</f>
        <v>0</v>
      </c>
      <c r="M280" s="3" t="str">
        <f>IF(Table2[[#This Row],[Under_Market %]]&gt;0.1,"Underpriced","OK")</f>
        <v>OK</v>
      </c>
      <c r="N280" s="5">
        <f>SUMIFS(Table2[[#This Row],[Current Rent Gap]],Table2[[#This Row],[Current Rent Gap]],"&gt;0")</f>
        <v>0</v>
      </c>
    </row>
    <row r="281" spans="1:14" x14ac:dyDescent="0.35">
      <c r="A281" t="s">
        <v>170</v>
      </c>
      <c r="B281" t="s">
        <v>745</v>
      </c>
      <c r="C281">
        <v>5750</v>
      </c>
      <c r="D281">
        <v>5750</v>
      </c>
      <c r="E281">
        <f>Table2[[#This Row],[Due_Amount]]-Table2[[#This Row],[Paid_Amount]]</f>
        <v>0</v>
      </c>
      <c r="F281" s="1">
        <v>45979</v>
      </c>
      <c r="G281">
        <v>6</v>
      </c>
      <c r="H281">
        <f>Table2[[#This Row],[Due_Amount]]*Table2[[#This Row],[Delay_Days]]</f>
        <v>34500</v>
      </c>
      <c r="I281" s="3" t="str">
        <f>IF(Table2[[#This Row],[Delay_Days]]=0,"On Time",IF(Table2[[#This Row],[Delay_Days]]&lt;=7,"Low Risk(1-7)",IF(Table2[[#This Row],[Delay_Days]]&lt;=15,"Medium Risk(8-15)",IF(Table2[[#This Row],[Delay_Days]]&lt;=30,"High Risk(16-30)","Severe Risk(30+)"))))</f>
        <v>Low Risk(1-7)</v>
      </c>
      <c r="J281" s="5">
        <f>AVERAGE(Table2[Due_Amount])</f>
        <v>4635.1866666666665</v>
      </c>
      <c r="K281" s="5">
        <f>Table2[[#This Row],[Estimated_Market_Rent]]-Table2[[#This Row],[Due_Amount]]</f>
        <v>-1114.8133333333335</v>
      </c>
      <c r="L281" s="6">
        <f>IF(Table2[[#This Row],[Current Rent Gap]]&gt;0,Table2[[#This Row],[Current Rent Gap]]/Table2[[#This Row],[Estimated_Market_Rent]],0)</f>
        <v>0</v>
      </c>
      <c r="M281" s="3" t="str">
        <f>IF(Table2[[#This Row],[Under_Market %]]&gt;0.1,"Underpriced","OK")</f>
        <v>OK</v>
      </c>
      <c r="N281" s="5">
        <f>SUMIFS(Table2[[#This Row],[Current Rent Gap]],Table2[[#This Row],[Current Rent Gap]],"&gt;0")</f>
        <v>0</v>
      </c>
    </row>
    <row r="282" spans="1:14" x14ac:dyDescent="0.35">
      <c r="A282" t="s">
        <v>495</v>
      </c>
      <c r="B282" t="s">
        <v>748</v>
      </c>
      <c r="C282">
        <v>6214</v>
      </c>
      <c r="D282">
        <v>5629</v>
      </c>
      <c r="E282">
        <f>Table2[[#This Row],[Due_Amount]]-Table2[[#This Row],[Paid_Amount]]</f>
        <v>585</v>
      </c>
      <c r="F282" s="1">
        <v>45798</v>
      </c>
      <c r="G282">
        <v>25</v>
      </c>
      <c r="H282">
        <f>Table2[[#This Row],[Due_Amount]]*Table2[[#This Row],[Delay_Days]]</f>
        <v>155350</v>
      </c>
      <c r="I282" s="3" t="str">
        <f>IF(Table2[[#This Row],[Delay_Days]]=0,"On Time",IF(Table2[[#This Row],[Delay_Days]]&lt;=7,"Low Risk(1-7)",IF(Table2[[#This Row],[Delay_Days]]&lt;=15,"Medium Risk(8-15)",IF(Table2[[#This Row],[Delay_Days]]&lt;=30,"High Risk(16-30)","Severe Risk(30+)"))))</f>
        <v>High Risk(16-30)</v>
      </c>
      <c r="J282" s="5">
        <f>AVERAGE(Table2[Due_Amount])</f>
        <v>4635.1866666666665</v>
      </c>
      <c r="K282" s="5">
        <f>Table2[[#This Row],[Estimated_Market_Rent]]-Table2[[#This Row],[Due_Amount]]</f>
        <v>-1578.8133333333335</v>
      </c>
      <c r="L282" s="6">
        <f>IF(Table2[[#This Row],[Current Rent Gap]]&gt;0,Table2[[#This Row],[Current Rent Gap]]/Table2[[#This Row],[Estimated_Market_Rent]],0)</f>
        <v>0</v>
      </c>
      <c r="M282" s="3" t="str">
        <f>IF(Table2[[#This Row],[Under_Market %]]&gt;0.1,"Underpriced","OK")</f>
        <v>OK</v>
      </c>
      <c r="N282" s="5">
        <f>SUMIFS(Table2[[#This Row],[Current Rent Gap]],Table2[[#This Row],[Current Rent Gap]],"&gt;0")</f>
        <v>0</v>
      </c>
    </row>
    <row r="283" spans="1:14" x14ac:dyDescent="0.35">
      <c r="A283" t="s">
        <v>251</v>
      </c>
      <c r="B283" t="s">
        <v>744</v>
      </c>
      <c r="C283">
        <v>5050</v>
      </c>
      <c r="D283">
        <v>5050</v>
      </c>
      <c r="E283">
        <f>Table2[[#This Row],[Due_Amount]]-Table2[[#This Row],[Paid_Amount]]</f>
        <v>0</v>
      </c>
      <c r="F283" s="1">
        <v>45974</v>
      </c>
      <c r="G283">
        <v>1</v>
      </c>
      <c r="H283">
        <f>Table2[[#This Row],[Due_Amount]]*Table2[[#This Row],[Delay_Days]]</f>
        <v>5050</v>
      </c>
      <c r="I283" s="3" t="str">
        <f>IF(Table2[[#This Row],[Delay_Days]]=0,"On Time",IF(Table2[[#This Row],[Delay_Days]]&lt;=7,"Low Risk(1-7)",IF(Table2[[#This Row],[Delay_Days]]&lt;=15,"Medium Risk(8-15)",IF(Table2[[#This Row],[Delay_Days]]&lt;=30,"High Risk(16-30)","Severe Risk(30+)"))))</f>
        <v>Low Risk(1-7)</v>
      </c>
      <c r="J283" s="5">
        <f>AVERAGE(Table2[Due_Amount])</f>
        <v>4635.1866666666665</v>
      </c>
      <c r="K283" s="5">
        <f>Table2[[#This Row],[Estimated_Market_Rent]]-Table2[[#This Row],[Due_Amount]]</f>
        <v>-414.8133333333335</v>
      </c>
      <c r="L283" s="6">
        <f>IF(Table2[[#This Row],[Current Rent Gap]]&gt;0,Table2[[#This Row],[Current Rent Gap]]/Table2[[#This Row],[Estimated_Market_Rent]],0)</f>
        <v>0</v>
      </c>
      <c r="M283" s="3" t="str">
        <f>IF(Table2[[#This Row],[Under_Market %]]&gt;0.1,"Underpriced","OK")</f>
        <v>OK</v>
      </c>
      <c r="N283" s="5">
        <f>SUMIFS(Table2[[#This Row],[Current Rent Gap]],Table2[[#This Row],[Current Rent Gap]],"&gt;0")</f>
        <v>0</v>
      </c>
    </row>
    <row r="284" spans="1:14" x14ac:dyDescent="0.35">
      <c r="A284" t="s">
        <v>11</v>
      </c>
      <c r="B284" t="s">
        <v>744</v>
      </c>
      <c r="C284">
        <v>3858</v>
      </c>
      <c r="D284">
        <v>3191</v>
      </c>
      <c r="E284">
        <f>Table2[[#This Row],[Due_Amount]]-Table2[[#This Row],[Paid_Amount]]</f>
        <v>667</v>
      </c>
      <c r="F284" s="1">
        <v>46003</v>
      </c>
      <c r="G284">
        <v>21</v>
      </c>
      <c r="H284">
        <f>Table2[[#This Row],[Due_Amount]]*Table2[[#This Row],[Delay_Days]]</f>
        <v>81018</v>
      </c>
      <c r="I284" s="3" t="str">
        <f>IF(Table2[[#This Row],[Delay_Days]]=0,"On Time",IF(Table2[[#This Row],[Delay_Days]]&lt;=7,"Low Risk(1-7)",IF(Table2[[#This Row],[Delay_Days]]&lt;=15,"Medium Risk(8-15)",IF(Table2[[#This Row],[Delay_Days]]&lt;=30,"High Risk(16-30)","Severe Risk(30+)"))))</f>
        <v>High Risk(16-30)</v>
      </c>
      <c r="J284" s="5">
        <f>AVERAGE(Table2[Due_Amount])</f>
        <v>4635.1866666666665</v>
      </c>
      <c r="K284" s="5">
        <f>Table2[[#This Row],[Estimated_Market_Rent]]-Table2[[#This Row],[Due_Amount]]</f>
        <v>777.1866666666665</v>
      </c>
      <c r="L284" s="6">
        <f>IF(Table2[[#This Row],[Current Rent Gap]]&gt;0,Table2[[#This Row],[Current Rent Gap]]/Table2[[#This Row],[Estimated_Market_Rent]],0)</f>
        <v>0.16767106107197405</v>
      </c>
      <c r="M284" s="3" t="str">
        <f>IF(Table2[[#This Row],[Under_Market %]]&gt;0.1,"Underpriced","OK")</f>
        <v>Underpriced</v>
      </c>
      <c r="N284" s="5">
        <f>SUMIFS(Table2[[#This Row],[Current Rent Gap]],Table2[[#This Row],[Current Rent Gap]],"&gt;0")</f>
        <v>777.1866666666665</v>
      </c>
    </row>
    <row r="285" spans="1:14" x14ac:dyDescent="0.35">
      <c r="A285" t="s">
        <v>423</v>
      </c>
      <c r="B285" t="s">
        <v>754</v>
      </c>
      <c r="C285">
        <v>5248</v>
      </c>
      <c r="D285">
        <v>4248</v>
      </c>
      <c r="E285">
        <f>Table2[[#This Row],[Due_Amount]]-Table2[[#This Row],[Paid_Amount]]</f>
        <v>1000</v>
      </c>
      <c r="F285" s="1">
        <v>45974</v>
      </c>
      <c r="G285">
        <v>12</v>
      </c>
      <c r="H285">
        <f>Table2[[#This Row],[Due_Amount]]*Table2[[#This Row],[Delay_Days]]</f>
        <v>62976</v>
      </c>
      <c r="I285" s="3" t="str">
        <f>IF(Table2[[#This Row],[Delay_Days]]=0,"On Time",IF(Table2[[#This Row],[Delay_Days]]&lt;=7,"Low Risk(1-7)",IF(Table2[[#This Row],[Delay_Days]]&lt;=15,"Medium Risk(8-15)",IF(Table2[[#This Row],[Delay_Days]]&lt;=30,"High Risk(16-30)","Severe Risk(30+)"))))</f>
        <v>Medium Risk(8-15)</v>
      </c>
      <c r="J285" s="5">
        <f>AVERAGE(Table2[Due_Amount])</f>
        <v>4635.1866666666665</v>
      </c>
      <c r="K285" s="5">
        <f>Table2[[#This Row],[Estimated_Market_Rent]]-Table2[[#This Row],[Due_Amount]]</f>
        <v>-612.8133333333335</v>
      </c>
      <c r="L285" s="6">
        <f>IF(Table2[[#This Row],[Current Rent Gap]]&gt;0,Table2[[#This Row],[Current Rent Gap]]/Table2[[#This Row],[Estimated_Market_Rent]],0)</f>
        <v>0</v>
      </c>
      <c r="M285" s="3" t="str">
        <f>IF(Table2[[#This Row],[Under_Market %]]&gt;0.1,"Underpriced","OK")</f>
        <v>OK</v>
      </c>
      <c r="N285" s="5">
        <f>SUMIFS(Table2[[#This Row],[Current Rent Gap]],Table2[[#This Row],[Current Rent Gap]],"&gt;0")</f>
        <v>0</v>
      </c>
    </row>
    <row r="286" spans="1:14" x14ac:dyDescent="0.35">
      <c r="A286" t="s">
        <v>469</v>
      </c>
      <c r="B286" t="s">
        <v>748</v>
      </c>
      <c r="C286">
        <v>6539</v>
      </c>
      <c r="D286">
        <v>6170</v>
      </c>
      <c r="E286">
        <f>Table2[[#This Row],[Due_Amount]]-Table2[[#This Row],[Paid_Amount]]</f>
        <v>369</v>
      </c>
      <c r="F286" s="1">
        <v>45750</v>
      </c>
      <c r="G286">
        <v>15</v>
      </c>
      <c r="H286">
        <f>Table2[[#This Row],[Due_Amount]]*Table2[[#This Row],[Delay_Days]]</f>
        <v>98085</v>
      </c>
      <c r="I286" s="3" t="str">
        <f>IF(Table2[[#This Row],[Delay_Days]]=0,"On Time",IF(Table2[[#This Row],[Delay_Days]]&lt;=7,"Low Risk(1-7)",IF(Table2[[#This Row],[Delay_Days]]&lt;=15,"Medium Risk(8-15)",IF(Table2[[#This Row],[Delay_Days]]&lt;=30,"High Risk(16-30)","Severe Risk(30+)"))))</f>
        <v>Medium Risk(8-15)</v>
      </c>
      <c r="J286" s="5">
        <f>AVERAGE(Table2[Due_Amount])</f>
        <v>4635.1866666666665</v>
      </c>
      <c r="K286" s="5">
        <f>Table2[[#This Row],[Estimated_Market_Rent]]-Table2[[#This Row],[Due_Amount]]</f>
        <v>-1903.8133333333335</v>
      </c>
      <c r="L286" s="6">
        <f>IF(Table2[[#This Row],[Current Rent Gap]]&gt;0,Table2[[#This Row],[Current Rent Gap]]/Table2[[#This Row],[Estimated_Market_Rent]],0)</f>
        <v>0</v>
      </c>
      <c r="M286" s="3" t="str">
        <f>IF(Table2[[#This Row],[Under_Market %]]&gt;0.1,"Underpriced","OK")</f>
        <v>OK</v>
      </c>
      <c r="N286" s="5">
        <f>SUMIFS(Table2[[#This Row],[Current Rent Gap]],Table2[[#This Row],[Current Rent Gap]],"&gt;0")</f>
        <v>0</v>
      </c>
    </row>
    <row r="287" spans="1:14" x14ac:dyDescent="0.35">
      <c r="A287" t="s">
        <v>682</v>
      </c>
      <c r="B287" t="s">
        <v>753</v>
      </c>
      <c r="C287">
        <v>2437</v>
      </c>
      <c r="D287">
        <v>1459</v>
      </c>
      <c r="E287">
        <f>Table2[[#This Row],[Due_Amount]]-Table2[[#This Row],[Paid_Amount]]</f>
        <v>978</v>
      </c>
      <c r="F287" s="1">
        <v>46004</v>
      </c>
      <c r="G287">
        <v>24</v>
      </c>
      <c r="H287">
        <f>Table2[[#This Row],[Due_Amount]]*Table2[[#This Row],[Delay_Days]]</f>
        <v>58488</v>
      </c>
      <c r="I287" s="3" t="str">
        <f>IF(Table2[[#This Row],[Delay_Days]]=0,"On Time",IF(Table2[[#This Row],[Delay_Days]]&lt;=7,"Low Risk(1-7)",IF(Table2[[#This Row],[Delay_Days]]&lt;=15,"Medium Risk(8-15)",IF(Table2[[#This Row],[Delay_Days]]&lt;=30,"High Risk(16-30)","Severe Risk(30+)"))))</f>
        <v>High Risk(16-30)</v>
      </c>
      <c r="J287" s="5">
        <f>AVERAGE(Table2[Due_Amount])</f>
        <v>4635.1866666666665</v>
      </c>
      <c r="K287" s="5">
        <f>Table2[[#This Row],[Estimated_Market_Rent]]-Table2[[#This Row],[Due_Amount]]</f>
        <v>2198.1866666666665</v>
      </c>
      <c r="L287" s="6">
        <f>IF(Table2[[#This Row],[Current Rent Gap]]&gt;0,Table2[[#This Row],[Current Rent Gap]]/Table2[[#This Row],[Estimated_Market_Rent]],0)</f>
        <v>0.47423908134587889</v>
      </c>
      <c r="M287" s="3" t="str">
        <f>IF(Table2[[#This Row],[Under_Market %]]&gt;0.1,"Underpriced","OK")</f>
        <v>Underpriced</v>
      </c>
      <c r="N287" s="5">
        <f>SUMIFS(Table2[[#This Row],[Current Rent Gap]],Table2[[#This Row],[Current Rent Gap]],"&gt;0")</f>
        <v>2198.1866666666665</v>
      </c>
    </row>
    <row r="288" spans="1:14" x14ac:dyDescent="0.35">
      <c r="A288" t="s">
        <v>352</v>
      </c>
      <c r="B288" t="s">
        <v>747</v>
      </c>
      <c r="C288">
        <v>5895</v>
      </c>
      <c r="D288">
        <v>5895</v>
      </c>
      <c r="E288">
        <f>Table2[[#This Row],[Due_Amount]]-Table2[[#This Row],[Paid_Amount]]</f>
        <v>0</v>
      </c>
      <c r="F288" s="1">
        <v>45935</v>
      </c>
      <c r="G288">
        <v>6</v>
      </c>
      <c r="H288">
        <f>Table2[[#This Row],[Due_Amount]]*Table2[[#This Row],[Delay_Days]]</f>
        <v>35370</v>
      </c>
      <c r="I288" s="3" t="str">
        <f>IF(Table2[[#This Row],[Delay_Days]]=0,"On Time",IF(Table2[[#This Row],[Delay_Days]]&lt;=7,"Low Risk(1-7)",IF(Table2[[#This Row],[Delay_Days]]&lt;=15,"Medium Risk(8-15)",IF(Table2[[#This Row],[Delay_Days]]&lt;=30,"High Risk(16-30)","Severe Risk(30+)"))))</f>
        <v>Low Risk(1-7)</v>
      </c>
      <c r="J288" s="5">
        <f>AVERAGE(Table2[Due_Amount])</f>
        <v>4635.1866666666665</v>
      </c>
      <c r="K288" s="5">
        <f>Table2[[#This Row],[Estimated_Market_Rent]]-Table2[[#This Row],[Due_Amount]]</f>
        <v>-1259.8133333333335</v>
      </c>
      <c r="L288" s="6">
        <f>IF(Table2[[#This Row],[Current Rent Gap]]&gt;0,Table2[[#This Row],[Current Rent Gap]]/Table2[[#This Row],[Estimated_Market_Rent]],0)</f>
        <v>0</v>
      </c>
      <c r="M288" s="3" t="str">
        <f>IF(Table2[[#This Row],[Under_Market %]]&gt;0.1,"Underpriced","OK")</f>
        <v>OK</v>
      </c>
      <c r="N288" s="5">
        <f>SUMIFS(Table2[[#This Row],[Current Rent Gap]],Table2[[#This Row],[Current Rent Gap]],"&gt;0")</f>
        <v>0</v>
      </c>
    </row>
    <row r="289" spans="1:14" x14ac:dyDescent="0.35">
      <c r="A289" t="s">
        <v>19</v>
      </c>
      <c r="B289" t="s">
        <v>745</v>
      </c>
      <c r="C289">
        <v>4230</v>
      </c>
      <c r="D289">
        <v>4230</v>
      </c>
      <c r="E289">
        <f>Table2[[#This Row],[Due_Amount]]-Table2[[#This Row],[Paid_Amount]]</f>
        <v>0</v>
      </c>
      <c r="F289" s="1">
        <v>45738</v>
      </c>
      <c r="G289">
        <v>8</v>
      </c>
      <c r="H289">
        <f>Table2[[#This Row],[Due_Amount]]*Table2[[#This Row],[Delay_Days]]</f>
        <v>33840</v>
      </c>
      <c r="I289" s="3" t="str">
        <f>IF(Table2[[#This Row],[Delay_Days]]=0,"On Time",IF(Table2[[#This Row],[Delay_Days]]&lt;=7,"Low Risk(1-7)",IF(Table2[[#This Row],[Delay_Days]]&lt;=15,"Medium Risk(8-15)",IF(Table2[[#This Row],[Delay_Days]]&lt;=30,"High Risk(16-30)","Severe Risk(30+)"))))</f>
        <v>Medium Risk(8-15)</v>
      </c>
      <c r="J289" s="5">
        <f>AVERAGE(Table2[Due_Amount])</f>
        <v>4635.1866666666665</v>
      </c>
      <c r="K289" s="5">
        <f>Table2[[#This Row],[Estimated_Market_Rent]]-Table2[[#This Row],[Due_Amount]]</f>
        <v>405.1866666666665</v>
      </c>
      <c r="L289" s="6">
        <f>IF(Table2[[#This Row],[Current Rent Gap]]&gt;0,Table2[[#This Row],[Current Rent Gap]]/Table2[[#This Row],[Estimated_Market_Rent]],0)</f>
        <v>8.7415393554808263E-2</v>
      </c>
      <c r="M289" s="3" t="str">
        <f>IF(Table2[[#This Row],[Under_Market %]]&gt;0.1,"Underpriced","OK")</f>
        <v>OK</v>
      </c>
      <c r="N289" s="5">
        <f>SUMIFS(Table2[[#This Row],[Current Rent Gap]],Table2[[#This Row],[Current Rent Gap]],"&gt;0")</f>
        <v>405.1866666666665</v>
      </c>
    </row>
    <row r="290" spans="1:14" x14ac:dyDescent="0.35">
      <c r="A290" t="s">
        <v>44</v>
      </c>
      <c r="B290" t="s">
        <v>747</v>
      </c>
      <c r="C290">
        <v>2255</v>
      </c>
      <c r="D290">
        <v>1578</v>
      </c>
      <c r="E290">
        <f>Table2[[#This Row],[Due_Amount]]-Table2[[#This Row],[Paid_Amount]]</f>
        <v>677</v>
      </c>
      <c r="F290" s="1">
        <v>45963</v>
      </c>
      <c r="G290">
        <v>24</v>
      </c>
      <c r="H290">
        <f>Table2[[#This Row],[Due_Amount]]*Table2[[#This Row],[Delay_Days]]</f>
        <v>54120</v>
      </c>
      <c r="I290" s="3" t="str">
        <f>IF(Table2[[#This Row],[Delay_Days]]=0,"On Time",IF(Table2[[#This Row],[Delay_Days]]&lt;=7,"Low Risk(1-7)",IF(Table2[[#This Row],[Delay_Days]]&lt;=15,"Medium Risk(8-15)",IF(Table2[[#This Row],[Delay_Days]]&lt;=30,"High Risk(16-30)","Severe Risk(30+)"))))</f>
        <v>High Risk(16-30)</v>
      </c>
      <c r="J290" s="5">
        <f>AVERAGE(Table2[Due_Amount])</f>
        <v>4635.1866666666665</v>
      </c>
      <c r="K290" s="5">
        <f>Table2[[#This Row],[Estimated_Market_Rent]]-Table2[[#This Row],[Due_Amount]]</f>
        <v>2380.1866666666665</v>
      </c>
      <c r="L290" s="6">
        <f>IF(Table2[[#This Row],[Current Rent Gap]]&gt;0,Table2[[#This Row],[Current Rent Gap]]/Table2[[#This Row],[Estimated_Market_Rent]],0)</f>
        <v>0.51350395093761059</v>
      </c>
      <c r="M290" s="3" t="str">
        <f>IF(Table2[[#This Row],[Under_Market %]]&gt;0.1,"Underpriced","OK")</f>
        <v>Underpriced</v>
      </c>
      <c r="N290" s="5">
        <f>SUMIFS(Table2[[#This Row],[Current Rent Gap]],Table2[[#This Row],[Current Rent Gap]],"&gt;0")</f>
        <v>2380.1866666666665</v>
      </c>
    </row>
    <row r="291" spans="1:14" x14ac:dyDescent="0.35">
      <c r="A291" t="s">
        <v>652</v>
      </c>
      <c r="B291" t="s">
        <v>746</v>
      </c>
      <c r="C291">
        <v>5377</v>
      </c>
      <c r="D291">
        <v>5274</v>
      </c>
      <c r="E291">
        <f>Table2[[#This Row],[Due_Amount]]-Table2[[#This Row],[Paid_Amount]]</f>
        <v>103</v>
      </c>
      <c r="F291" s="1">
        <v>45760</v>
      </c>
      <c r="G291">
        <v>15</v>
      </c>
      <c r="H291">
        <f>Table2[[#This Row],[Due_Amount]]*Table2[[#This Row],[Delay_Days]]</f>
        <v>80655</v>
      </c>
      <c r="I291" s="3" t="str">
        <f>IF(Table2[[#This Row],[Delay_Days]]=0,"On Time",IF(Table2[[#This Row],[Delay_Days]]&lt;=7,"Low Risk(1-7)",IF(Table2[[#This Row],[Delay_Days]]&lt;=15,"Medium Risk(8-15)",IF(Table2[[#This Row],[Delay_Days]]&lt;=30,"High Risk(16-30)","Severe Risk(30+)"))))</f>
        <v>Medium Risk(8-15)</v>
      </c>
      <c r="J291" s="5">
        <f>AVERAGE(Table2[Due_Amount])</f>
        <v>4635.1866666666665</v>
      </c>
      <c r="K291" s="5">
        <f>Table2[[#This Row],[Estimated_Market_Rent]]-Table2[[#This Row],[Due_Amount]]</f>
        <v>-741.8133333333335</v>
      </c>
      <c r="L291" s="6">
        <f>IF(Table2[[#This Row],[Current Rent Gap]]&gt;0,Table2[[#This Row],[Current Rent Gap]]/Table2[[#This Row],[Estimated_Market_Rent]],0)</f>
        <v>0</v>
      </c>
      <c r="M291" s="3" t="str">
        <f>IF(Table2[[#This Row],[Under_Market %]]&gt;0.1,"Underpriced","OK")</f>
        <v>OK</v>
      </c>
      <c r="N291" s="5">
        <f>SUMIFS(Table2[[#This Row],[Current Rent Gap]],Table2[[#This Row],[Current Rent Gap]],"&gt;0")</f>
        <v>0</v>
      </c>
    </row>
    <row r="292" spans="1:14" x14ac:dyDescent="0.35">
      <c r="A292" t="s">
        <v>701</v>
      </c>
      <c r="B292" t="s">
        <v>747</v>
      </c>
      <c r="C292">
        <v>4687</v>
      </c>
      <c r="D292">
        <v>3688</v>
      </c>
      <c r="E292">
        <f>Table2[[#This Row],[Due_Amount]]-Table2[[#This Row],[Paid_Amount]]</f>
        <v>999</v>
      </c>
      <c r="F292" s="1">
        <v>46019</v>
      </c>
      <c r="G292">
        <v>18</v>
      </c>
      <c r="H292">
        <f>Table2[[#This Row],[Due_Amount]]*Table2[[#This Row],[Delay_Days]]</f>
        <v>84366</v>
      </c>
      <c r="I292" s="3" t="str">
        <f>IF(Table2[[#This Row],[Delay_Days]]=0,"On Time",IF(Table2[[#This Row],[Delay_Days]]&lt;=7,"Low Risk(1-7)",IF(Table2[[#This Row],[Delay_Days]]&lt;=15,"Medium Risk(8-15)",IF(Table2[[#This Row],[Delay_Days]]&lt;=30,"High Risk(16-30)","Severe Risk(30+)"))))</f>
        <v>High Risk(16-30)</v>
      </c>
      <c r="J292" s="5">
        <f>AVERAGE(Table2[Due_Amount])</f>
        <v>4635.1866666666665</v>
      </c>
      <c r="K292" s="5">
        <f>Table2[[#This Row],[Estimated_Market_Rent]]-Table2[[#This Row],[Due_Amount]]</f>
        <v>-51.813333333333503</v>
      </c>
      <c r="L292" s="6">
        <f>IF(Table2[[#This Row],[Current Rent Gap]]&gt;0,Table2[[#This Row],[Current Rent Gap]]/Table2[[#This Row],[Estimated_Market_Rent]],0)</f>
        <v>0</v>
      </c>
      <c r="M292" s="3" t="str">
        <f>IF(Table2[[#This Row],[Under_Market %]]&gt;0.1,"Underpriced","OK")</f>
        <v>OK</v>
      </c>
      <c r="N292" s="5">
        <f>SUMIFS(Table2[[#This Row],[Current Rent Gap]],Table2[[#This Row],[Current Rent Gap]],"&gt;0")</f>
        <v>0</v>
      </c>
    </row>
    <row r="293" spans="1:14" x14ac:dyDescent="0.35">
      <c r="A293" t="s">
        <v>415</v>
      </c>
      <c r="B293" t="s">
        <v>754</v>
      </c>
      <c r="C293">
        <v>2935</v>
      </c>
      <c r="D293">
        <v>2463</v>
      </c>
      <c r="E293">
        <f>Table2[[#This Row],[Due_Amount]]-Table2[[#This Row],[Paid_Amount]]</f>
        <v>472</v>
      </c>
      <c r="F293" s="1">
        <v>45698</v>
      </c>
      <c r="G293">
        <v>13</v>
      </c>
      <c r="H293">
        <f>Table2[[#This Row],[Due_Amount]]*Table2[[#This Row],[Delay_Days]]</f>
        <v>38155</v>
      </c>
      <c r="I293" s="3" t="str">
        <f>IF(Table2[[#This Row],[Delay_Days]]=0,"On Time",IF(Table2[[#This Row],[Delay_Days]]&lt;=7,"Low Risk(1-7)",IF(Table2[[#This Row],[Delay_Days]]&lt;=15,"Medium Risk(8-15)",IF(Table2[[#This Row],[Delay_Days]]&lt;=30,"High Risk(16-30)","Severe Risk(30+)"))))</f>
        <v>Medium Risk(8-15)</v>
      </c>
      <c r="J293" s="5">
        <f>AVERAGE(Table2[Due_Amount])</f>
        <v>4635.1866666666665</v>
      </c>
      <c r="K293" s="5">
        <f>Table2[[#This Row],[Estimated_Market_Rent]]-Table2[[#This Row],[Due_Amount]]</f>
        <v>1700.1866666666665</v>
      </c>
      <c r="L293" s="6">
        <f>IF(Table2[[#This Row],[Current Rent Gap]]&gt;0,Table2[[#This Row],[Current Rent Gap]]/Table2[[#This Row],[Estimated_Market_Rent]],0)</f>
        <v>0.36680004257289889</v>
      </c>
      <c r="M293" s="3" t="str">
        <f>IF(Table2[[#This Row],[Under_Market %]]&gt;0.1,"Underpriced","OK")</f>
        <v>Underpriced</v>
      </c>
      <c r="N293" s="5">
        <f>SUMIFS(Table2[[#This Row],[Current Rent Gap]],Table2[[#This Row],[Current Rent Gap]],"&gt;0")</f>
        <v>1700.1866666666665</v>
      </c>
    </row>
    <row r="294" spans="1:14" x14ac:dyDescent="0.35">
      <c r="A294" t="s">
        <v>497</v>
      </c>
      <c r="B294" t="s">
        <v>746</v>
      </c>
      <c r="C294">
        <v>3507</v>
      </c>
      <c r="D294">
        <v>3236</v>
      </c>
      <c r="E294">
        <f>Table2[[#This Row],[Due_Amount]]-Table2[[#This Row],[Paid_Amount]]</f>
        <v>271</v>
      </c>
      <c r="F294" s="1">
        <v>45828</v>
      </c>
      <c r="G294">
        <v>19</v>
      </c>
      <c r="H294">
        <f>Table2[[#This Row],[Due_Amount]]*Table2[[#This Row],[Delay_Days]]</f>
        <v>66633</v>
      </c>
      <c r="I294" s="3" t="str">
        <f>IF(Table2[[#This Row],[Delay_Days]]=0,"On Time",IF(Table2[[#This Row],[Delay_Days]]&lt;=7,"Low Risk(1-7)",IF(Table2[[#This Row],[Delay_Days]]&lt;=15,"Medium Risk(8-15)",IF(Table2[[#This Row],[Delay_Days]]&lt;=30,"High Risk(16-30)","Severe Risk(30+)"))))</f>
        <v>High Risk(16-30)</v>
      </c>
      <c r="J294" s="5">
        <f>AVERAGE(Table2[Due_Amount])</f>
        <v>4635.1866666666665</v>
      </c>
      <c r="K294" s="5">
        <f>Table2[[#This Row],[Estimated_Market_Rent]]-Table2[[#This Row],[Due_Amount]]</f>
        <v>1128.1866666666665</v>
      </c>
      <c r="L294" s="6">
        <f>IF(Table2[[#This Row],[Current Rent Gap]]&gt;0,Table2[[#This Row],[Current Rent Gap]]/Table2[[#This Row],[Estimated_Market_Rent]],0)</f>
        <v>0.24339616671317083</v>
      </c>
      <c r="M294" s="3" t="str">
        <f>IF(Table2[[#This Row],[Under_Market %]]&gt;0.1,"Underpriced","OK")</f>
        <v>Underpriced</v>
      </c>
      <c r="N294" s="5">
        <f>SUMIFS(Table2[[#This Row],[Current Rent Gap]],Table2[[#This Row],[Current Rent Gap]],"&gt;0")</f>
        <v>1128.1866666666665</v>
      </c>
    </row>
    <row r="295" spans="1:14" x14ac:dyDescent="0.35">
      <c r="A295" t="s">
        <v>696</v>
      </c>
      <c r="B295" t="s">
        <v>753</v>
      </c>
      <c r="C295">
        <v>5012</v>
      </c>
      <c r="D295">
        <v>5012</v>
      </c>
      <c r="E295">
        <f>Table2[[#This Row],[Due_Amount]]-Table2[[#This Row],[Paid_Amount]]</f>
        <v>0</v>
      </c>
      <c r="F295" s="1">
        <v>45894</v>
      </c>
      <c r="G295">
        <v>5</v>
      </c>
      <c r="H295">
        <f>Table2[[#This Row],[Due_Amount]]*Table2[[#This Row],[Delay_Days]]</f>
        <v>25060</v>
      </c>
      <c r="I295" s="3" t="str">
        <f>IF(Table2[[#This Row],[Delay_Days]]=0,"On Time",IF(Table2[[#This Row],[Delay_Days]]&lt;=7,"Low Risk(1-7)",IF(Table2[[#This Row],[Delay_Days]]&lt;=15,"Medium Risk(8-15)",IF(Table2[[#This Row],[Delay_Days]]&lt;=30,"High Risk(16-30)","Severe Risk(30+)"))))</f>
        <v>Low Risk(1-7)</v>
      </c>
      <c r="J295" s="5">
        <f>AVERAGE(Table2[Due_Amount])</f>
        <v>4635.1866666666665</v>
      </c>
      <c r="K295" s="5">
        <f>Table2[[#This Row],[Estimated_Market_Rent]]-Table2[[#This Row],[Due_Amount]]</f>
        <v>-376.8133333333335</v>
      </c>
      <c r="L295" s="6">
        <f>IF(Table2[[#This Row],[Current Rent Gap]]&gt;0,Table2[[#This Row],[Current Rent Gap]]/Table2[[#This Row],[Estimated_Market_Rent]],0)</f>
        <v>0</v>
      </c>
      <c r="M295" s="3" t="str">
        <f>IF(Table2[[#This Row],[Under_Market %]]&gt;0.1,"Underpriced","OK")</f>
        <v>OK</v>
      </c>
      <c r="N295" s="5">
        <f>SUMIFS(Table2[[#This Row],[Current Rent Gap]],Table2[[#This Row],[Current Rent Gap]],"&gt;0")</f>
        <v>0</v>
      </c>
    </row>
    <row r="296" spans="1:14" x14ac:dyDescent="0.35">
      <c r="A296" t="s">
        <v>722</v>
      </c>
      <c r="B296" t="s">
        <v>751</v>
      </c>
      <c r="C296">
        <v>2126</v>
      </c>
      <c r="D296">
        <v>1367</v>
      </c>
      <c r="E296">
        <f>Table2[[#This Row],[Due_Amount]]-Table2[[#This Row],[Paid_Amount]]</f>
        <v>759</v>
      </c>
      <c r="F296" s="1">
        <v>45972</v>
      </c>
      <c r="G296">
        <v>13</v>
      </c>
      <c r="H296">
        <f>Table2[[#This Row],[Due_Amount]]*Table2[[#This Row],[Delay_Days]]</f>
        <v>27638</v>
      </c>
      <c r="I296" s="3" t="str">
        <f>IF(Table2[[#This Row],[Delay_Days]]=0,"On Time",IF(Table2[[#This Row],[Delay_Days]]&lt;=7,"Low Risk(1-7)",IF(Table2[[#This Row],[Delay_Days]]&lt;=15,"Medium Risk(8-15)",IF(Table2[[#This Row],[Delay_Days]]&lt;=30,"High Risk(16-30)","Severe Risk(30+)"))))</f>
        <v>Medium Risk(8-15)</v>
      </c>
      <c r="J296" s="5">
        <f>AVERAGE(Table2[Due_Amount])</f>
        <v>4635.1866666666665</v>
      </c>
      <c r="K296" s="5">
        <f>Table2[[#This Row],[Estimated_Market_Rent]]-Table2[[#This Row],[Due_Amount]]</f>
        <v>2509.1866666666665</v>
      </c>
      <c r="L296" s="6">
        <f>IF(Table2[[#This Row],[Current Rent Gap]]&gt;0,Table2[[#This Row],[Current Rent Gap]]/Table2[[#This Row],[Estimated_Market_Rent]],0)</f>
        <v>0.54133454531856318</v>
      </c>
      <c r="M296" s="3" t="str">
        <f>IF(Table2[[#This Row],[Under_Market %]]&gt;0.1,"Underpriced","OK")</f>
        <v>Underpriced</v>
      </c>
      <c r="N296" s="5">
        <f>SUMIFS(Table2[[#This Row],[Current Rent Gap]],Table2[[#This Row],[Current Rent Gap]],"&gt;0")</f>
        <v>2509.1866666666665</v>
      </c>
    </row>
    <row r="297" spans="1:14" x14ac:dyDescent="0.35">
      <c r="A297" t="s">
        <v>117</v>
      </c>
      <c r="B297" t="s">
        <v>747</v>
      </c>
      <c r="C297">
        <v>5927</v>
      </c>
      <c r="D297">
        <v>5447</v>
      </c>
      <c r="E297">
        <f>Table2[[#This Row],[Due_Amount]]-Table2[[#This Row],[Paid_Amount]]</f>
        <v>480</v>
      </c>
      <c r="F297" s="1">
        <v>45949</v>
      </c>
      <c r="G297">
        <v>22</v>
      </c>
      <c r="H297">
        <f>Table2[[#This Row],[Due_Amount]]*Table2[[#This Row],[Delay_Days]]</f>
        <v>130394</v>
      </c>
      <c r="I297" s="3" t="str">
        <f>IF(Table2[[#This Row],[Delay_Days]]=0,"On Time",IF(Table2[[#This Row],[Delay_Days]]&lt;=7,"Low Risk(1-7)",IF(Table2[[#This Row],[Delay_Days]]&lt;=15,"Medium Risk(8-15)",IF(Table2[[#This Row],[Delay_Days]]&lt;=30,"High Risk(16-30)","Severe Risk(30+)"))))</f>
        <v>High Risk(16-30)</v>
      </c>
      <c r="J297" s="5">
        <f>AVERAGE(Table2[Due_Amount])</f>
        <v>4635.1866666666665</v>
      </c>
      <c r="K297" s="5">
        <f>Table2[[#This Row],[Estimated_Market_Rent]]-Table2[[#This Row],[Due_Amount]]</f>
        <v>-1291.8133333333335</v>
      </c>
      <c r="L297" s="6">
        <f>IF(Table2[[#This Row],[Current Rent Gap]]&gt;0,Table2[[#This Row],[Current Rent Gap]]/Table2[[#This Row],[Estimated_Market_Rent]],0)</f>
        <v>0</v>
      </c>
      <c r="M297" s="3" t="str">
        <f>IF(Table2[[#This Row],[Under_Market %]]&gt;0.1,"Underpriced","OK")</f>
        <v>OK</v>
      </c>
      <c r="N297" s="5">
        <f>SUMIFS(Table2[[#This Row],[Current Rent Gap]],Table2[[#This Row],[Current Rent Gap]],"&gt;0")</f>
        <v>0</v>
      </c>
    </row>
    <row r="298" spans="1:14" x14ac:dyDescent="0.35">
      <c r="A298" t="s">
        <v>44</v>
      </c>
      <c r="B298" t="s">
        <v>747</v>
      </c>
      <c r="C298">
        <v>4953</v>
      </c>
      <c r="D298">
        <v>4096</v>
      </c>
      <c r="E298">
        <f>Table2[[#This Row],[Due_Amount]]-Table2[[#This Row],[Paid_Amount]]</f>
        <v>857</v>
      </c>
      <c r="F298" s="1">
        <v>45730</v>
      </c>
      <c r="G298">
        <v>22</v>
      </c>
      <c r="H298">
        <f>Table2[[#This Row],[Due_Amount]]*Table2[[#This Row],[Delay_Days]]</f>
        <v>108966</v>
      </c>
      <c r="I298" s="3" t="str">
        <f>IF(Table2[[#This Row],[Delay_Days]]=0,"On Time",IF(Table2[[#This Row],[Delay_Days]]&lt;=7,"Low Risk(1-7)",IF(Table2[[#This Row],[Delay_Days]]&lt;=15,"Medium Risk(8-15)",IF(Table2[[#This Row],[Delay_Days]]&lt;=30,"High Risk(16-30)","Severe Risk(30+)"))))</f>
        <v>High Risk(16-30)</v>
      </c>
      <c r="J298" s="5">
        <f>AVERAGE(Table2[Due_Amount])</f>
        <v>4635.1866666666665</v>
      </c>
      <c r="K298" s="5">
        <f>Table2[[#This Row],[Estimated_Market_Rent]]-Table2[[#This Row],[Due_Amount]]</f>
        <v>-317.8133333333335</v>
      </c>
      <c r="L298" s="6">
        <f>IF(Table2[[#This Row],[Current Rent Gap]]&gt;0,Table2[[#This Row],[Current Rent Gap]]/Table2[[#This Row],[Estimated_Market_Rent]],0)</f>
        <v>0</v>
      </c>
      <c r="M298" s="3" t="str">
        <f>IF(Table2[[#This Row],[Under_Market %]]&gt;0.1,"Underpriced","OK")</f>
        <v>OK</v>
      </c>
      <c r="N298" s="5">
        <f>SUMIFS(Table2[[#This Row],[Current Rent Gap]],Table2[[#This Row],[Current Rent Gap]],"&gt;0")</f>
        <v>0</v>
      </c>
    </row>
    <row r="299" spans="1:14" x14ac:dyDescent="0.35">
      <c r="A299" t="s">
        <v>266</v>
      </c>
      <c r="B299" t="s">
        <v>748</v>
      </c>
      <c r="C299">
        <v>6354</v>
      </c>
      <c r="D299">
        <v>5724</v>
      </c>
      <c r="E299">
        <f>Table2[[#This Row],[Due_Amount]]-Table2[[#This Row],[Paid_Amount]]</f>
        <v>630</v>
      </c>
      <c r="F299" s="1">
        <v>45774</v>
      </c>
      <c r="G299">
        <v>17</v>
      </c>
      <c r="H299">
        <f>Table2[[#This Row],[Due_Amount]]*Table2[[#This Row],[Delay_Days]]</f>
        <v>108018</v>
      </c>
      <c r="I299" s="3" t="str">
        <f>IF(Table2[[#This Row],[Delay_Days]]=0,"On Time",IF(Table2[[#This Row],[Delay_Days]]&lt;=7,"Low Risk(1-7)",IF(Table2[[#This Row],[Delay_Days]]&lt;=15,"Medium Risk(8-15)",IF(Table2[[#This Row],[Delay_Days]]&lt;=30,"High Risk(16-30)","Severe Risk(30+)"))))</f>
        <v>High Risk(16-30)</v>
      </c>
      <c r="J299" s="5">
        <f>AVERAGE(Table2[Due_Amount])</f>
        <v>4635.1866666666665</v>
      </c>
      <c r="K299" s="5">
        <f>Table2[[#This Row],[Estimated_Market_Rent]]-Table2[[#This Row],[Due_Amount]]</f>
        <v>-1718.8133333333335</v>
      </c>
      <c r="L299" s="6">
        <f>IF(Table2[[#This Row],[Current Rent Gap]]&gt;0,Table2[[#This Row],[Current Rent Gap]]/Table2[[#This Row],[Estimated_Market_Rent]],0)</f>
        <v>0</v>
      </c>
      <c r="M299" s="3" t="str">
        <f>IF(Table2[[#This Row],[Under_Market %]]&gt;0.1,"Underpriced","OK")</f>
        <v>OK</v>
      </c>
      <c r="N299" s="5">
        <f>SUMIFS(Table2[[#This Row],[Current Rent Gap]],Table2[[#This Row],[Current Rent Gap]],"&gt;0")</f>
        <v>0</v>
      </c>
    </row>
    <row r="300" spans="1:14" x14ac:dyDescent="0.35">
      <c r="A300" t="s">
        <v>580</v>
      </c>
      <c r="B300" t="s">
        <v>744</v>
      </c>
      <c r="C300">
        <v>3139</v>
      </c>
      <c r="D300">
        <v>2818</v>
      </c>
      <c r="E300">
        <f>Table2[[#This Row],[Due_Amount]]-Table2[[#This Row],[Paid_Amount]]</f>
        <v>321</v>
      </c>
      <c r="F300" s="1">
        <v>45866</v>
      </c>
      <c r="G300">
        <v>16</v>
      </c>
      <c r="H300">
        <f>Table2[[#This Row],[Due_Amount]]*Table2[[#This Row],[Delay_Days]]</f>
        <v>50224</v>
      </c>
      <c r="I300" s="3" t="str">
        <f>IF(Table2[[#This Row],[Delay_Days]]=0,"On Time",IF(Table2[[#This Row],[Delay_Days]]&lt;=7,"Low Risk(1-7)",IF(Table2[[#This Row],[Delay_Days]]&lt;=15,"Medium Risk(8-15)",IF(Table2[[#This Row],[Delay_Days]]&lt;=30,"High Risk(16-30)","Severe Risk(30+)"))))</f>
        <v>High Risk(16-30)</v>
      </c>
      <c r="J300" s="5">
        <f>AVERAGE(Table2[Due_Amount])</f>
        <v>4635.1866666666665</v>
      </c>
      <c r="K300" s="5">
        <f>Table2[[#This Row],[Estimated_Market_Rent]]-Table2[[#This Row],[Due_Amount]]</f>
        <v>1496.1866666666665</v>
      </c>
      <c r="L300" s="6">
        <f>IF(Table2[[#This Row],[Current Rent Gap]]&gt;0,Table2[[#This Row],[Current Rent Gap]]/Table2[[#This Row],[Estimated_Market_Rent]],0)</f>
        <v>0.32278887006348539</v>
      </c>
      <c r="M300" s="3" t="str">
        <f>IF(Table2[[#This Row],[Under_Market %]]&gt;0.1,"Underpriced","OK")</f>
        <v>Underpriced</v>
      </c>
      <c r="N300" s="5">
        <f>SUMIFS(Table2[[#This Row],[Current Rent Gap]],Table2[[#This Row],[Current Rent Gap]],"&gt;0")</f>
        <v>1496.1866666666665</v>
      </c>
    </row>
    <row r="301" spans="1:14" x14ac:dyDescent="0.35">
      <c r="A301" t="s">
        <v>231</v>
      </c>
      <c r="B301" t="s">
        <v>752</v>
      </c>
      <c r="C301">
        <v>3271</v>
      </c>
      <c r="D301">
        <v>3004</v>
      </c>
      <c r="E301">
        <f>Table2[[#This Row],[Due_Amount]]-Table2[[#This Row],[Paid_Amount]]</f>
        <v>267</v>
      </c>
      <c r="F301" s="1">
        <v>45732</v>
      </c>
      <c r="G301">
        <v>19</v>
      </c>
      <c r="H301">
        <f>Table2[[#This Row],[Due_Amount]]*Table2[[#This Row],[Delay_Days]]</f>
        <v>62149</v>
      </c>
      <c r="I301" s="3" t="str">
        <f>IF(Table2[[#This Row],[Delay_Days]]=0,"On Time",IF(Table2[[#This Row],[Delay_Days]]&lt;=7,"Low Risk(1-7)",IF(Table2[[#This Row],[Delay_Days]]&lt;=15,"Medium Risk(8-15)",IF(Table2[[#This Row],[Delay_Days]]&lt;=30,"High Risk(16-30)","Severe Risk(30+)"))))</f>
        <v>High Risk(16-30)</v>
      </c>
      <c r="J301" s="5">
        <f>AVERAGE(Table2[Due_Amount])</f>
        <v>4635.1866666666665</v>
      </c>
      <c r="K301" s="5">
        <f>Table2[[#This Row],[Estimated_Market_Rent]]-Table2[[#This Row],[Due_Amount]]</f>
        <v>1364.1866666666665</v>
      </c>
      <c r="L301" s="6">
        <f>IF(Table2[[#This Row],[Current Rent Gap]]&gt;0,Table2[[#This Row],[Current Rent Gap]]/Table2[[#This Row],[Estimated_Market_Rent]],0)</f>
        <v>0.29431105255739426</v>
      </c>
      <c r="M301" s="3" t="str">
        <f>IF(Table2[[#This Row],[Under_Market %]]&gt;0.1,"Underpriced","OK")</f>
        <v>Underpriced</v>
      </c>
      <c r="N301" s="5">
        <f>SUMIFS(Table2[[#This Row],[Current Rent Gap]],Table2[[#This Row],[Current Rent Gap]],"&gt;0")</f>
        <v>1364.1866666666665</v>
      </c>
    </row>
    <row r="302" spans="1:14" x14ac:dyDescent="0.35">
      <c r="A302" t="s">
        <v>100</v>
      </c>
      <c r="B302" t="s">
        <v>749</v>
      </c>
      <c r="C302">
        <v>3110</v>
      </c>
      <c r="D302">
        <v>2337</v>
      </c>
      <c r="E302">
        <f>Table2[[#This Row],[Due_Amount]]-Table2[[#This Row],[Paid_Amount]]</f>
        <v>773</v>
      </c>
      <c r="F302" s="1">
        <v>45791</v>
      </c>
      <c r="G302">
        <v>25</v>
      </c>
      <c r="H302">
        <f>Table2[[#This Row],[Due_Amount]]*Table2[[#This Row],[Delay_Days]]</f>
        <v>77750</v>
      </c>
      <c r="I302" s="3" t="str">
        <f>IF(Table2[[#This Row],[Delay_Days]]=0,"On Time",IF(Table2[[#This Row],[Delay_Days]]&lt;=7,"Low Risk(1-7)",IF(Table2[[#This Row],[Delay_Days]]&lt;=15,"Medium Risk(8-15)",IF(Table2[[#This Row],[Delay_Days]]&lt;=30,"High Risk(16-30)","Severe Risk(30+)"))))</f>
        <v>High Risk(16-30)</v>
      </c>
      <c r="J302" s="5">
        <f>AVERAGE(Table2[Due_Amount])</f>
        <v>4635.1866666666665</v>
      </c>
      <c r="K302" s="5">
        <f>Table2[[#This Row],[Estimated_Market_Rent]]-Table2[[#This Row],[Due_Amount]]</f>
        <v>1525.1866666666665</v>
      </c>
      <c r="L302" s="6">
        <f>IF(Table2[[#This Row],[Current Rent Gap]]&gt;0,Table2[[#This Row],[Current Rent Gap]]/Table2[[#This Row],[Estimated_Market_Rent]],0)</f>
        <v>0.32904536027315689</v>
      </c>
      <c r="M302" s="3" t="str">
        <f>IF(Table2[[#This Row],[Under_Market %]]&gt;0.1,"Underpriced","OK")</f>
        <v>Underpriced</v>
      </c>
      <c r="N302" s="5">
        <f>SUMIFS(Table2[[#This Row],[Current Rent Gap]],Table2[[#This Row],[Current Rent Gap]],"&gt;0")</f>
        <v>1525.1866666666665</v>
      </c>
    </row>
    <row r="303" spans="1:14" x14ac:dyDescent="0.35">
      <c r="A303" t="s">
        <v>686</v>
      </c>
      <c r="B303" t="s">
        <v>753</v>
      </c>
      <c r="C303">
        <v>2847</v>
      </c>
      <c r="D303">
        <v>2847</v>
      </c>
      <c r="E303">
        <f>Table2[[#This Row],[Due_Amount]]-Table2[[#This Row],[Paid_Amount]]</f>
        <v>0</v>
      </c>
      <c r="F303" s="1">
        <v>45950</v>
      </c>
      <c r="G303">
        <v>4</v>
      </c>
      <c r="H303">
        <f>Table2[[#This Row],[Due_Amount]]*Table2[[#This Row],[Delay_Days]]</f>
        <v>11388</v>
      </c>
      <c r="I303" s="3" t="str">
        <f>IF(Table2[[#This Row],[Delay_Days]]=0,"On Time",IF(Table2[[#This Row],[Delay_Days]]&lt;=7,"Low Risk(1-7)",IF(Table2[[#This Row],[Delay_Days]]&lt;=15,"Medium Risk(8-15)",IF(Table2[[#This Row],[Delay_Days]]&lt;=30,"High Risk(16-30)","Severe Risk(30+)"))))</f>
        <v>Low Risk(1-7)</v>
      </c>
      <c r="J303" s="5">
        <f>AVERAGE(Table2[Due_Amount])</f>
        <v>4635.1866666666665</v>
      </c>
      <c r="K303" s="5">
        <f>Table2[[#This Row],[Estimated_Market_Rent]]-Table2[[#This Row],[Due_Amount]]</f>
        <v>1788.1866666666665</v>
      </c>
      <c r="L303" s="6">
        <f>IF(Table2[[#This Row],[Current Rent Gap]]&gt;0,Table2[[#This Row],[Current Rent Gap]]/Table2[[#This Row],[Estimated_Market_Rent]],0)</f>
        <v>0.38578525424362625</v>
      </c>
      <c r="M303" s="3" t="str">
        <f>IF(Table2[[#This Row],[Under_Market %]]&gt;0.1,"Underpriced","OK")</f>
        <v>Underpriced</v>
      </c>
      <c r="N303" s="5">
        <f>SUMIFS(Table2[[#This Row],[Current Rent Gap]],Table2[[#This Row],[Current Rent Gap]],"&gt;0")</f>
        <v>1788.1866666666665</v>
      </c>
    </row>
    <row r="304" spans="1:14" x14ac:dyDescent="0.35">
      <c r="A304" t="s">
        <v>291</v>
      </c>
      <c r="B304" t="s">
        <v>745</v>
      </c>
      <c r="C304">
        <v>5887</v>
      </c>
      <c r="D304">
        <v>5061</v>
      </c>
      <c r="E304">
        <f>Table2[[#This Row],[Due_Amount]]-Table2[[#This Row],[Paid_Amount]]</f>
        <v>826</v>
      </c>
      <c r="F304" s="1">
        <v>45751</v>
      </c>
      <c r="G304">
        <v>22</v>
      </c>
      <c r="H304">
        <f>Table2[[#This Row],[Due_Amount]]*Table2[[#This Row],[Delay_Days]]</f>
        <v>129514</v>
      </c>
      <c r="I304" s="3" t="str">
        <f>IF(Table2[[#This Row],[Delay_Days]]=0,"On Time",IF(Table2[[#This Row],[Delay_Days]]&lt;=7,"Low Risk(1-7)",IF(Table2[[#This Row],[Delay_Days]]&lt;=15,"Medium Risk(8-15)",IF(Table2[[#This Row],[Delay_Days]]&lt;=30,"High Risk(16-30)","Severe Risk(30+)"))))</f>
        <v>High Risk(16-30)</v>
      </c>
      <c r="J304" s="5">
        <f>AVERAGE(Table2[Due_Amount])</f>
        <v>4635.1866666666665</v>
      </c>
      <c r="K304" s="5">
        <f>Table2[[#This Row],[Estimated_Market_Rent]]-Table2[[#This Row],[Due_Amount]]</f>
        <v>-1251.8133333333335</v>
      </c>
      <c r="L304" s="6">
        <f>IF(Table2[[#This Row],[Current Rent Gap]]&gt;0,Table2[[#This Row],[Current Rent Gap]]/Table2[[#This Row],[Estimated_Market_Rent]],0)</f>
        <v>0</v>
      </c>
      <c r="M304" s="3" t="str">
        <f>IF(Table2[[#This Row],[Under_Market %]]&gt;0.1,"Underpriced","OK")</f>
        <v>OK</v>
      </c>
      <c r="N304" s="5">
        <f>SUMIFS(Table2[[#This Row],[Current Rent Gap]],Table2[[#This Row],[Current Rent Gap]],"&gt;0")</f>
        <v>0</v>
      </c>
    </row>
    <row r="305" spans="1:14" x14ac:dyDescent="0.35">
      <c r="A305" t="s">
        <v>615</v>
      </c>
      <c r="B305" t="s">
        <v>752</v>
      </c>
      <c r="C305">
        <v>6018</v>
      </c>
      <c r="D305">
        <v>6018</v>
      </c>
      <c r="E305">
        <f>Table2[[#This Row],[Due_Amount]]-Table2[[#This Row],[Paid_Amount]]</f>
        <v>0</v>
      </c>
      <c r="F305" s="1">
        <v>45996</v>
      </c>
      <c r="G305">
        <v>7</v>
      </c>
      <c r="H305">
        <f>Table2[[#This Row],[Due_Amount]]*Table2[[#This Row],[Delay_Days]]</f>
        <v>42126</v>
      </c>
      <c r="I305" s="3" t="str">
        <f>IF(Table2[[#This Row],[Delay_Days]]=0,"On Time",IF(Table2[[#This Row],[Delay_Days]]&lt;=7,"Low Risk(1-7)",IF(Table2[[#This Row],[Delay_Days]]&lt;=15,"Medium Risk(8-15)",IF(Table2[[#This Row],[Delay_Days]]&lt;=30,"High Risk(16-30)","Severe Risk(30+)"))))</f>
        <v>Low Risk(1-7)</v>
      </c>
      <c r="J305" s="5">
        <f>AVERAGE(Table2[Due_Amount])</f>
        <v>4635.1866666666665</v>
      </c>
      <c r="K305" s="5">
        <f>Table2[[#This Row],[Estimated_Market_Rent]]-Table2[[#This Row],[Due_Amount]]</f>
        <v>-1382.8133333333335</v>
      </c>
      <c r="L305" s="6">
        <f>IF(Table2[[#This Row],[Current Rent Gap]]&gt;0,Table2[[#This Row],[Current Rent Gap]]/Table2[[#This Row],[Estimated_Market_Rent]],0)</f>
        <v>0</v>
      </c>
      <c r="M305" s="3" t="str">
        <f>IF(Table2[[#This Row],[Under_Market %]]&gt;0.1,"Underpriced","OK")</f>
        <v>OK</v>
      </c>
      <c r="N305" s="5">
        <f>SUMIFS(Table2[[#This Row],[Current Rent Gap]],Table2[[#This Row],[Current Rent Gap]],"&gt;0")</f>
        <v>0</v>
      </c>
    </row>
    <row r="306" spans="1:14" x14ac:dyDescent="0.35">
      <c r="A306" t="s">
        <v>537</v>
      </c>
      <c r="B306" t="s">
        <v>748</v>
      </c>
      <c r="C306">
        <v>4627</v>
      </c>
      <c r="D306">
        <v>3905</v>
      </c>
      <c r="E306">
        <f>Table2[[#This Row],[Due_Amount]]-Table2[[#This Row],[Paid_Amount]]</f>
        <v>722</v>
      </c>
      <c r="F306" s="1">
        <v>45784</v>
      </c>
      <c r="G306">
        <v>15</v>
      </c>
      <c r="H306">
        <f>Table2[[#This Row],[Due_Amount]]*Table2[[#This Row],[Delay_Days]]</f>
        <v>69405</v>
      </c>
      <c r="I306" s="3" t="str">
        <f>IF(Table2[[#This Row],[Delay_Days]]=0,"On Time",IF(Table2[[#This Row],[Delay_Days]]&lt;=7,"Low Risk(1-7)",IF(Table2[[#This Row],[Delay_Days]]&lt;=15,"Medium Risk(8-15)",IF(Table2[[#This Row],[Delay_Days]]&lt;=30,"High Risk(16-30)","Severe Risk(30+)"))))</f>
        <v>Medium Risk(8-15)</v>
      </c>
      <c r="J306" s="5">
        <f>AVERAGE(Table2[Due_Amount])</f>
        <v>4635.1866666666665</v>
      </c>
      <c r="K306" s="5">
        <f>Table2[[#This Row],[Estimated_Market_Rent]]-Table2[[#This Row],[Due_Amount]]</f>
        <v>8.1866666666664969</v>
      </c>
      <c r="L306" s="6">
        <f>IF(Table2[[#This Row],[Current Rent Gap]]&gt;0,Table2[[#This Row],[Current Rent Gap]]/Table2[[#This Row],[Estimated_Market_Rent]],0)</f>
        <v>1.7661999948221784E-3</v>
      </c>
      <c r="M306" s="3" t="str">
        <f>IF(Table2[[#This Row],[Under_Market %]]&gt;0.1,"Underpriced","OK")</f>
        <v>OK</v>
      </c>
      <c r="N306" s="5">
        <f>SUMIFS(Table2[[#This Row],[Current Rent Gap]],Table2[[#This Row],[Current Rent Gap]],"&gt;0")</f>
        <v>8.1866666666664969</v>
      </c>
    </row>
    <row r="307" spans="1:14" x14ac:dyDescent="0.35">
      <c r="A307" t="s">
        <v>277</v>
      </c>
      <c r="B307" t="s">
        <v>746</v>
      </c>
      <c r="C307">
        <v>4027</v>
      </c>
      <c r="D307">
        <v>4027</v>
      </c>
      <c r="E307">
        <f>Table2[[#This Row],[Due_Amount]]-Table2[[#This Row],[Paid_Amount]]</f>
        <v>0</v>
      </c>
      <c r="F307" s="1">
        <v>45695</v>
      </c>
      <c r="G307">
        <v>5</v>
      </c>
      <c r="H307">
        <f>Table2[[#This Row],[Due_Amount]]*Table2[[#This Row],[Delay_Days]]</f>
        <v>20135</v>
      </c>
      <c r="I307" s="3" t="str">
        <f>IF(Table2[[#This Row],[Delay_Days]]=0,"On Time",IF(Table2[[#This Row],[Delay_Days]]&lt;=7,"Low Risk(1-7)",IF(Table2[[#This Row],[Delay_Days]]&lt;=15,"Medium Risk(8-15)",IF(Table2[[#This Row],[Delay_Days]]&lt;=30,"High Risk(16-30)","Severe Risk(30+)"))))</f>
        <v>Low Risk(1-7)</v>
      </c>
      <c r="J307" s="5">
        <f>AVERAGE(Table2[Due_Amount])</f>
        <v>4635.1866666666665</v>
      </c>
      <c r="K307" s="5">
        <f>Table2[[#This Row],[Estimated_Market_Rent]]-Table2[[#This Row],[Due_Amount]]</f>
        <v>608.1866666666665</v>
      </c>
      <c r="L307" s="6">
        <f>IF(Table2[[#This Row],[Current Rent Gap]]&gt;0,Table2[[#This Row],[Current Rent Gap]]/Table2[[#This Row],[Estimated_Market_Rent]],0)</f>
        <v>0.13121082502250894</v>
      </c>
      <c r="M307" s="3" t="str">
        <f>IF(Table2[[#This Row],[Under_Market %]]&gt;0.1,"Underpriced","OK")</f>
        <v>Underpriced</v>
      </c>
      <c r="N307" s="5">
        <f>SUMIFS(Table2[[#This Row],[Current Rent Gap]],Table2[[#This Row],[Current Rent Gap]],"&gt;0")</f>
        <v>608.1866666666665</v>
      </c>
    </row>
    <row r="308" spans="1:14" x14ac:dyDescent="0.35">
      <c r="A308" t="s">
        <v>621</v>
      </c>
      <c r="B308" t="s">
        <v>747</v>
      </c>
      <c r="C308">
        <v>6134</v>
      </c>
      <c r="D308">
        <v>5403</v>
      </c>
      <c r="E308">
        <f>Table2[[#This Row],[Due_Amount]]-Table2[[#This Row],[Paid_Amount]]</f>
        <v>731</v>
      </c>
      <c r="F308" s="1">
        <v>46015</v>
      </c>
      <c r="G308">
        <v>12</v>
      </c>
      <c r="H308">
        <f>Table2[[#This Row],[Due_Amount]]*Table2[[#This Row],[Delay_Days]]</f>
        <v>73608</v>
      </c>
      <c r="I308" s="3" t="str">
        <f>IF(Table2[[#This Row],[Delay_Days]]=0,"On Time",IF(Table2[[#This Row],[Delay_Days]]&lt;=7,"Low Risk(1-7)",IF(Table2[[#This Row],[Delay_Days]]&lt;=15,"Medium Risk(8-15)",IF(Table2[[#This Row],[Delay_Days]]&lt;=30,"High Risk(16-30)","Severe Risk(30+)"))))</f>
        <v>Medium Risk(8-15)</v>
      </c>
      <c r="J308" s="5">
        <f>AVERAGE(Table2[Due_Amount])</f>
        <v>4635.1866666666665</v>
      </c>
      <c r="K308" s="5">
        <f>Table2[[#This Row],[Estimated_Market_Rent]]-Table2[[#This Row],[Due_Amount]]</f>
        <v>-1498.8133333333335</v>
      </c>
      <c r="L308" s="6">
        <f>IF(Table2[[#This Row],[Current Rent Gap]]&gt;0,Table2[[#This Row],[Current Rent Gap]]/Table2[[#This Row],[Estimated_Market_Rent]],0)</f>
        <v>0</v>
      </c>
      <c r="M308" s="3" t="str">
        <f>IF(Table2[[#This Row],[Under_Market %]]&gt;0.1,"Underpriced","OK")</f>
        <v>OK</v>
      </c>
      <c r="N308" s="5">
        <f>SUMIFS(Table2[[#This Row],[Current Rent Gap]],Table2[[#This Row],[Current Rent Gap]],"&gt;0")</f>
        <v>0</v>
      </c>
    </row>
    <row r="309" spans="1:14" x14ac:dyDescent="0.35">
      <c r="A309" t="s">
        <v>91</v>
      </c>
      <c r="B309" t="s">
        <v>748</v>
      </c>
      <c r="C309">
        <v>5616</v>
      </c>
      <c r="D309">
        <v>5616</v>
      </c>
      <c r="E309">
        <f>Table2[[#This Row],[Due_Amount]]-Table2[[#This Row],[Paid_Amount]]</f>
        <v>0</v>
      </c>
      <c r="F309" s="1">
        <v>45754</v>
      </c>
      <c r="G309">
        <v>0</v>
      </c>
      <c r="H309">
        <f>Table2[[#This Row],[Due_Amount]]*Table2[[#This Row],[Delay_Days]]</f>
        <v>0</v>
      </c>
      <c r="I309" s="3" t="str">
        <f>IF(Table2[[#This Row],[Delay_Days]]=0,"On Time",IF(Table2[[#This Row],[Delay_Days]]&lt;=7,"Low Risk(1-7)",IF(Table2[[#This Row],[Delay_Days]]&lt;=15,"Medium Risk(8-15)",IF(Table2[[#This Row],[Delay_Days]]&lt;=30,"High Risk(16-30)","Severe Risk(30+)"))))</f>
        <v>On Time</v>
      </c>
      <c r="J309" s="5">
        <f>AVERAGE(Table2[Due_Amount])</f>
        <v>4635.1866666666665</v>
      </c>
      <c r="K309" s="5">
        <f>Table2[[#This Row],[Estimated_Market_Rent]]-Table2[[#This Row],[Due_Amount]]</f>
        <v>-980.8133333333335</v>
      </c>
      <c r="L309" s="6">
        <f>IF(Table2[[#This Row],[Current Rent Gap]]&gt;0,Table2[[#This Row],[Current Rent Gap]]/Table2[[#This Row],[Estimated_Market_Rent]],0)</f>
        <v>0</v>
      </c>
      <c r="M309" s="3" t="str">
        <f>IF(Table2[[#This Row],[Under_Market %]]&gt;0.1,"Underpriced","OK")</f>
        <v>OK</v>
      </c>
      <c r="N309" s="5">
        <f>SUMIFS(Table2[[#This Row],[Current Rent Gap]],Table2[[#This Row],[Current Rent Gap]],"&gt;0")</f>
        <v>0</v>
      </c>
    </row>
    <row r="310" spans="1:14" x14ac:dyDescent="0.35">
      <c r="A310" t="s">
        <v>158</v>
      </c>
      <c r="B310" t="s">
        <v>754</v>
      </c>
      <c r="C310">
        <v>3565</v>
      </c>
      <c r="D310">
        <v>3565</v>
      </c>
      <c r="E310">
        <f>Table2[[#This Row],[Due_Amount]]-Table2[[#This Row],[Paid_Amount]]</f>
        <v>0</v>
      </c>
      <c r="F310" s="1">
        <v>45893</v>
      </c>
      <c r="G310">
        <v>0</v>
      </c>
      <c r="H310">
        <f>Table2[[#This Row],[Due_Amount]]*Table2[[#This Row],[Delay_Days]]</f>
        <v>0</v>
      </c>
      <c r="I310" s="3" t="str">
        <f>IF(Table2[[#This Row],[Delay_Days]]=0,"On Time",IF(Table2[[#This Row],[Delay_Days]]&lt;=7,"Low Risk(1-7)",IF(Table2[[#This Row],[Delay_Days]]&lt;=15,"Medium Risk(8-15)",IF(Table2[[#This Row],[Delay_Days]]&lt;=30,"High Risk(16-30)","Severe Risk(30+)"))))</f>
        <v>On Time</v>
      </c>
      <c r="J310" s="5">
        <f>AVERAGE(Table2[Due_Amount])</f>
        <v>4635.1866666666665</v>
      </c>
      <c r="K310" s="5">
        <f>Table2[[#This Row],[Estimated_Market_Rent]]-Table2[[#This Row],[Due_Amount]]</f>
        <v>1070.1866666666665</v>
      </c>
      <c r="L310" s="6">
        <f>IF(Table2[[#This Row],[Current Rent Gap]]&gt;0,Table2[[#This Row],[Current Rent Gap]]/Table2[[#This Row],[Estimated_Market_Rent]],0)</f>
        <v>0.23088318629382776</v>
      </c>
      <c r="M310" s="3" t="str">
        <f>IF(Table2[[#This Row],[Under_Market %]]&gt;0.1,"Underpriced","OK")</f>
        <v>Underpriced</v>
      </c>
      <c r="N310" s="5">
        <f>SUMIFS(Table2[[#This Row],[Current Rent Gap]],Table2[[#This Row],[Current Rent Gap]],"&gt;0")</f>
        <v>1070.1866666666665</v>
      </c>
    </row>
    <row r="311" spans="1:14" x14ac:dyDescent="0.35">
      <c r="A311" t="s">
        <v>49</v>
      </c>
      <c r="B311" t="s">
        <v>744</v>
      </c>
      <c r="C311">
        <v>4789</v>
      </c>
      <c r="D311">
        <v>3803</v>
      </c>
      <c r="E311">
        <f>Table2[[#This Row],[Due_Amount]]-Table2[[#This Row],[Paid_Amount]]</f>
        <v>986</v>
      </c>
      <c r="F311" s="1">
        <v>45662</v>
      </c>
      <c r="G311">
        <v>14</v>
      </c>
      <c r="H311">
        <f>Table2[[#This Row],[Due_Amount]]*Table2[[#This Row],[Delay_Days]]</f>
        <v>67046</v>
      </c>
      <c r="I311" s="3" t="str">
        <f>IF(Table2[[#This Row],[Delay_Days]]=0,"On Time",IF(Table2[[#This Row],[Delay_Days]]&lt;=7,"Low Risk(1-7)",IF(Table2[[#This Row],[Delay_Days]]&lt;=15,"Medium Risk(8-15)",IF(Table2[[#This Row],[Delay_Days]]&lt;=30,"High Risk(16-30)","Severe Risk(30+)"))))</f>
        <v>Medium Risk(8-15)</v>
      </c>
      <c r="J311" s="5">
        <f>AVERAGE(Table2[Due_Amount])</f>
        <v>4635.1866666666665</v>
      </c>
      <c r="K311" s="5">
        <f>Table2[[#This Row],[Estimated_Market_Rent]]-Table2[[#This Row],[Due_Amount]]</f>
        <v>-153.8133333333335</v>
      </c>
      <c r="L311" s="6">
        <f>IF(Table2[[#This Row],[Current Rent Gap]]&gt;0,Table2[[#This Row],[Current Rent Gap]]/Table2[[#This Row],[Estimated_Market_Rent]],0)</f>
        <v>0</v>
      </c>
      <c r="M311" s="3" t="str">
        <f>IF(Table2[[#This Row],[Under_Market %]]&gt;0.1,"Underpriced","OK")</f>
        <v>OK</v>
      </c>
      <c r="N311" s="5">
        <f>SUMIFS(Table2[[#This Row],[Current Rent Gap]],Table2[[#This Row],[Current Rent Gap]],"&gt;0")</f>
        <v>0</v>
      </c>
    </row>
    <row r="312" spans="1:14" x14ac:dyDescent="0.35">
      <c r="A312" t="s">
        <v>678</v>
      </c>
      <c r="B312" t="s">
        <v>748</v>
      </c>
      <c r="C312">
        <v>6705</v>
      </c>
      <c r="D312">
        <v>5814</v>
      </c>
      <c r="E312">
        <f>Table2[[#This Row],[Due_Amount]]-Table2[[#This Row],[Paid_Amount]]</f>
        <v>891</v>
      </c>
      <c r="F312" s="1">
        <v>45754</v>
      </c>
      <c r="G312">
        <v>18</v>
      </c>
      <c r="H312">
        <f>Table2[[#This Row],[Due_Amount]]*Table2[[#This Row],[Delay_Days]]</f>
        <v>120690</v>
      </c>
      <c r="I312" s="3" t="str">
        <f>IF(Table2[[#This Row],[Delay_Days]]=0,"On Time",IF(Table2[[#This Row],[Delay_Days]]&lt;=7,"Low Risk(1-7)",IF(Table2[[#This Row],[Delay_Days]]&lt;=15,"Medium Risk(8-15)",IF(Table2[[#This Row],[Delay_Days]]&lt;=30,"High Risk(16-30)","Severe Risk(30+)"))))</f>
        <v>High Risk(16-30)</v>
      </c>
      <c r="J312" s="5">
        <f>AVERAGE(Table2[Due_Amount])</f>
        <v>4635.1866666666665</v>
      </c>
      <c r="K312" s="5">
        <f>Table2[[#This Row],[Estimated_Market_Rent]]-Table2[[#This Row],[Due_Amount]]</f>
        <v>-2069.8133333333335</v>
      </c>
      <c r="L312" s="6">
        <f>IF(Table2[[#This Row],[Current Rent Gap]]&gt;0,Table2[[#This Row],[Current Rent Gap]]/Table2[[#This Row],[Estimated_Market_Rent]],0)</f>
        <v>0</v>
      </c>
      <c r="M312" s="3" t="str">
        <f>IF(Table2[[#This Row],[Under_Market %]]&gt;0.1,"Underpriced","OK")</f>
        <v>OK</v>
      </c>
      <c r="N312" s="5">
        <f>SUMIFS(Table2[[#This Row],[Current Rent Gap]],Table2[[#This Row],[Current Rent Gap]],"&gt;0")</f>
        <v>0</v>
      </c>
    </row>
    <row r="313" spans="1:14" x14ac:dyDescent="0.35">
      <c r="A313" t="s">
        <v>480</v>
      </c>
      <c r="B313" t="s">
        <v>753</v>
      </c>
      <c r="C313">
        <v>2022</v>
      </c>
      <c r="D313">
        <v>1224</v>
      </c>
      <c r="E313">
        <f>Table2[[#This Row],[Due_Amount]]-Table2[[#This Row],[Paid_Amount]]</f>
        <v>798</v>
      </c>
      <c r="F313" s="1">
        <v>45982</v>
      </c>
      <c r="G313">
        <v>19</v>
      </c>
      <c r="H313">
        <f>Table2[[#This Row],[Due_Amount]]*Table2[[#This Row],[Delay_Days]]</f>
        <v>38418</v>
      </c>
      <c r="I313" s="3" t="str">
        <f>IF(Table2[[#This Row],[Delay_Days]]=0,"On Time",IF(Table2[[#This Row],[Delay_Days]]&lt;=7,"Low Risk(1-7)",IF(Table2[[#This Row],[Delay_Days]]&lt;=15,"Medium Risk(8-15)",IF(Table2[[#This Row],[Delay_Days]]&lt;=30,"High Risk(16-30)","Severe Risk(30+)"))))</f>
        <v>High Risk(16-30)</v>
      </c>
      <c r="J313" s="5">
        <f>AVERAGE(Table2[Due_Amount])</f>
        <v>4635.1866666666665</v>
      </c>
      <c r="K313" s="5">
        <f>Table2[[#This Row],[Estimated_Market_Rent]]-Table2[[#This Row],[Due_Amount]]</f>
        <v>2613.1866666666665</v>
      </c>
      <c r="L313" s="6">
        <f>IF(Table2[[#This Row],[Current Rent Gap]]&gt;0,Table2[[#This Row],[Current Rent Gap]]/Table2[[#This Row],[Estimated_Market_Rent]],0)</f>
        <v>0.56377161365669559</v>
      </c>
      <c r="M313" s="3" t="str">
        <f>IF(Table2[[#This Row],[Under_Market %]]&gt;0.1,"Underpriced","OK")</f>
        <v>Underpriced</v>
      </c>
      <c r="N313" s="5">
        <f>SUMIFS(Table2[[#This Row],[Current Rent Gap]],Table2[[#This Row],[Current Rent Gap]],"&gt;0")</f>
        <v>2613.1866666666665</v>
      </c>
    </row>
    <row r="314" spans="1:14" x14ac:dyDescent="0.35">
      <c r="A314" t="s">
        <v>478</v>
      </c>
      <c r="B314" t="s">
        <v>754</v>
      </c>
      <c r="C314">
        <v>4034</v>
      </c>
      <c r="D314">
        <v>4034</v>
      </c>
      <c r="E314">
        <f>Table2[[#This Row],[Due_Amount]]-Table2[[#This Row],[Paid_Amount]]</f>
        <v>0</v>
      </c>
      <c r="F314" s="1">
        <v>45892</v>
      </c>
      <c r="G314">
        <v>9</v>
      </c>
      <c r="H314">
        <f>Table2[[#This Row],[Due_Amount]]*Table2[[#This Row],[Delay_Days]]</f>
        <v>36306</v>
      </c>
      <c r="I314" s="3" t="str">
        <f>IF(Table2[[#This Row],[Delay_Days]]=0,"On Time",IF(Table2[[#This Row],[Delay_Days]]&lt;=7,"Low Risk(1-7)",IF(Table2[[#This Row],[Delay_Days]]&lt;=15,"Medium Risk(8-15)",IF(Table2[[#This Row],[Delay_Days]]&lt;=30,"High Risk(16-30)","Severe Risk(30+)"))))</f>
        <v>Medium Risk(8-15)</v>
      </c>
      <c r="J314" s="5">
        <f>AVERAGE(Table2[Due_Amount])</f>
        <v>4635.1866666666665</v>
      </c>
      <c r="K314" s="5">
        <f>Table2[[#This Row],[Estimated_Market_Rent]]-Table2[[#This Row],[Due_Amount]]</f>
        <v>601.1866666666665</v>
      </c>
      <c r="L314" s="6">
        <f>IF(Table2[[#This Row],[Current Rent Gap]]&gt;0,Table2[[#This Row],[Current Rent Gap]]/Table2[[#This Row],[Estimated_Market_Rent]],0)</f>
        <v>0.12970063773051926</v>
      </c>
      <c r="M314" s="3" t="str">
        <f>IF(Table2[[#This Row],[Under_Market %]]&gt;0.1,"Underpriced","OK")</f>
        <v>Underpriced</v>
      </c>
      <c r="N314" s="5">
        <f>SUMIFS(Table2[[#This Row],[Current Rent Gap]],Table2[[#This Row],[Current Rent Gap]],"&gt;0")</f>
        <v>601.1866666666665</v>
      </c>
    </row>
    <row r="315" spans="1:14" x14ac:dyDescent="0.35">
      <c r="A315" t="s">
        <v>735</v>
      </c>
      <c r="B315" t="s">
        <v>750</v>
      </c>
      <c r="C315">
        <v>6526</v>
      </c>
      <c r="D315">
        <v>5530</v>
      </c>
      <c r="E315">
        <f>Table2[[#This Row],[Due_Amount]]-Table2[[#This Row],[Paid_Amount]]</f>
        <v>996</v>
      </c>
      <c r="F315" s="1">
        <v>45944</v>
      </c>
      <c r="G315">
        <v>18</v>
      </c>
      <c r="H315">
        <f>Table2[[#This Row],[Due_Amount]]*Table2[[#This Row],[Delay_Days]]</f>
        <v>117468</v>
      </c>
      <c r="I315" s="3" t="str">
        <f>IF(Table2[[#This Row],[Delay_Days]]=0,"On Time",IF(Table2[[#This Row],[Delay_Days]]&lt;=7,"Low Risk(1-7)",IF(Table2[[#This Row],[Delay_Days]]&lt;=15,"Medium Risk(8-15)",IF(Table2[[#This Row],[Delay_Days]]&lt;=30,"High Risk(16-30)","Severe Risk(30+)"))))</f>
        <v>High Risk(16-30)</v>
      </c>
      <c r="J315" s="5">
        <f>AVERAGE(Table2[Due_Amount])</f>
        <v>4635.1866666666665</v>
      </c>
      <c r="K315" s="5">
        <f>Table2[[#This Row],[Estimated_Market_Rent]]-Table2[[#This Row],[Due_Amount]]</f>
        <v>-1890.8133333333335</v>
      </c>
      <c r="L315" s="6">
        <f>IF(Table2[[#This Row],[Current Rent Gap]]&gt;0,Table2[[#This Row],[Current Rent Gap]]/Table2[[#This Row],[Estimated_Market_Rent]],0)</f>
        <v>0</v>
      </c>
      <c r="M315" s="3" t="str">
        <f>IF(Table2[[#This Row],[Under_Market %]]&gt;0.1,"Underpriced","OK")</f>
        <v>OK</v>
      </c>
      <c r="N315" s="5">
        <f>SUMIFS(Table2[[#This Row],[Current Rent Gap]],Table2[[#This Row],[Current Rent Gap]],"&gt;0")</f>
        <v>0</v>
      </c>
    </row>
    <row r="316" spans="1:14" x14ac:dyDescent="0.35">
      <c r="A316" t="s">
        <v>284</v>
      </c>
      <c r="B316" t="s">
        <v>750</v>
      </c>
      <c r="C316">
        <v>3207</v>
      </c>
      <c r="D316">
        <v>2254</v>
      </c>
      <c r="E316">
        <f>Table2[[#This Row],[Due_Amount]]-Table2[[#This Row],[Paid_Amount]]</f>
        <v>953</v>
      </c>
      <c r="F316" s="1">
        <v>46015</v>
      </c>
      <c r="G316">
        <v>11</v>
      </c>
      <c r="H316">
        <f>Table2[[#This Row],[Due_Amount]]*Table2[[#This Row],[Delay_Days]]</f>
        <v>35277</v>
      </c>
      <c r="I316" s="3" t="str">
        <f>IF(Table2[[#This Row],[Delay_Days]]=0,"On Time",IF(Table2[[#This Row],[Delay_Days]]&lt;=7,"Low Risk(1-7)",IF(Table2[[#This Row],[Delay_Days]]&lt;=15,"Medium Risk(8-15)",IF(Table2[[#This Row],[Delay_Days]]&lt;=30,"High Risk(16-30)","Severe Risk(30+)"))))</f>
        <v>Medium Risk(8-15)</v>
      </c>
      <c r="J316" s="5">
        <f>AVERAGE(Table2[Due_Amount])</f>
        <v>4635.1866666666665</v>
      </c>
      <c r="K316" s="5">
        <f>Table2[[#This Row],[Estimated_Market_Rent]]-Table2[[#This Row],[Due_Amount]]</f>
        <v>1428.1866666666665</v>
      </c>
      <c r="L316" s="6">
        <f>IF(Table2[[#This Row],[Current Rent Gap]]&gt;0,Table2[[#This Row],[Current Rent Gap]]/Table2[[#This Row],[Estimated_Market_Rent]],0)</f>
        <v>0.30811847922701419</v>
      </c>
      <c r="M316" s="3" t="str">
        <f>IF(Table2[[#This Row],[Under_Market %]]&gt;0.1,"Underpriced","OK")</f>
        <v>Underpriced</v>
      </c>
      <c r="N316" s="5">
        <f>SUMIFS(Table2[[#This Row],[Current Rent Gap]],Table2[[#This Row],[Current Rent Gap]],"&gt;0")</f>
        <v>1428.1866666666665</v>
      </c>
    </row>
    <row r="317" spans="1:14" x14ac:dyDescent="0.35">
      <c r="A317" t="s">
        <v>433</v>
      </c>
      <c r="B317" t="s">
        <v>744</v>
      </c>
      <c r="C317">
        <v>3995</v>
      </c>
      <c r="D317">
        <v>3995</v>
      </c>
      <c r="E317">
        <f>Table2[[#This Row],[Due_Amount]]-Table2[[#This Row],[Paid_Amount]]</f>
        <v>0</v>
      </c>
      <c r="F317" s="1">
        <v>45829</v>
      </c>
      <c r="G317">
        <v>3</v>
      </c>
      <c r="H317">
        <f>Table2[[#This Row],[Due_Amount]]*Table2[[#This Row],[Delay_Days]]</f>
        <v>11985</v>
      </c>
      <c r="I317" s="3" t="str">
        <f>IF(Table2[[#This Row],[Delay_Days]]=0,"On Time",IF(Table2[[#This Row],[Delay_Days]]&lt;=7,"Low Risk(1-7)",IF(Table2[[#This Row],[Delay_Days]]&lt;=15,"Medium Risk(8-15)",IF(Table2[[#This Row],[Delay_Days]]&lt;=30,"High Risk(16-30)","Severe Risk(30+)"))))</f>
        <v>Low Risk(1-7)</v>
      </c>
      <c r="J317" s="5">
        <f>AVERAGE(Table2[Due_Amount])</f>
        <v>4635.1866666666665</v>
      </c>
      <c r="K317" s="5">
        <f>Table2[[#This Row],[Estimated_Market_Rent]]-Table2[[#This Row],[Due_Amount]]</f>
        <v>640.1866666666665</v>
      </c>
      <c r="L317" s="6">
        <f>IF(Table2[[#This Row],[Current Rent Gap]]&gt;0,Table2[[#This Row],[Current Rent Gap]]/Table2[[#This Row],[Estimated_Market_Rent]],0)</f>
        <v>0.13811453835731891</v>
      </c>
      <c r="M317" s="3" t="str">
        <f>IF(Table2[[#This Row],[Under_Market %]]&gt;0.1,"Underpriced","OK")</f>
        <v>Underpriced</v>
      </c>
      <c r="N317" s="5">
        <f>SUMIFS(Table2[[#This Row],[Current Rent Gap]],Table2[[#This Row],[Current Rent Gap]],"&gt;0")</f>
        <v>640.1866666666665</v>
      </c>
    </row>
    <row r="318" spans="1:14" x14ac:dyDescent="0.35">
      <c r="A318" t="s">
        <v>310</v>
      </c>
      <c r="B318" t="s">
        <v>750</v>
      </c>
      <c r="C318">
        <v>2115</v>
      </c>
      <c r="D318">
        <v>1346</v>
      </c>
      <c r="E318">
        <f>Table2[[#This Row],[Due_Amount]]-Table2[[#This Row],[Paid_Amount]]</f>
        <v>769</v>
      </c>
      <c r="F318" s="1">
        <v>45795</v>
      </c>
      <c r="G318">
        <v>13</v>
      </c>
      <c r="H318">
        <f>Table2[[#This Row],[Due_Amount]]*Table2[[#This Row],[Delay_Days]]</f>
        <v>27495</v>
      </c>
      <c r="I318" s="3" t="str">
        <f>IF(Table2[[#This Row],[Delay_Days]]=0,"On Time",IF(Table2[[#This Row],[Delay_Days]]&lt;=7,"Low Risk(1-7)",IF(Table2[[#This Row],[Delay_Days]]&lt;=15,"Medium Risk(8-15)",IF(Table2[[#This Row],[Delay_Days]]&lt;=30,"High Risk(16-30)","Severe Risk(30+)"))))</f>
        <v>Medium Risk(8-15)</v>
      </c>
      <c r="J318" s="5">
        <f>AVERAGE(Table2[Due_Amount])</f>
        <v>4635.1866666666665</v>
      </c>
      <c r="K318" s="5">
        <f>Table2[[#This Row],[Estimated_Market_Rent]]-Table2[[#This Row],[Due_Amount]]</f>
        <v>2520.1866666666665</v>
      </c>
      <c r="L318" s="6">
        <f>IF(Table2[[#This Row],[Current Rent Gap]]&gt;0,Table2[[#This Row],[Current Rent Gap]]/Table2[[#This Row],[Estimated_Market_Rent]],0)</f>
        <v>0.54370769677740416</v>
      </c>
      <c r="M318" s="3" t="str">
        <f>IF(Table2[[#This Row],[Under_Market %]]&gt;0.1,"Underpriced","OK")</f>
        <v>Underpriced</v>
      </c>
      <c r="N318" s="5">
        <f>SUMIFS(Table2[[#This Row],[Current Rent Gap]],Table2[[#This Row],[Current Rent Gap]],"&gt;0")</f>
        <v>2520.1866666666665</v>
      </c>
    </row>
    <row r="319" spans="1:14" x14ac:dyDescent="0.35">
      <c r="A319" t="s">
        <v>710</v>
      </c>
      <c r="B319" t="s">
        <v>753</v>
      </c>
      <c r="C319">
        <v>5164</v>
      </c>
      <c r="D319">
        <v>4354</v>
      </c>
      <c r="E319">
        <f>Table2[[#This Row],[Due_Amount]]-Table2[[#This Row],[Paid_Amount]]</f>
        <v>810</v>
      </c>
      <c r="F319" s="1">
        <v>45743</v>
      </c>
      <c r="G319">
        <v>12</v>
      </c>
      <c r="H319">
        <f>Table2[[#This Row],[Due_Amount]]*Table2[[#This Row],[Delay_Days]]</f>
        <v>61968</v>
      </c>
      <c r="I319" s="3" t="str">
        <f>IF(Table2[[#This Row],[Delay_Days]]=0,"On Time",IF(Table2[[#This Row],[Delay_Days]]&lt;=7,"Low Risk(1-7)",IF(Table2[[#This Row],[Delay_Days]]&lt;=15,"Medium Risk(8-15)",IF(Table2[[#This Row],[Delay_Days]]&lt;=30,"High Risk(16-30)","Severe Risk(30+)"))))</f>
        <v>Medium Risk(8-15)</v>
      </c>
      <c r="J319" s="5">
        <f>AVERAGE(Table2[Due_Amount])</f>
        <v>4635.1866666666665</v>
      </c>
      <c r="K319" s="5">
        <f>Table2[[#This Row],[Estimated_Market_Rent]]-Table2[[#This Row],[Due_Amount]]</f>
        <v>-528.8133333333335</v>
      </c>
      <c r="L319" s="6">
        <f>IF(Table2[[#This Row],[Current Rent Gap]]&gt;0,Table2[[#This Row],[Current Rent Gap]]/Table2[[#This Row],[Estimated_Market_Rent]],0)</f>
        <v>0</v>
      </c>
      <c r="M319" s="3" t="str">
        <f>IF(Table2[[#This Row],[Under_Market %]]&gt;0.1,"Underpriced","OK")</f>
        <v>OK</v>
      </c>
      <c r="N319" s="5">
        <f>SUMIFS(Table2[[#This Row],[Current Rent Gap]],Table2[[#This Row],[Current Rent Gap]],"&gt;0")</f>
        <v>0</v>
      </c>
    </row>
    <row r="320" spans="1:14" x14ac:dyDescent="0.35">
      <c r="A320" t="s">
        <v>78</v>
      </c>
      <c r="B320" t="s">
        <v>747</v>
      </c>
      <c r="C320">
        <v>5397</v>
      </c>
      <c r="D320">
        <v>5259</v>
      </c>
      <c r="E320">
        <f>Table2[[#This Row],[Due_Amount]]-Table2[[#This Row],[Paid_Amount]]</f>
        <v>138</v>
      </c>
      <c r="F320" s="1">
        <v>45840</v>
      </c>
      <c r="G320">
        <v>11</v>
      </c>
      <c r="H320">
        <f>Table2[[#This Row],[Due_Amount]]*Table2[[#This Row],[Delay_Days]]</f>
        <v>59367</v>
      </c>
      <c r="I320" s="3" t="str">
        <f>IF(Table2[[#This Row],[Delay_Days]]=0,"On Time",IF(Table2[[#This Row],[Delay_Days]]&lt;=7,"Low Risk(1-7)",IF(Table2[[#This Row],[Delay_Days]]&lt;=15,"Medium Risk(8-15)",IF(Table2[[#This Row],[Delay_Days]]&lt;=30,"High Risk(16-30)","Severe Risk(30+)"))))</f>
        <v>Medium Risk(8-15)</v>
      </c>
      <c r="J320" s="5">
        <f>AVERAGE(Table2[Due_Amount])</f>
        <v>4635.1866666666665</v>
      </c>
      <c r="K320" s="5">
        <f>Table2[[#This Row],[Estimated_Market_Rent]]-Table2[[#This Row],[Due_Amount]]</f>
        <v>-761.8133333333335</v>
      </c>
      <c r="L320" s="6">
        <f>IF(Table2[[#This Row],[Current Rent Gap]]&gt;0,Table2[[#This Row],[Current Rent Gap]]/Table2[[#This Row],[Estimated_Market_Rent]],0)</f>
        <v>0</v>
      </c>
      <c r="M320" s="3" t="str">
        <f>IF(Table2[[#This Row],[Under_Market %]]&gt;0.1,"Underpriced","OK")</f>
        <v>OK</v>
      </c>
      <c r="N320" s="5">
        <f>SUMIFS(Table2[[#This Row],[Current Rent Gap]],Table2[[#This Row],[Current Rent Gap]],"&gt;0")</f>
        <v>0</v>
      </c>
    </row>
    <row r="321" spans="1:14" x14ac:dyDescent="0.35">
      <c r="A321" t="s">
        <v>737</v>
      </c>
      <c r="B321" t="s">
        <v>750</v>
      </c>
      <c r="C321">
        <v>4146</v>
      </c>
      <c r="D321">
        <v>3764</v>
      </c>
      <c r="E321">
        <f>Table2[[#This Row],[Due_Amount]]-Table2[[#This Row],[Paid_Amount]]</f>
        <v>382</v>
      </c>
      <c r="F321" s="1">
        <v>45703</v>
      </c>
      <c r="G321">
        <v>13</v>
      </c>
      <c r="H321">
        <f>Table2[[#This Row],[Due_Amount]]*Table2[[#This Row],[Delay_Days]]</f>
        <v>53898</v>
      </c>
      <c r="I321" s="3" t="str">
        <f>IF(Table2[[#This Row],[Delay_Days]]=0,"On Time",IF(Table2[[#This Row],[Delay_Days]]&lt;=7,"Low Risk(1-7)",IF(Table2[[#This Row],[Delay_Days]]&lt;=15,"Medium Risk(8-15)",IF(Table2[[#This Row],[Delay_Days]]&lt;=30,"High Risk(16-30)","Severe Risk(30+)"))))</f>
        <v>Medium Risk(8-15)</v>
      </c>
      <c r="J321" s="5">
        <f>AVERAGE(Table2[Due_Amount])</f>
        <v>4635.1866666666665</v>
      </c>
      <c r="K321" s="5">
        <f>Table2[[#This Row],[Estimated_Market_Rent]]-Table2[[#This Row],[Due_Amount]]</f>
        <v>489.1866666666665</v>
      </c>
      <c r="L321" s="6">
        <f>IF(Table2[[#This Row],[Current Rent Gap]]&gt;0,Table2[[#This Row],[Current Rent Gap]]/Table2[[#This Row],[Estimated_Market_Rent]],0)</f>
        <v>0.10553764105868441</v>
      </c>
      <c r="M321" s="3" t="str">
        <f>IF(Table2[[#This Row],[Under_Market %]]&gt;0.1,"Underpriced","OK")</f>
        <v>Underpriced</v>
      </c>
      <c r="N321" s="5">
        <f>SUMIFS(Table2[[#This Row],[Current Rent Gap]],Table2[[#This Row],[Current Rent Gap]],"&gt;0")</f>
        <v>489.1866666666665</v>
      </c>
    </row>
    <row r="322" spans="1:14" x14ac:dyDescent="0.35">
      <c r="A322" t="s">
        <v>55</v>
      </c>
      <c r="B322" t="s">
        <v>754</v>
      </c>
      <c r="C322">
        <v>4448</v>
      </c>
      <c r="D322">
        <v>4448</v>
      </c>
      <c r="E322">
        <f>Table2[[#This Row],[Due_Amount]]-Table2[[#This Row],[Paid_Amount]]</f>
        <v>0</v>
      </c>
      <c r="F322" s="1">
        <v>45849</v>
      </c>
      <c r="G322">
        <v>6</v>
      </c>
      <c r="H322">
        <f>Table2[[#This Row],[Due_Amount]]*Table2[[#This Row],[Delay_Days]]</f>
        <v>26688</v>
      </c>
      <c r="I322" s="3" t="str">
        <f>IF(Table2[[#This Row],[Delay_Days]]=0,"On Time",IF(Table2[[#This Row],[Delay_Days]]&lt;=7,"Low Risk(1-7)",IF(Table2[[#This Row],[Delay_Days]]&lt;=15,"Medium Risk(8-15)",IF(Table2[[#This Row],[Delay_Days]]&lt;=30,"High Risk(16-30)","Severe Risk(30+)"))))</f>
        <v>Low Risk(1-7)</v>
      </c>
      <c r="J322" s="5">
        <f>AVERAGE(Table2[Due_Amount])</f>
        <v>4635.1866666666665</v>
      </c>
      <c r="K322" s="5">
        <f>Table2[[#This Row],[Estimated_Market_Rent]]-Table2[[#This Row],[Due_Amount]]</f>
        <v>187.1866666666665</v>
      </c>
      <c r="L322" s="6">
        <f>IF(Table2[[#This Row],[Current Rent Gap]]&gt;0,Table2[[#This Row],[Current Rent Gap]]/Table2[[#This Row],[Estimated_Market_Rent]],0)</f>
        <v>4.03838464614154E-2</v>
      </c>
      <c r="M322" s="3" t="str">
        <f>IF(Table2[[#This Row],[Under_Market %]]&gt;0.1,"Underpriced","OK")</f>
        <v>OK</v>
      </c>
      <c r="N322" s="5">
        <f>SUMIFS(Table2[[#This Row],[Current Rent Gap]],Table2[[#This Row],[Current Rent Gap]],"&gt;0")</f>
        <v>187.1866666666665</v>
      </c>
    </row>
    <row r="323" spans="1:14" x14ac:dyDescent="0.35">
      <c r="A323" t="s">
        <v>405</v>
      </c>
      <c r="B323" t="s">
        <v>753</v>
      </c>
      <c r="C323">
        <v>3186</v>
      </c>
      <c r="D323">
        <v>2857</v>
      </c>
      <c r="E323">
        <f>Table2[[#This Row],[Due_Amount]]-Table2[[#This Row],[Paid_Amount]]</f>
        <v>329</v>
      </c>
      <c r="F323" s="1">
        <v>45976</v>
      </c>
      <c r="G323">
        <v>12</v>
      </c>
      <c r="H323">
        <f>Table2[[#This Row],[Due_Amount]]*Table2[[#This Row],[Delay_Days]]</f>
        <v>38232</v>
      </c>
      <c r="I323" s="3" t="str">
        <f>IF(Table2[[#This Row],[Delay_Days]]=0,"On Time",IF(Table2[[#This Row],[Delay_Days]]&lt;=7,"Low Risk(1-7)",IF(Table2[[#This Row],[Delay_Days]]&lt;=15,"Medium Risk(8-15)",IF(Table2[[#This Row],[Delay_Days]]&lt;=30,"High Risk(16-30)","Severe Risk(30+)"))))</f>
        <v>Medium Risk(8-15)</v>
      </c>
      <c r="J323" s="5">
        <f>AVERAGE(Table2[Due_Amount])</f>
        <v>4635.1866666666665</v>
      </c>
      <c r="K323" s="5">
        <f>Table2[[#This Row],[Estimated_Market_Rent]]-Table2[[#This Row],[Due_Amount]]</f>
        <v>1449.1866666666665</v>
      </c>
      <c r="L323" s="6">
        <f>IF(Table2[[#This Row],[Current Rent Gap]]&gt;0,Table2[[#This Row],[Current Rent Gap]]/Table2[[#This Row],[Estimated_Market_Rent]],0)</f>
        <v>0.31264904110298325</v>
      </c>
      <c r="M323" s="3" t="str">
        <f>IF(Table2[[#This Row],[Under_Market %]]&gt;0.1,"Underpriced","OK")</f>
        <v>Underpriced</v>
      </c>
      <c r="N323" s="5">
        <f>SUMIFS(Table2[[#This Row],[Current Rent Gap]],Table2[[#This Row],[Current Rent Gap]],"&gt;0")</f>
        <v>1449.1866666666665</v>
      </c>
    </row>
    <row r="324" spans="1:14" x14ac:dyDescent="0.35">
      <c r="A324" t="s">
        <v>644</v>
      </c>
      <c r="B324" t="s">
        <v>752</v>
      </c>
      <c r="C324">
        <v>3110</v>
      </c>
      <c r="D324">
        <v>2641</v>
      </c>
      <c r="E324">
        <f>Table2[[#This Row],[Due_Amount]]-Table2[[#This Row],[Paid_Amount]]</f>
        <v>469</v>
      </c>
      <c r="F324" s="1">
        <v>45680</v>
      </c>
      <c r="G324">
        <v>24</v>
      </c>
      <c r="H324">
        <f>Table2[[#This Row],[Due_Amount]]*Table2[[#This Row],[Delay_Days]]</f>
        <v>74640</v>
      </c>
      <c r="I324" s="3" t="str">
        <f>IF(Table2[[#This Row],[Delay_Days]]=0,"On Time",IF(Table2[[#This Row],[Delay_Days]]&lt;=7,"Low Risk(1-7)",IF(Table2[[#This Row],[Delay_Days]]&lt;=15,"Medium Risk(8-15)",IF(Table2[[#This Row],[Delay_Days]]&lt;=30,"High Risk(16-30)","Severe Risk(30+)"))))</f>
        <v>High Risk(16-30)</v>
      </c>
      <c r="J324" s="5">
        <f>AVERAGE(Table2[Due_Amount])</f>
        <v>4635.1866666666665</v>
      </c>
      <c r="K324" s="5">
        <f>Table2[[#This Row],[Estimated_Market_Rent]]-Table2[[#This Row],[Due_Amount]]</f>
        <v>1525.1866666666665</v>
      </c>
      <c r="L324" s="6">
        <f>IF(Table2[[#This Row],[Current Rent Gap]]&gt;0,Table2[[#This Row],[Current Rent Gap]]/Table2[[#This Row],[Estimated_Market_Rent]],0)</f>
        <v>0.32904536027315689</v>
      </c>
      <c r="M324" s="3" t="str">
        <f>IF(Table2[[#This Row],[Under_Market %]]&gt;0.1,"Underpriced","OK")</f>
        <v>Underpriced</v>
      </c>
      <c r="N324" s="5">
        <f>SUMIFS(Table2[[#This Row],[Current Rent Gap]],Table2[[#This Row],[Current Rent Gap]],"&gt;0")</f>
        <v>1525.1866666666665</v>
      </c>
    </row>
    <row r="325" spans="1:14" x14ac:dyDescent="0.35">
      <c r="A325" t="s">
        <v>605</v>
      </c>
      <c r="B325" t="s">
        <v>754</v>
      </c>
      <c r="C325">
        <v>3126</v>
      </c>
      <c r="D325">
        <v>3126</v>
      </c>
      <c r="E325">
        <f>Table2[[#This Row],[Due_Amount]]-Table2[[#This Row],[Paid_Amount]]</f>
        <v>0</v>
      </c>
      <c r="F325" s="1">
        <v>45979</v>
      </c>
      <c r="G325">
        <v>5</v>
      </c>
      <c r="H325">
        <f>Table2[[#This Row],[Due_Amount]]*Table2[[#This Row],[Delay_Days]]</f>
        <v>15630</v>
      </c>
      <c r="I325" s="3" t="str">
        <f>IF(Table2[[#This Row],[Delay_Days]]=0,"On Time",IF(Table2[[#This Row],[Delay_Days]]&lt;=7,"Low Risk(1-7)",IF(Table2[[#This Row],[Delay_Days]]&lt;=15,"Medium Risk(8-15)",IF(Table2[[#This Row],[Delay_Days]]&lt;=30,"High Risk(16-30)","Severe Risk(30+)"))))</f>
        <v>Low Risk(1-7)</v>
      </c>
      <c r="J325" s="5">
        <f>AVERAGE(Table2[Due_Amount])</f>
        <v>4635.1866666666665</v>
      </c>
      <c r="K325" s="5">
        <f>Table2[[#This Row],[Estimated_Market_Rent]]-Table2[[#This Row],[Due_Amount]]</f>
        <v>1509.1866666666665</v>
      </c>
      <c r="L325" s="6">
        <f>IF(Table2[[#This Row],[Current Rent Gap]]&gt;0,Table2[[#This Row],[Current Rent Gap]]/Table2[[#This Row],[Estimated_Market_Rent]],0)</f>
        <v>0.3255935036057519</v>
      </c>
      <c r="M325" s="3" t="str">
        <f>IF(Table2[[#This Row],[Under_Market %]]&gt;0.1,"Underpriced","OK")</f>
        <v>Underpriced</v>
      </c>
      <c r="N325" s="5">
        <f>SUMIFS(Table2[[#This Row],[Current Rent Gap]],Table2[[#This Row],[Current Rent Gap]],"&gt;0")</f>
        <v>1509.1866666666665</v>
      </c>
    </row>
    <row r="326" spans="1:14" x14ac:dyDescent="0.35">
      <c r="A326" t="s">
        <v>735</v>
      </c>
      <c r="B326" t="s">
        <v>745</v>
      </c>
      <c r="C326">
        <v>6013</v>
      </c>
      <c r="D326">
        <v>5369</v>
      </c>
      <c r="E326">
        <f>Table2[[#This Row],[Due_Amount]]-Table2[[#This Row],[Paid_Amount]]</f>
        <v>644</v>
      </c>
      <c r="F326" s="1">
        <v>45724</v>
      </c>
      <c r="G326">
        <v>22</v>
      </c>
      <c r="H326">
        <f>Table2[[#This Row],[Due_Amount]]*Table2[[#This Row],[Delay_Days]]</f>
        <v>132286</v>
      </c>
      <c r="I326" s="3" t="str">
        <f>IF(Table2[[#This Row],[Delay_Days]]=0,"On Time",IF(Table2[[#This Row],[Delay_Days]]&lt;=7,"Low Risk(1-7)",IF(Table2[[#This Row],[Delay_Days]]&lt;=15,"Medium Risk(8-15)",IF(Table2[[#This Row],[Delay_Days]]&lt;=30,"High Risk(16-30)","Severe Risk(30+)"))))</f>
        <v>High Risk(16-30)</v>
      </c>
      <c r="J326" s="5">
        <f>AVERAGE(Table2[Due_Amount])</f>
        <v>4635.1866666666665</v>
      </c>
      <c r="K326" s="5">
        <f>Table2[[#This Row],[Estimated_Market_Rent]]-Table2[[#This Row],[Due_Amount]]</f>
        <v>-1377.8133333333335</v>
      </c>
      <c r="L326" s="6">
        <f>IF(Table2[[#This Row],[Current Rent Gap]]&gt;0,Table2[[#This Row],[Current Rent Gap]]/Table2[[#This Row],[Estimated_Market_Rent]],0)</f>
        <v>0</v>
      </c>
      <c r="M326" s="3" t="str">
        <f>IF(Table2[[#This Row],[Under_Market %]]&gt;0.1,"Underpriced","OK")</f>
        <v>OK</v>
      </c>
      <c r="N326" s="5">
        <f>SUMIFS(Table2[[#This Row],[Current Rent Gap]],Table2[[#This Row],[Current Rent Gap]],"&gt;0")</f>
        <v>0</v>
      </c>
    </row>
    <row r="327" spans="1:14" x14ac:dyDescent="0.35">
      <c r="A327" t="s">
        <v>611</v>
      </c>
      <c r="B327" t="s">
        <v>750</v>
      </c>
      <c r="C327">
        <v>5339</v>
      </c>
      <c r="D327">
        <v>4906</v>
      </c>
      <c r="E327">
        <f>Table2[[#This Row],[Due_Amount]]-Table2[[#This Row],[Paid_Amount]]</f>
        <v>433</v>
      </c>
      <c r="F327" s="1">
        <v>45890</v>
      </c>
      <c r="G327">
        <v>25</v>
      </c>
      <c r="H327">
        <f>Table2[[#This Row],[Due_Amount]]*Table2[[#This Row],[Delay_Days]]</f>
        <v>133475</v>
      </c>
      <c r="I327" s="3" t="str">
        <f>IF(Table2[[#This Row],[Delay_Days]]=0,"On Time",IF(Table2[[#This Row],[Delay_Days]]&lt;=7,"Low Risk(1-7)",IF(Table2[[#This Row],[Delay_Days]]&lt;=15,"Medium Risk(8-15)",IF(Table2[[#This Row],[Delay_Days]]&lt;=30,"High Risk(16-30)","Severe Risk(30+)"))))</f>
        <v>High Risk(16-30)</v>
      </c>
      <c r="J327" s="5">
        <f>AVERAGE(Table2[Due_Amount])</f>
        <v>4635.1866666666665</v>
      </c>
      <c r="K327" s="5">
        <f>Table2[[#This Row],[Estimated_Market_Rent]]-Table2[[#This Row],[Due_Amount]]</f>
        <v>-703.8133333333335</v>
      </c>
      <c r="L327" s="6">
        <f>IF(Table2[[#This Row],[Current Rent Gap]]&gt;0,Table2[[#This Row],[Current Rent Gap]]/Table2[[#This Row],[Estimated_Market_Rent]],0)</f>
        <v>0</v>
      </c>
      <c r="M327" s="3" t="str">
        <f>IF(Table2[[#This Row],[Under_Market %]]&gt;0.1,"Underpriced","OK")</f>
        <v>OK</v>
      </c>
      <c r="N327" s="5">
        <f>SUMIFS(Table2[[#This Row],[Current Rent Gap]],Table2[[#This Row],[Current Rent Gap]],"&gt;0")</f>
        <v>0</v>
      </c>
    </row>
    <row r="328" spans="1:14" x14ac:dyDescent="0.35">
      <c r="A328" t="s">
        <v>225</v>
      </c>
      <c r="B328" t="s">
        <v>746</v>
      </c>
      <c r="C328">
        <v>6303</v>
      </c>
      <c r="D328">
        <v>5965</v>
      </c>
      <c r="E328">
        <f>Table2[[#This Row],[Due_Amount]]-Table2[[#This Row],[Paid_Amount]]</f>
        <v>338</v>
      </c>
      <c r="F328" s="1">
        <v>45872</v>
      </c>
      <c r="G328">
        <v>22</v>
      </c>
      <c r="H328">
        <f>Table2[[#This Row],[Due_Amount]]*Table2[[#This Row],[Delay_Days]]</f>
        <v>138666</v>
      </c>
      <c r="I328" s="3" t="str">
        <f>IF(Table2[[#This Row],[Delay_Days]]=0,"On Time",IF(Table2[[#This Row],[Delay_Days]]&lt;=7,"Low Risk(1-7)",IF(Table2[[#This Row],[Delay_Days]]&lt;=15,"Medium Risk(8-15)",IF(Table2[[#This Row],[Delay_Days]]&lt;=30,"High Risk(16-30)","Severe Risk(30+)"))))</f>
        <v>High Risk(16-30)</v>
      </c>
      <c r="J328" s="5">
        <f>AVERAGE(Table2[Due_Amount])</f>
        <v>4635.1866666666665</v>
      </c>
      <c r="K328" s="5">
        <f>Table2[[#This Row],[Estimated_Market_Rent]]-Table2[[#This Row],[Due_Amount]]</f>
        <v>-1667.8133333333335</v>
      </c>
      <c r="L328" s="6">
        <f>IF(Table2[[#This Row],[Current Rent Gap]]&gt;0,Table2[[#This Row],[Current Rent Gap]]/Table2[[#This Row],[Estimated_Market_Rent]],0)</f>
        <v>0</v>
      </c>
      <c r="M328" s="3" t="str">
        <f>IF(Table2[[#This Row],[Under_Market %]]&gt;0.1,"Underpriced","OK")</f>
        <v>OK</v>
      </c>
      <c r="N328" s="5">
        <f>SUMIFS(Table2[[#This Row],[Current Rent Gap]],Table2[[#This Row],[Current Rent Gap]],"&gt;0")</f>
        <v>0</v>
      </c>
    </row>
    <row r="329" spans="1:14" x14ac:dyDescent="0.35">
      <c r="A329" t="s">
        <v>589</v>
      </c>
      <c r="B329" t="s">
        <v>750</v>
      </c>
      <c r="C329">
        <v>4754</v>
      </c>
      <c r="D329">
        <v>4754</v>
      </c>
      <c r="E329">
        <f>Table2[[#This Row],[Due_Amount]]-Table2[[#This Row],[Paid_Amount]]</f>
        <v>0</v>
      </c>
      <c r="F329" s="1">
        <v>45698</v>
      </c>
      <c r="G329">
        <v>4</v>
      </c>
      <c r="H329">
        <f>Table2[[#This Row],[Due_Amount]]*Table2[[#This Row],[Delay_Days]]</f>
        <v>19016</v>
      </c>
      <c r="I329" s="3" t="str">
        <f>IF(Table2[[#This Row],[Delay_Days]]=0,"On Time",IF(Table2[[#This Row],[Delay_Days]]&lt;=7,"Low Risk(1-7)",IF(Table2[[#This Row],[Delay_Days]]&lt;=15,"Medium Risk(8-15)",IF(Table2[[#This Row],[Delay_Days]]&lt;=30,"High Risk(16-30)","Severe Risk(30+)"))))</f>
        <v>Low Risk(1-7)</v>
      </c>
      <c r="J329" s="5">
        <f>AVERAGE(Table2[Due_Amount])</f>
        <v>4635.1866666666665</v>
      </c>
      <c r="K329" s="5">
        <f>Table2[[#This Row],[Estimated_Market_Rent]]-Table2[[#This Row],[Due_Amount]]</f>
        <v>-118.8133333333335</v>
      </c>
      <c r="L329" s="6">
        <f>IF(Table2[[#This Row],[Current Rent Gap]]&gt;0,Table2[[#This Row],[Current Rent Gap]]/Table2[[#This Row],[Estimated_Market_Rent]],0)</f>
        <v>0</v>
      </c>
      <c r="M329" s="3" t="str">
        <f>IF(Table2[[#This Row],[Under_Market %]]&gt;0.1,"Underpriced","OK")</f>
        <v>OK</v>
      </c>
      <c r="N329" s="5">
        <f>SUMIFS(Table2[[#This Row],[Current Rent Gap]],Table2[[#This Row],[Current Rent Gap]],"&gt;0")</f>
        <v>0</v>
      </c>
    </row>
    <row r="330" spans="1:14" x14ac:dyDescent="0.35">
      <c r="A330" t="s">
        <v>613</v>
      </c>
      <c r="B330" t="s">
        <v>744</v>
      </c>
      <c r="C330">
        <v>4091</v>
      </c>
      <c r="D330">
        <v>4091</v>
      </c>
      <c r="E330">
        <f>Table2[[#This Row],[Due_Amount]]-Table2[[#This Row],[Paid_Amount]]</f>
        <v>0</v>
      </c>
      <c r="F330" s="1">
        <v>45692</v>
      </c>
      <c r="G330">
        <v>8</v>
      </c>
      <c r="H330">
        <f>Table2[[#This Row],[Due_Amount]]*Table2[[#This Row],[Delay_Days]]</f>
        <v>32728</v>
      </c>
      <c r="I330" s="3" t="str">
        <f>IF(Table2[[#This Row],[Delay_Days]]=0,"On Time",IF(Table2[[#This Row],[Delay_Days]]&lt;=7,"Low Risk(1-7)",IF(Table2[[#This Row],[Delay_Days]]&lt;=15,"Medium Risk(8-15)",IF(Table2[[#This Row],[Delay_Days]]&lt;=30,"High Risk(16-30)","Severe Risk(30+)"))))</f>
        <v>Medium Risk(8-15)</v>
      </c>
      <c r="J330" s="5">
        <f>AVERAGE(Table2[Due_Amount])</f>
        <v>4635.1866666666665</v>
      </c>
      <c r="K330" s="5">
        <f>Table2[[#This Row],[Estimated_Market_Rent]]-Table2[[#This Row],[Due_Amount]]</f>
        <v>544.1866666666665</v>
      </c>
      <c r="L330" s="6">
        <f>IF(Table2[[#This Row],[Current Rent Gap]]&gt;0,Table2[[#This Row],[Current Rent Gap]]/Table2[[#This Row],[Estimated_Market_Rent]],0)</f>
        <v>0.11740339835288903</v>
      </c>
      <c r="M330" s="3" t="str">
        <f>IF(Table2[[#This Row],[Under_Market %]]&gt;0.1,"Underpriced","OK")</f>
        <v>Underpriced</v>
      </c>
      <c r="N330" s="5">
        <f>SUMIFS(Table2[[#This Row],[Current Rent Gap]],Table2[[#This Row],[Current Rent Gap]],"&gt;0")</f>
        <v>544.1866666666665</v>
      </c>
    </row>
    <row r="331" spans="1:14" x14ac:dyDescent="0.35">
      <c r="A331" t="s">
        <v>658</v>
      </c>
      <c r="B331" t="s">
        <v>754</v>
      </c>
      <c r="C331">
        <v>2493</v>
      </c>
      <c r="D331">
        <v>2493</v>
      </c>
      <c r="E331">
        <f>Table2[[#This Row],[Due_Amount]]-Table2[[#This Row],[Paid_Amount]]</f>
        <v>0</v>
      </c>
      <c r="F331" s="1">
        <v>45786</v>
      </c>
      <c r="G331">
        <v>6</v>
      </c>
      <c r="H331">
        <f>Table2[[#This Row],[Due_Amount]]*Table2[[#This Row],[Delay_Days]]</f>
        <v>14958</v>
      </c>
      <c r="I331" s="3" t="str">
        <f>IF(Table2[[#This Row],[Delay_Days]]=0,"On Time",IF(Table2[[#This Row],[Delay_Days]]&lt;=7,"Low Risk(1-7)",IF(Table2[[#This Row],[Delay_Days]]&lt;=15,"Medium Risk(8-15)",IF(Table2[[#This Row],[Delay_Days]]&lt;=30,"High Risk(16-30)","Severe Risk(30+)"))))</f>
        <v>Low Risk(1-7)</v>
      </c>
      <c r="J331" s="5">
        <f>AVERAGE(Table2[Due_Amount])</f>
        <v>4635.1866666666665</v>
      </c>
      <c r="K331" s="5">
        <f>Table2[[#This Row],[Estimated_Market_Rent]]-Table2[[#This Row],[Due_Amount]]</f>
        <v>2142.1866666666665</v>
      </c>
      <c r="L331" s="6">
        <f>IF(Table2[[#This Row],[Current Rent Gap]]&gt;0,Table2[[#This Row],[Current Rent Gap]]/Table2[[#This Row],[Estimated_Market_Rent]],0)</f>
        <v>0.46215758300996146</v>
      </c>
      <c r="M331" s="3" t="str">
        <f>IF(Table2[[#This Row],[Under_Market %]]&gt;0.1,"Underpriced","OK")</f>
        <v>Underpriced</v>
      </c>
      <c r="N331" s="5">
        <f>SUMIFS(Table2[[#This Row],[Current Rent Gap]],Table2[[#This Row],[Current Rent Gap]],"&gt;0")</f>
        <v>2142.1866666666665</v>
      </c>
    </row>
    <row r="332" spans="1:14" x14ac:dyDescent="0.35">
      <c r="A332" t="s">
        <v>175</v>
      </c>
      <c r="B332" t="s">
        <v>744</v>
      </c>
      <c r="C332">
        <v>6220</v>
      </c>
      <c r="D332">
        <v>6220</v>
      </c>
      <c r="E332">
        <f>Table2[[#This Row],[Due_Amount]]-Table2[[#This Row],[Paid_Amount]]</f>
        <v>0</v>
      </c>
      <c r="F332" s="1">
        <v>46000</v>
      </c>
      <c r="G332">
        <v>8</v>
      </c>
      <c r="H332">
        <f>Table2[[#This Row],[Due_Amount]]*Table2[[#This Row],[Delay_Days]]</f>
        <v>49760</v>
      </c>
      <c r="I332" s="3" t="str">
        <f>IF(Table2[[#This Row],[Delay_Days]]=0,"On Time",IF(Table2[[#This Row],[Delay_Days]]&lt;=7,"Low Risk(1-7)",IF(Table2[[#This Row],[Delay_Days]]&lt;=15,"Medium Risk(8-15)",IF(Table2[[#This Row],[Delay_Days]]&lt;=30,"High Risk(16-30)","Severe Risk(30+)"))))</f>
        <v>Medium Risk(8-15)</v>
      </c>
      <c r="J332" s="5">
        <f>AVERAGE(Table2[Due_Amount])</f>
        <v>4635.1866666666665</v>
      </c>
      <c r="K332" s="5">
        <f>Table2[[#This Row],[Estimated_Market_Rent]]-Table2[[#This Row],[Due_Amount]]</f>
        <v>-1584.8133333333335</v>
      </c>
      <c r="L332" s="6">
        <f>IF(Table2[[#This Row],[Current Rent Gap]]&gt;0,Table2[[#This Row],[Current Rent Gap]]/Table2[[#This Row],[Estimated_Market_Rent]],0)</f>
        <v>0</v>
      </c>
      <c r="M332" s="3" t="str">
        <f>IF(Table2[[#This Row],[Under_Market %]]&gt;0.1,"Underpriced","OK")</f>
        <v>OK</v>
      </c>
      <c r="N332" s="5">
        <f>SUMIFS(Table2[[#This Row],[Current Rent Gap]],Table2[[#This Row],[Current Rent Gap]],"&gt;0")</f>
        <v>0</v>
      </c>
    </row>
    <row r="333" spans="1:14" x14ac:dyDescent="0.35">
      <c r="A333" t="s">
        <v>609</v>
      </c>
      <c r="B333" t="s">
        <v>744</v>
      </c>
      <c r="C333">
        <v>6048</v>
      </c>
      <c r="D333">
        <v>6048</v>
      </c>
      <c r="E333">
        <f>Table2[[#This Row],[Due_Amount]]-Table2[[#This Row],[Paid_Amount]]</f>
        <v>0</v>
      </c>
      <c r="F333" s="1">
        <v>45731</v>
      </c>
      <c r="G333">
        <v>1</v>
      </c>
      <c r="H333">
        <f>Table2[[#This Row],[Due_Amount]]*Table2[[#This Row],[Delay_Days]]</f>
        <v>6048</v>
      </c>
      <c r="I333" s="3" t="str">
        <f>IF(Table2[[#This Row],[Delay_Days]]=0,"On Time",IF(Table2[[#This Row],[Delay_Days]]&lt;=7,"Low Risk(1-7)",IF(Table2[[#This Row],[Delay_Days]]&lt;=15,"Medium Risk(8-15)",IF(Table2[[#This Row],[Delay_Days]]&lt;=30,"High Risk(16-30)","Severe Risk(30+)"))))</f>
        <v>Low Risk(1-7)</v>
      </c>
      <c r="J333" s="5">
        <f>AVERAGE(Table2[Due_Amount])</f>
        <v>4635.1866666666665</v>
      </c>
      <c r="K333" s="5">
        <f>Table2[[#This Row],[Estimated_Market_Rent]]-Table2[[#This Row],[Due_Amount]]</f>
        <v>-1412.8133333333335</v>
      </c>
      <c r="L333" s="6">
        <f>IF(Table2[[#This Row],[Current Rent Gap]]&gt;0,Table2[[#This Row],[Current Rent Gap]]/Table2[[#This Row],[Estimated_Market_Rent]],0)</f>
        <v>0</v>
      </c>
      <c r="M333" s="3" t="str">
        <f>IF(Table2[[#This Row],[Under_Market %]]&gt;0.1,"Underpriced","OK")</f>
        <v>OK</v>
      </c>
      <c r="N333" s="5">
        <f>SUMIFS(Table2[[#This Row],[Current Rent Gap]],Table2[[#This Row],[Current Rent Gap]],"&gt;0")</f>
        <v>0</v>
      </c>
    </row>
    <row r="334" spans="1:14" x14ac:dyDescent="0.35">
      <c r="A334" t="s">
        <v>103</v>
      </c>
      <c r="B334" t="s">
        <v>744</v>
      </c>
      <c r="C334">
        <v>2586</v>
      </c>
      <c r="D334">
        <v>2234</v>
      </c>
      <c r="E334">
        <f>Table2[[#This Row],[Due_Amount]]-Table2[[#This Row],[Paid_Amount]]</f>
        <v>352</v>
      </c>
      <c r="F334" s="1">
        <v>45664</v>
      </c>
      <c r="G334">
        <v>22</v>
      </c>
      <c r="H334">
        <f>Table2[[#This Row],[Due_Amount]]*Table2[[#This Row],[Delay_Days]]</f>
        <v>56892</v>
      </c>
      <c r="I334" s="3" t="str">
        <f>IF(Table2[[#This Row],[Delay_Days]]=0,"On Time",IF(Table2[[#This Row],[Delay_Days]]&lt;=7,"Low Risk(1-7)",IF(Table2[[#This Row],[Delay_Days]]&lt;=15,"Medium Risk(8-15)",IF(Table2[[#This Row],[Delay_Days]]&lt;=30,"High Risk(16-30)","Severe Risk(30+)"))))</f>
        <v>High Risk(16-30)</v>
      </c>
      <c r="J334" s="5">
        <f>AVERAGE(Table2[Due_Amount])</f>
        <v>4635.1866666666665</v>
      </c>
      <c r="K334" s="5">
        <f>Table2[[#This Row],[Estimated_Market_Rent]]-Table2[[#This Row],[Due_Amount]]</f>
        <v>2049.1866666666665</v>
      </c>
      <c r="L334" s="6">
        <f>IF(Table2[[#This Row],[Current Rent Gap]]&gt;0,Table2[[#This Row],[Current Rent Gap]]/Table2[[#This Row],[Estimated_Market_Rent]],0)</f>
        <v>0.44209366613067003</v>
      </c>
      <c r="M334" s="3" t="str">
        <f>IF(Table2[[#This Row],[Under_Market %]]&gt;0.1,"Underpriced","OK")</f>
        <v>Underpriced</v>
      </c>
      <c r="N334" s="5">
        <f>SUMIFS(Table2[[#This Row],[Current Rent Gap]],Table2[[#This Row],[Current Rent Gap]],"&gt;0")</f>
        <v>2049.1866666666665</v>
      </c>
    </row>
    <row r="335" spans="1:14" x14ac:dyDescent="0.35">
      <c r="A335" t="s">
        <v>193</v>
      </c>
      <c r="B335" t="s">
        <v>750</v>
      </c>
      <c r="C335">
        <v>5959</v>
      </c>
      <c r="D335">
        <v>5959</v>
      </c>
      <c r="E335">
        <f>Table2[[#This Row],[Due_Amount]]-Table2[[#This Row],[Paid_Amount]]</f>
        <v>0</v>
      </c>
      <c r="F335" s="1">
        <v>45684</v>
      </c>
      <c r="G335">
        <v>0</v>
      </c>
      <c r="H335">
        <f>Table2[[#This Row],[Due_Amount]]*Table2[[#This Row],[Delay_Days]]</f>
        <v>0</v>
      </c>
      <c r="I335" s="3" t="str">
        <f>IF(Table2[[#This Row],[Delay_Days]]=0,"On Time",IF(Table2[[#This Row],[Delay_Days]]&lt;=7,"Low Risk(1-7)",IF(Table2[[#This Row],[Delay_Days]]&lt;=15,"Medium Risk(8-15)",IF(Table2[[#This Row],[Delay_Days]]&lt;=30,"High Risk(16-30)","Severe Risk(30+)"))))</f>
        <v>On Time</v>
      </c>
      <c r="J335" s="5">
        <f>AVERAGE(Table2[Due_Amount])</f>
        <v>4635.1866666666665</v>
      </c>
      <c r="K335" s="5">
        <f>Table2[[#This Row],[Estimated_Market_Rent]]-Table2[[#This Row],[Due_Amount]]</f>
        <v>-1323.8133333333335</v>
      </c>
      <c r="L335" s="6">
        <f>IF(Table2[[#This Row],[Current Rent Gap]]&gt;0,Table2[[#This Row],[Current Rent Gap]]/Table2[[#This Row],[Estimated_Market_Rent]],0)</f>
        <v>0</v>
      </c>
      <c r="M335" s="3" t="str">
        <f>IF(Table2[[#This Row],[Under_Market %]]&gt;0.1,"Underpriced","OK")</f>
        <v>OK</v>
      </c>
      <c r="N335" s="5">
        <f>SUMIFS(Table2[[#This Row],[Current Rent Gap]],Table2[[#This Row],[Current Rent Gap]],"&gt;0")</f>
        <v>0</v>
      </c>
    </row>
    <row r="336" spans="1:14" x14ac:dyDescent="0.35">
      <c r="A336" t="s">
        <v>464</v>
      </c>
      <c r="B336" t="s">
        <v>744</v>
      </c>
      <c r="C336">
        <v>5442</v>
      </c>
      <c r="D336">
        <v>4787</v>
      </c>
      <c r="E336">
        <f>Table2[[#This Row],[Due_Amount]]-Table2[[#This Row],[Paid_Amount]]</f>
        <v>655</v>
      </c>
      <c r="F336" s="1">
        <v>45865</v>
      </c>
      <c r="G336">
        <v>18</v>
      </c>
      <c r="H336">
        <f>Table2[[#This Row],[Due_Amount]]*Table2[[#This Row],[Delay_Days]]</f>
        <v>97956</v>
      </c>
      <c r="I336" s="3" t="str">
        <f>IF(Table2[[#This Row],[Delay_Days]]=0,"On Time",IF(Table2[[#This Row],[Delay_Days]]&lt;=7,"Low Risk(1-7)",IF(Table2[[#This Row],[Delay_Days]]&lt;=15,"Medium Risk(8-15)",IF(Table2[[#This Row],[Delay_Days]]&lt;=30,"High Risk(16-30)","Severe Risk(30+)"))))</f>
        <v>High Risk(16-30)</v>
      </c>
      <c r="J336" s="5">
        <f>AVERAGE(Table2[Due_Amount])</f>
        <v>4635.1866666666665</v>
      </c>
      <c r="K336" s="5">
        <f>Table2[[#This Row],[Estimated_Market_Rent]]-Table2[[#This Row],[Due_Amount]]</f>
        <v>-806.8133333333335</v>
      </c>
      <c r="L336" s="6">
        <f>IF(Table2[[#This Row],[Current Rent Gap]]&gt;0,Table2[[#This Row],[Current Rent Gap]]/Table2[[#This Row],[Estimated_Market_Rent]],0)</f>
        <v>0</v>
      </c>
      <c r="M336" s="3" t="str">
        <f>IF(Table2[[#This Row],[Under_Market %]]&gt;0.1,"Underpriced","OK")</f>
        <v>OK</v>
      </c>
      <c r="N336" s="5">
        <f>SUMIFS(Table2[[#This Row],[Current Rent Gap]],Table2[[#This Row],[Current Rent Gap]],"&gt;0")</f>
        <v>0</v>
      </c>
    </row>
    <row r="337" spans="1:14" x14ac:dyDescent="0.35">
      <c r="A337" t="s">
        <v>29</v>
      </c>
      <c r="B337" t="s">
        <v>747</v>
      </c>
      <c r="C337">
        <v>5072</v>
      </c>
      <c r="D337">
        <v>5072</v>
      </c>
      <c r="E337">
        <f>Table2[[#This Row],[Due_Amount]]-Table2[[#This Row],[Paid_Amount]]</f>
        <v>0</v>
      </c>
      <c r="F337" s="1">
        <v>45932</v>
      </c>
      <c r="G337">
        <v>3</v>
      </c>
      <c r="H337">
        <f>Table2[[#This Row],[Due_Amount]]*Table2[[#This Row],[Delay_Days]]</f>
        <v>15216</v>
      </c>
      <c r="I337" s="3" t="str">
        <f>IF(Table2[[#This Row],[Delay_Days]]=0,"On Time",IF(Table2[[#This Row],[Delay_Days]]&lt;=7,"Low Risk(1-7)",IF(Table2[[#This Row],[Delay_Days]]&lt;=15,"Medium Risk(8-15)",IF(Table2[[#This Row],[Delay_Days]]&lt;=30,"High Risk(16-30)","Severe Risk(30+)"))))</f>
        <v>Low Risk(1-7)</v>
      </c>
      <c r="J337" s="5">
        <f>AVERAGE(Table2[Due_Amount])</f>
        <v>4635.1866666666665</v>
      </c>
      <c r="K337" s="5">
        <f>Table2[[#This Row],[Estimated_Market_Rent]]-Table2[[#This Row],[Due_Amount]]</f>
        <v>-436.8133333333335</v>
      </c>
      <c r="L337" s="6">
        <f>IF(Table2[[#This Row],[Current Rent Gap]]&gt;0,Table2[[#This Row],[Current Rent Gap]]/Table2[[#This Row],[Estimated_Market_Rent]],0)</f>
        <v>0</v>
      </c>
      <c r="M337" s="3" t="str">
        <f>IF(Table2[[#This Row],[Under_Market %]]&gt;0.1,"Underpriced","OK")</f>
        <v>OK</v>
      </c>
      <c r="N337" s="5">
        <f>SUMIFS(Table2[[#This Row],[Current Rent Gap]],Table2[[#This Row],[Current Rent Gap]],"&gt;0")</f>
        <v>0</v>
      </c>
    </row>
    <row r="338" spans="1:14" x14ac:dyDescent="0.35">
      <c r="A338" t="s">
        <v>521</v>
      </c>
      <c r="B338" t="s">
        <v>753</v>
      </c>
      <c r="C338">
        <v>4964</v>
      </c>
      <c r="D338">
        <v>4813</v>
      </c>
      <c r="E338">
        <f>Table2[[#This Row],[Due_Amount]]-Table2[[#This Row],[Paid_Amount]]</f>
        <v>151</v>
      </c>
      <c r="F338" s="1">
        <v>45846</v>
      </c>
      <c r="G338">
        <v>22</v>
      </c>
      <c r="H338">
        <f>Table2[[#This Row],[Due_Amount]]*Table2[[#This Row],[Delay_Days]]</f>
        <v>109208</v>
      </c>
      <c r="I338" s="3" t="str">
        <f>IF(Table2[[#This Row],[Delay_Days]]=0,"On Time",IF(Table2[[#This Row],[Delay_Days]]&lt;=7,"Low Risk(1-7)",IF(Table2[[#This Row],[Delay_Days]]&lt;=15,"Medium Risk(8-15)",IF(Table2[[#This Row],[Delay_Days]]&lt;=30,"High Risk(16-30)","Severe Risk(30+)"))))</f>
        <v>High Risk(16-30)</v>
      </c>
      <c r="J338" s="5">
        <f>AVERAGE(Table2[Due_Amount])</f>
        <v>4635.1866666666665</v>
      </c>
      <c r="K338" s="5">
        <f>Table2[[#This Row],[Estimated_Market_Rent]]-Table2[[#This Row],[Due_Amount]]</f>
        <v>-328.8133333333335</v>
      </c>
      <c r="L338" s="6">
        <f>IF(Table2[[#This Row],[Current Rent Gap]]&gt;0,Table2[[#This Row],[Current Rent Gap]]/Table2[[#This Row],[Estimated_Market_Rent]],0)</f>
        <v>0</v>
      </c>
      <c r="M338" s="3" t="str">
        <f>IF(Table2[[#This Row],[Under_Market %]]&gt;0.1,"Underpriced","OK")</f>
        <v>OK</v>
      </c>
      <c r="N338" s="5">
        <f>SUMIFS(Table2[[#This Row],[Current Rent Gap]],Table2[[#This Row],[Current Rent Gap]],"&gt;0")</f>
        <v>0</v>
      </c>
    </row>
    <row r="339" spans="1:14" x14ac:dyDescent="0.35">
      <c r="A339" t="s">
        <v>167</v>
      </c>
      <c r="B339" t="s">
        <v>749</v>
      </c>
      <c r="C339">
        <v>2405</v>
      </c>
      <c r="D339">
        <v>2405</v>
      </c>
      <c r="E339">
        <f>Table2[[#This Row],[Due_Amount]]-Table2[[#This Row],[Paid_Amount]]</f>
        <v>0</v>
      </c>
      <c r="F339" s="1">
        <v>45720</v>
      </c>
      <c r="G339">
        <v>0</v>
      </c>
      <c r="H339">
        <f>Table2[[#This Row],[Due_Amount]]*Table2[[#This Row],[Delay_Days]]</f>
        <v>0</v>
      </c>
      <c r="I339" s="3" t="str">
        <f>IF(Table2[[#This Row],[Delay_Days]]=0,"On Time",IF(Table2[[#This Row],[Delay_Days]]&lt;=7,"Low Risk(1-7)",IF(Table2[[#This Row],[Delay_Days]]&lt;=15,"Medium Risk(8-15)",IF(Table2[[#This Row],[Delay_Days]]&lt;=30,"High Risk(16-30)","Severe Risk(30+)"))))</f>
        <v>On Time</v>
      </c>
      <c r="J339" s="5">
        <f>AVERAGE(Table2[Due_Amount])</f>
        <v>4635.1866666666665</v>
      </c>
      <c r="K339" s="5">
        <f>Table2[[#This Row],[Estimated_Market_Rent]]-Table2[[#This Row],[Due_Amount]]</f>
        <v>2230.1866666666665</v>
      </c>
      <c r="L339" s="6">
        <f>IF(Table2[[#This Row],[Current Rent Gap]]&gt;0,Table2[[#This Row],[Current Rent Gap]]/Table2[[#This Row],[Estimated_Market_Rent]],0)</f>
        <v>0.48114279468068888</v>
      </c>
      <c r="M339" s="3" t="str">
        <f>IF(Table2[[#This Row],[Under_Market %]]&gt;0.1,"Underpriced","OK")</f>
        <v>Underpriced</v>
      </c>
      <c r="N339" s="5">
        <f>SUMIFS(Table2[[#This Row],[Current Rent Gap]],Table2[[#This Row],[Current Rent Gap]],"&gt;0")</f>
        <v>2230.1866666666665</v>
      </c>
    </row>
    <row r="340" spans="1:14" x14ac:dyDescent="0.35">
      <c r="A340" t="s">
        <v>58</v>
      </c>
      <c r="B340" t="s">
        <v>746</v>
      </c>
      <c r="C340">
        <v>4147</v>
      </c>
      <c r="D340">
        <v>4147</v>
      </c>
      <c r="E340">
        <f>Table2[[#This Row],[Due_Amount]]-Table2[[#This Row],[Paid_Amount]]</f>
        <v>0</v>
      </c>
      <c r="F340" s="1">
        <v>45749</v>
      </c>
      <c r="G340">
        <v>9</v>
      </c>
      <c r="H340">
        <f>Table2[[#This Row],[Due_Amount]]*Table2[[#This Row],[Delay_Days]]</f>
        <v>37323</v>
      </c>
      <c r="I340" s="3" t="str">
        <f>IF(Table2[[#This Row],[Delay_Days]]=0,"On Time",IF(Table2[[#This Row],[Delay_Days]]&lt;=7,"Low Risk(1-7)",IF(Table2[[#This Row],[Delay_Days]]&lt;=15,"Medium Risk(8-15)",IF(Table2[[#This Row],[Delay_Days]]&lt;=30,"High Risk(16-30)","Severe Risk(30+)"))))</f>
        <v>Medium Risk(8-15)</v>
      </c>
      <c r="J340" s="5">
        <f>AVERAGE(Table2[Due_Amount])</f>
        <v>4635.1866666666665</v>
      </c>
      <c r="K340" s="5">
        <f>Table2[[#This Row],[Estimated_Market_Rent]]-Table2[[#This Row],[Due_Amount]]</f>
        <v>488.1866666666665</v>
      </c>
      <c r="L340" s="6">
        <f>IF(Table2[[#This Row],[Current Rent Gap]]&gt;0,Table2[[#This Row],[Current Rent Gap]]/Table2[[#This Row],[Estimated_Market_Rent]],0)</f>
        <v>0.1053219000169716</v>
      </c>
      <c r="M340" s="3" t="str">
        <f>IF(Table2[[#This Row],[Under_Market %]]&gt;0.1,"Underpriced","OK")</f>
        <v>Underpriced</v>
      </c>
      <c r="N340" s="5">
        <f>SUMIFS(Table2[[#This Row],[Current Rent Gap]],Table2[[#This Row],[Current Rent Gap]],"&gt;0")</f>
        <v>488.1866666666665</v>
      </c>
    </row>
    <row r="341" spans="1:14" x14ac:dyDescent="0.35">
      <c r="A341" t="s">
        <v>621</v>
      </c>
      <c r="B341" t="s">
        <v>745</v>
      </c>
      <c r="C341">
        <v>4993</v>
      </c>
      <c r="D341">
        <v>4016</v>
      </c>
      <c r="E341">
        <f>Table2[[#This Row],[Due_Amount]]-Table2[[#This Row],[Paid_Amount]]</f>
        <v>977</v>
      </c>
      <c r="F341" s="1">
        <v>45670</v>
      </c>
      <c r="G341">
        <v>23</v>
      </c>
      <c r="H341">
        <f>Table2[[#This Row],[Due_Amount]]*Table2[[#This Row],[Delay_Days]]</f>
        <v>114839</v>
      </c>
      <c r="I341" s="3" t="str">
        <f>IF(Table2[[#This Row],[Delay_Days]]=0,"On Time",IF(Table2[[#This Row],[Delay_Days]]&lt;=7,"Low Risk(1-7)",IF(Table2[[#This Row],[Delay_Days]]&lt;=15,"Medium Risk(8-15)",IF(Table2[[#This Row],[Delay_Days]]&lt;=30,"High Risk(16-30)","Severe Risk(30+)"))))</f>
        <v>High Risk(16-30)</v>
      </c>
      <c r="J341" s="5">
        <f>AVERAGE(Table2[Due_Amount])</f>
        <v>4635.1866666666665</v>
      </c>
      <c r="K341" s="5">
        <f>Table2[[#This Row],[Estimated_Market_Rent]]-Table2[[#This Row],[Due_Amount]]</f>
        <v>-357.8133333333335</v>
      </c>
      <c r="L341" s="6">
        <f>IF(Table2[[#This Row],[Current Rent Gap]]&gt;0,Table2[[#This Row],[Current Rent Gap]]/Table2[[#This Row],[Estimated_Market_Rent]],0)</f>
        <v>0</v>
      </c>
      <c r="M341" s="3" t="str">
        <f>IF(Table2[[#This Row],[Under_Market %]]&gt;0.1,"Underpriced","OK")</f>
        <v>OK</v>
      </c>
      <c r="N341" s="5">
        <f>SUMIFS(Table2[[#This Row],[Current Rent Gap]],Table2[[#This Row],[Current Rent Gap]],"&gt;0")</f>
        <v>0</v>
      </c>
    </row>
    <row r="342" spans="1:14" x14ac:dyDescent="0.35">
      <c r="A342" t="s">
        <v>554</v>
      </c>
      <c r="B342" t="s">
        <v>743</v>
      </c>
      <c r="C342">
        <v>5180</v>
      </c>
      <c r="D342">
        <v>4426</v>
      </c>
      <c r="E342">
        <f>Table2[[#This Row],[Due_Amount]]-Table2[[#This Row],[Paid_Amount]]</f>
        <v>754</v>
      </c>
      <c r="F342" s="1">
        <v>45919</v>
      </c>
      <c r="G342">
        <v>14</v>
      </c>
      <c r="H342">
        <f>Table2[[#This Row],[Due_Amount]]*Table2[[#This Row],[Delay_Days]]</f>
        <v>72520</v>
      </c>
      <c r="I342" s="3" t="str">
        <f>IF(Table2[[#This Row],[Delay_Days]]=0,"On Time",IF(Table2[[#This Row],[Delay_Days]]&lt;=7,"Low Risk(1-7)",IF(Table2[[#This Row],[Delay_Days]]&lt;=15,"Medium Risk(8-15)",IF(Table2[[#This Row],[Delay_Days]]&lt;=30,"High Risk(16-30)","Severe Risk(30+)"))))</f>
        <v>Medium Risk(8-15)</v>
      </c>
      <c r="J342" s="5">
        <f>AVERAGE(Table2[Due_Amount])</f>
        <v>4635.1866666666665</v>
      </c>
      <c r="K342" s="5">
        <f>Table2[[#This Row],[Estimated_Market_Rent]]-Table2[[#This Row],[Due_Amount]]</f>
        <v>-544.8133333333335</v>
      </c>
      <c r="L342" s="6">
        <f>IF(Table2[[#This Row],[Current Rent Gap]]&gt;0,Table2[[#This Row],[Current Rent Gap]]/Table2[[#This Row],[Estimated_Market_Rent]],0)</f>
        <v>0</v>
      </c>
      <c r="M342" s="3" t="str">
        <f>IF(Table2[[#This Row],[Under_Market %]]&gt;0.1,"Underpriced","OK")</f>
        <v>OK</v>
      </c>
      <c r="N342" s="5">
        <f>SUMIFS(Table2[[#This Row],[Current Rent Gap]],Table2[[#This Row],[Current Rent Gap]],"&gt;0")</f>
        <v>0</v>
      </c>
    </row>
    <row r="343" spans="1:14" x14ac:dyDescent="0.35">
      <c r="A343" t="s">
        <v>139</v>
      </c>
      <c r="B343" t="s">
        <v>749</v>
      </c>
      <c r="C343">
        <v>4989</v>
      </c>
      <c r="D343">
        <v>4989</v>
      </c>
      <c r="E343">
        <f>Table2[[#This Row],[Due_Amount]]-Table2[[#This Row],[Paid_Amount]]</f>
        <v>0</v>
      </c>
      <c r="F343" s="1">
        <v>45997</v>
      </c>
      <c r="G343">
        <v>5</v>
      </c>
      <c r="H343">
        <f>Table2[[#This Row],[Due_Amount]]*Table2[[#This Row],[Delay_Days]]</f>
        <v>24945</v>
      </c>
      <c r="I343" s="3" t="str">
        <f>IF(Table2[[#This Row],[Delay_Days]]=0,"On Time",IF(Table2[[#This Row],[Delay_Days]]&lt;=7,"Low Risk(1-7)",IF(Table2[[#This Row],[Delay_Days]]&lt;=15,"Medium Risk(8-15)",IF(Table2[[#This Row],[Delay_Days]]&lt;=30,"High Risk(16-30)","Severe Risk(30+)"))))</f>
        <v>Low Risk(1-7)</v>
      </c>
      <c r="J343" s="5">
        <f>AVERAGE(Table2[Due_Amount])</f>
        <v>4635.1866666666665</v>
      </c>
      <c r="K343" s="5">
        <f>Table2[[#This Row],[Estimated_Market_Rent]]-Table2[[#This Row],[Due_Amount]]</f>
        <v>-353.8133333333335</v>
      </c>
      <c r="L343" s="6">
        <f>IF(Table2[[#This Row],[Current Rent Gap]]&gt;0,Table2[[#This Row],[Current Rent Gap]]/Table2[[#This Row],[Estimated_Market_Rent]],0)</f>
        <v>0</v>
      </c>
      <c r="M343" s="3" t="str">
        <f>IF(Table2[[#This Row],[Under_Market %]]&gt;0.1,"Underpriced","OK")</f>
        <v>OK</v>
      </c>
      <c r="N343" s="5">
        <f>SUMIFS(Table2[[#This Row],[Current Rent Gap]],Table2[[#This Row],[Current Rent Gap]],"&gt;0")</f>
        <v>0</v>
      </c>
    </row>
    <row r="344" spans="1:14" x14ac:dyDescent="0.35">
      <c r="A344" t="s">
        <v>452</v>
      </c>
      <c r="B344" t="s">
        <v>751</v>
      </c>
      <c r="C344">
        <v>6806</v>
      </c>
      <c r="D344">
        <v>5838</v>
      </c>
      <c r="E344">
        <f>Table2[[#This Row],[Due_Amount]]-Table2[[#This Row],[Paid_Amount]]</f>
        <v>968</v>
      </c>
      <c r="F344" s="1">
        <v>45802</v>
      </c>
      <c r="G344">
        <v>10</v>
      </c>
      <c r="H344">
        <f>Table2[[#This Row],[Due_Amount]]*Table2[[#This Row],[Delay_Days]]</f>
        <v>68060</v>
      </c>
      <c r="I344" s="3" t="str">
        <f>IF(Table2[[#This Row],[Delay_Days]]=0,"On Time",IF(Table2[[#This Row],[Delay_Days]]&lt;=7,"Low Risk(1-7)",IF(Table2[[#This Row],[Delay_Days]]&lt;=15,"Medium Risk(8-15)",IF(Table2[[#This Row],[Delay_Days]]&lt;=30,"High Risk(16-30)","Severe Risk(30+)"))))</f>
        <v>Medium Risk(8-15)</v>
      </c>
      <c r="J344" s="5">
        <f>AVERAGE(Table2[Due_Amount])</f>
        <v>4635.1866666666665</v>
      </c>
      <c r="K344" s="5">
        <f>Table2[[#This Row],[Estimated_Market_Rent]]-Table2[[#This Row],[Due_Amount]]</f>
        <v>-2170.8133333333335</v>
      </c>
      <c r="L344" s="6">
        <f>IF(Table2[[#This Row],[Current Rent Gap]]&gt;0,Table2[[#This Row],[Current Rent Gap]]/Table2[[#This Row],[Estimated_Market_Rent]],0)</f>
        <v>0</v>
      </c>
      <c r="M344" s="3" t="str">
        <f>IF(Table2[[#This Row],[Under_Market %]]&gt;0.1,"Underpriced","OK")</f>
        <v>OK</v>
      </c>
      <c r="N344" s="5">
        <f>SUMIFS(Table2[[#This Row],[Current Rent Gap]],Table2[[#This Row],[Current Rent Gap]],"&gt;0")</f>
        <v>0</v>
      </c>
    </row>
    <row r="345" spans="1:14" x14ac:dyDescent="0.35">
      <c r="A345" t="s">
        <v>172</v>
      </c>
      <c r="B345" t="s">
        <v>744</v>
      </c>
      <c r="C345">
        <v>6411</v>
      </c>
      <c r="D345">
        <v>6223</v>
      </c>
      <c r="E345">
        <f>Table2[[#This Row],[Due_Amount]]-Table2[[#This Row],[Paid_Amount]]</f>
        <v>188</v>
      </c>
      <c r="F345" s="1">
        <v>45861</v>
      </c>
      <c r="G345">
        <v>14</v>
      </c>
      <c r="H345">
        <f>Table2[[#This Row],[Due_Amount]]*Table2[[#This Row],[Delay_Days]]</f>
        <v>89754</v>
      </c>
      <c r="I345" s="3" t="str">
        <f>IF(Table2[[#This Row],[Delay_Days]]=0,"On Time",IF(Table2[[#This Row],[Delay_Days]]&lt;=7,"Low Risk(1-7)",IF(Table2[[#This Row],[Delay_Days]]&lt;=15,"Medium Risk(8-15)",IF(Table2[[#This Row],[Delay_Days]]&lt;=30,"High Risk(16-30)","Severe Risk(30+)"))))</f>
        <v>Medium Risk(8-15)</v>
      </c>
      <c r="J345" s="5">
        <f>AVERAGE(Table2[Due_Amount])</f>
        <v>4635.1866666666665</v>
      </c>
      <c r="K345" s="5">
        <f>Table2[[#This Row],[Estimated_Market_Rent]]-Table2[[#This Row],[Due_Amount]]</f>
        <v>-1775.8133333333335</v>
      </c>
      <c r="L345" s="6">
        <f>IF(Table2[[#This Row],[Current Rent Gap]]&gt;0,Table2[[#This Row],[Current Rent Gap]]/Table2[[#This Row],[Estimated_Market_Rent]],0)</f>
        <v>0</v>
      </c>
      <c r="M345" s="3" t="str">
        <f>IF(Table2[[#This Row],[Under_Market %]]&gt;0.1,"Underpriced","OK")</f>
        <v>OK</v>
      </c>
      <c r="N345" s="5">
        <f>SUMIFS(Table2[[#This Row],[Current Rent Gap]],Table2[[#This Row],[Current Rent Gap]],"&gt;0")</f>
        <v>0</v>
      </c>
    </row>
    <row r="346" spans="1:14" x14ac:dyDescent="0.35">
      <c r="A346" t="s">
        <v>694</v>
      </c>
      <c r="B346" t="s">
        <v>743</v>
      </c>
      <c r="C346">
        <v>4639</v>
      </c>
      <c r="D346">
        <v>4639</v>
      </c>
      <c r="E346">
        <f>Table2[[#This Row],[Due_Amount]]-Table2[[#This Row],[Paid_Amount]]</f>
        <v>0</v>
      </c>
      <c r="F346" s="1">
        <v>45922</v>
      </c>
      <c r="G346">
        <v>3</v>
      </c>
      <c r="H346">
        <f>Table2[[#This Row],[Due_Amount]]*Table2[[#This Row],[Delay_Days]]</f>
        <v>13917</v>
      </c>
      <c r="I346" s="3" t="str">
        <f>IF(Table2[[#This Row],[Delay_Days]]=0,"On Time",IF(Table2[[#This Row],[Delay_Days]]&lt;=7,"Low Risk(1-7)",IF(Table2[[#This Row],[Delay_Days]]&lt;=15,"Medium Risk(8-15)",IF(Table2[[#This Row],[Delay_Days]]&lt;=30,"High Risk(16-30)","Severe Risk(30+)"))))</f>
        <v>Low Risk(1-7)</v>
      </c>
      <c r="J346" s="5">
        <f>AVERAGE(Table2[Due_Amount])</f>
        <v>4635.1866666666665</v>
      </c>
      <c r="K346" s="5">
        <f>Table2[[#This Row],[Estimated_Market_Rent]]-Table2[[#This Row],[Due_Amount]]</f>
        <v>-3.8133333333335031</v>
      </c>
      <c r="L346" s="6">
        <f>IF(Table2[[#This Row],[Current Rent Gap]]&gt;0,Table2[[#This Row],[Current Rent Gap]]/Table2[[#This Row],[Estimated_Market_Rent]],0)</f>
        <v>0</v>
      </c>
      <c r="M346" s="3" t="str">
        <f>IF(Table2[[#This Row],[Under_Market %]]&gt;0.1,"Underpriced","OK")</f>
        <v>OK</v>
      </c>
      <c r="N346" s="5">
        <f>SUMIFS(Table2[[#This Row],[Current Rent Gap]],Table2[[#This Row],[Current Rent Gap]],"&gt;0")</f>
        <v>0</v>
      </c>
    </row>
    <row r="347" spans="1:14" x14ac:dyDescent="0.35">
      <c r="A347" t="s">
        <v>415</v>
      </c>
      <c r="B347" t="s">
        <v>744</v>
      </c>
      <c r="C347">
        <v>5804</v>
      </c>
      <c r="D347">
        <v>5688</v>
      </c>
      <c r="E347">
        <f>Table2[[#This Row],[Due_Amount]]-Table2[[#This Row],[Paid_Amount]]</f>
        <v>116</v>
      </c>
      <c r="F347" s="1">
        <v>46012</v>
      </c>
      <c r="G347">
        <v>24</v>
      </c>
      <c r="H347">
        <f>Table2[[#This Row],[Due_Amount]]*Table2[[#This Row],[Delay_Days]]</f>
        <v>139296</v>
      </c>
      <c r="I347" s="3" t="str">
        <f>IF(Table2[[#This Row],[Delay_Days]]=0,"On Time",IF(Table2[[#This Row],[Delay_Days]]&lt;=7,"Low Risk(1-7)",IF(Table2[[#This Row],[Delay_Days]]&lt;=15,"Medium Risk(8-15)",IF(Table2[[#This Row],[Delay_Days]]&lt;=30,"High Risk(16-30)","Severe Risk(30+)"))))</f>
        <v>High Risk(16-30)</v>
      </c>
      <c r="J347" s="5">
        <f>AVERAGE(Table2[Due_Amount])</f>
        <v>4635.1866666666665</v>
      </c>
      <c r="K347" s="5">
        <f>Table2[[#This Row],[Estimated_Market_Rent]]-Table2[[#This Row],[Due_Amount]]</f>
        <v>-1168.8133333333335</v>
      </c>
      <c r="L347" s="6">
        <f>IF(Table2[[#This Row],[Current Rent Gap]]&gt;0,Table2[[#This Row],[Current Rent Gap]]/Table2[[#This Row],[Estimated_Market_Rent]],0)</f>
        <v>0</v>
      </c>
      <c r="M347" s="3" t="str">
        <f>IF(Table2[[#This Row],[Under_Market %]]&gt;0.1,"Underpriced","OK")</f>
        <v>OK</v>
      </c>
      <c r="N347" s="5">
        <f>SUMIFS(Table2[[#This Row],[Current Rent Gap]],Table2[[#This Row],[Current Rent Gap]],"&gt;0")</f>
        <v>0</v>
      </c>
    </row>
    <row r="348" spans="1:14" x14ac:dyDescent="0.35">
      <c r="A348" t="s">
        <v>202</v>
      </c>
      <c r="B348" t="s">
        <v>747</v>
      </c>
      <c r="C348">
        <v>6230</v>
      </c>
      <c r="D348">
        <v>6167</v>
      </c>
      <c r="E348">
        <f>Table2[[#This Row],[Due_Amount]]-Table2[[#This Row],[Paid_Amount]]</f>
        <v>63</v>
      </c>
      <c r="F348" s="1">
        <v>45908</v>
      </c>
      <c r="G348">
        <v>12</v>
      </c>
      <c r="H348">
        <f>Table2[[#This Row],[Due_Amount]]*Table2[[#This Row],[Delay_Days]]</f>
        <v>74760</v>
      </c>
      <c r="I348" s="3" t="str">
        <f>IF(Table2[[#This Row],[Delay_Days]]=0,"On Time",IF(Table2[[#This Row],[Delay_Days]]&lt;=7,"Low Risk(1-7)",IF(Table2[[#This Row],[Delay_Days]]&lt;=15,"Medium Risk(8-15)",IF(Table2[[#This Row],[Delay_Days]]&lt;=30,"High Risk(16-30)","Severe Risk(30+)"))))</f>
        <v>Medium Risk(8-15)</v>
      </c>
      <c r="J348" s="5">
        <f>AVERAGE(Table2[Due_Amount])</f>
        <v>4635.1866666666665</v>
      </c>
      <c r="K348" s="5">
        <f>Table2[[#This Row],[Estimated_Market_Rent]]-Table2[[#This Row],[Due_Amount]]</f>
        <v>-1594.8133333333335</v>
      </c>
      <c r="L348" s="6">
        <f>IF(Table2[[#This Row],[Current Rent Gap]]&gt;0,Table2[[#This Row],[Current Rent Gap]]/Table2[[#This Row],[Estimated_Market_Rent]],0)</f>
        <v>0</v>
      </c>
      <c r="M348" s="3" t="str">
        <f>IF(Table2[[#This Row],[Under_Market %]]&gt;0.1,"Underpriced","OK")</f>
        <v>OK</v>
      </c>
      <c r="N348" s="5">
        <f>SUMIFS(Table2[[#This Row],[Current Rent Gap]],Table2[[#This Row],[Current Rent Gap]],"&gt;0")</f>
        <v>0</v>
      </c>
    </row>
    <row r="349" spans="1:14" x14ac:dyDescent="0.35">
      <c r="A349" t="s">
        <v>249</v>
      </c>
      <c r="B349" t="s">
        <v>746</v>
      </c>
      <c r="C349">
        <v>6929</v>
      </c>
      <c r="D349">
        <v>6929</v>
      </c>
      <c r="E349">
        <f>Table2[[#This Row],[Due_Amount]]-Table2[[#This Row],[Paid_Amount]]</f>
        <v>0</v>
      </c>
      <c r="F349" s="1">
        <v>45740</v>
      </c>
      <c r="G349">
        <v>1</v>
      </c>
      <c r="H349">
        <f>Table2[[#This Row],[Due_Amount]]*Table2[[#This Row],[Delay_Days]]</f>
        <v>6929</v>
      </c>
      <c r="I349" s="3" t="str">
        <f>IF(Table2[[#This Row],[Delay_Days]]=0,"On Time",IF(Table2[[#This Row],[Delay_Days]]&lt;=7,"Low Risk(1-7)",IF(Table2[[#This Row],[Delay_Days]]&lt;=15,"Medium Risk(8-15)",IF(Table2[[#This Row],[Delay_Days]]&lt;=30,"High Risk(16-30)","Severe Risk(30+)"))))</f>
        <v>Low Risk(1-7)</v>
      </c>
      <c r="J349" s="5">
        <f>AVERAGE(Table2[Due_Amount])</f>
        <v>4635.1866666666665</v>
      </c>
      <c r="K349" s="5">
        <f>Table2[[#This Row],[Estimated_Market_Rent]]-Table2[[#This Row],[Due_Amount]]</f>
        <v>-2293.8133333333335</v>
      </c>
      <c r="L349" s="6">
        <f>IF(Table2[[#This Row],[Current Rent Gap]]&gt;0,Table2[[#This Row],[Current Rent Gap]]/Table2[[#This Row],[Estimated_Market_Rent]],0)</f>
        <v>0</v>
      </c>
      <c r="M349" s="3" t="str">
        <f>IF(Table2[[#This Row],[Under_Market %]]&gt;0.1,"Underpriced","OK")</f>
        <v>OK</v>
      </c>
      <c r="N349" s="5">
        <f>SUMIFS(Table2[[#This Row],[Current Rent Gap]],Table2[[#This Row],[Current Rent Gap]],"&gt;0")</f>
        <v>0</v>
      </c>
    </row>
    <row r="350" spans="1:14" x14ac:dyDescent="0.35">
      <c r="A350" t="s">
        <v>41</v>
      </c>
      <c r="B350" t="s">
        <v>750</v>
      </c>
      <c r="C350">
        <v>4378</v>
      </c>
      <c r="D350">
        <v>3586</v>
      </c>
      <c r="E350">
        <f>Table2[[#This Row],[Due_Amount]]-Table2[[#This Row],[Paid_Amount]]</f>
        <v>792</v>
      </c>
      <c r="F350" s="1">
        <v>45938</v>
      </c>
      <c r="G350">
        <v>25</v>
      </c>
      <c r="H350">
        <f>Table2[[#This Row],[Due_Amount]]*Table2[[#This Row],[Delay_Days]]</f>
        <v>109450</v>
      </c>
      <c r="I350" s="3" t="str">
        <f>IF(Table2[[#This Row],[Delay_Days]]=0,"On Time",IF(Table2[[#This Row],[Delay_Days]]&lt;=7,"Low Risk(1-7)",IF(Table2[[#This Row],[Delay_Days]]&lt;=15,"Medium Risk(8-15)",IF(Table2[[#This Row],[Delay_Days]]&lt;=30,"High Risk(16-30)","Severe Risk(30+)"))))</f>
        <v>High Risk(16-30)</v>
      </c>
      <c r="J350" s="5">
        <f>AVERAGE(Table2[Due_Amount])</f>
        <v>4635.1866666666665</v>
      </c>
      <c r="K350" s="5">
        <f>Table2[[#This Row],[Estimated_Market_Rent]]-Table2[[#This Row],[Due_Amount]]</f>
        <v>257.1866666666665</v>
      </c>
      <c r="L350" s="6">
        <f>IF(Table2[[#This Row],[Current Rent Gap]]&gt;0,Table2[[#This Row],[Current Rent Gap]]/Table2[[#This Row],[Estimated_Market_Rent]],0)</f>
        <v>5.5485719381312186E-2</v>
      </c>
      <c r="M350" s="3" t="str">
        <f>IF(Table2[[#This Row],[Under_Market %]]&gt;0.1,"Underpriced","OK")</f>
        <v>OK</v>
      </c>
      <c r="N350" s="5">
        <f>SUMIFS(Table2[[#This Row],[Current Rent Gap]],Table2[[#This Row],[Current Rent Gap]],"&gt;0")</f>
        <v>257.1866666666665</v>
      </c>
    </row>
    <row r="351" spans="1:14" x14ac:dyDescent="0.35">
      <c r="A351" t="s">
        <v>214</v>
      </c>
      <c r="B351" t="s">
        <v>748</v>
      </c>
      <c r="C351">
        <v>2911</v>
      </c>
      <c r="D351">
        <v>2911</v>
      </c>
      <c r="E351">
        <f>Table2[[#This Row],[Due_Amount]]-Table2[[#This Row],[Paid_Amount]]</f>
        <v>0</v>
      </c>
      <c r="F351" s="1">
        <v>45892</v>
      </c>
      <c r="G351">
        <v>6</v>
      </c>
      <c r="H351">
        <f>Table2[[#This Row],[Due_Amount]]*Table2[[#This Row],[Delay_Days]]</f>
        <v>17466</v>
      </c>
      <c r="I351" s="3" t="str">
        <f>IF(Table2[[#This Row],[Delay_Days]]=0,"On Time",IF(Table2[[#This Row],[Delay_Days]]&lt;=7,"Low Risk(1-7)",IF(Table2[[#This Row],[Delay_Days]]&lt;=15,"Medium Risk(8-15)",IF(Table2[[#This Row],[Delay_Days]]&lt;=30,"High Risk(16-30)","Severe Risk(30+)"))))</f>
        <v>Low Risk(1-7)</v>
      </c>
      <c r="J351" s="5">
        <f>AVERAGE(Table2[Due_Amount])</f>
        <v>4635.1866666666665</v>
      </c>
      <c r="K351" s="5">
        <f>Table2[[#This Row],[Estimated_Market_Rent]]-Table2[[#This Row],[Due_Amount]]</f>
        <v>1724.1866666666665</v>
      </c>
      <c r="L351" s="6">
        <f>IF(Table2[[#This Row],[Current Rent Gap]]&gt;0,Table2[[#This Row],[Current Rent Gap]]/Table2[[#This Row],[Estimated_Market_Rent]],0)</f>
        <v>0.37197782757400633</v>
      </c>
      <c r="M351" s="3" t="str">
        <f>IF(Table2[[#This Row],[Under_Market %]]&gt;0.1,"Underpriced","OK")</f>
        <v>Underpriced</v>
      </c>
      <c r="N351" s="5">
        <f>SUMIFS(Table2[[#This Row],[Current Rent Gap]],Table2[[#This Row],[Current Rent Gap]],"&gt;0")</f>
        <v>1724.1866666666665</v>
      </c>
    </row>
    <row r="352" spans="1:14" x14ac:dyDescent="0.35">
      <c r="A352" t="s">
        <v>415</v>
      </c>
      <c r="B352" t="s">
        <v>743</v>
      </c>
      <c r="C352">
        <v>2526</v>
      </c>
      <c r="D352">
        <v>2396</v>
      </c>
      <c r="E352">
        <f>Table2[[#This Row],[Due_Amount]]-Table2[[#This Row],[Paid_Amount]]</f>
        <v>130</v>
      </c>
      <c r="F352" s="1">
        <v>45945</v>
      </c>
      <c r="G352">
        <v>14</v>
      </c>
      <c r="H352">
        <f>Table2[[#This Row],[Due_Amount]]*Table2[[#This Row],[Delay_Days]]</f>
        <v>35364</v>
      </c>
      <c r="I352" s="3" t="str">
        <f>IF(Table2[[#This Row],[Delay_Days]]=0,"On Time",IF(Table2[[#This Row],[Delay_Days]]&lt;=7,"Low Risk(1-7)",IF(Table2[[#This Row],[Delay_Days]]&lt;=15,"Medium Risk(8-15)",IF(Table2[[#This Row],[Delay_Days]]&lt;=30,"High Risk(16-30)","Severe Risk(30+)"))))</f>
        <v>Medium Risk(8-15)</v>
      </c>
      <c r="J352" s="5">
        <f>AVERAGE(Table2[Due_Amount])</f>
        <v>4635.1866666666665</v>
      </c>
      <c r="K352" s="5">
        <f>Table2[[#This Row],[Estimated_Market_Rent]]-Table2[[#This Row],[Due_Amount]]</f>
        <v>2109.1866666666665</v>
      </c>
      <c r="L352" s="6">
        <f>IF(Table2[[#This Row],[Current Rent Gap]]&gt;0,Table2[[#This Row],[Current Rent Gap]]/Table2[[#This Row],[Estimated_Market_Rent]],0)</f>
        <v>0.45503812863343868</v>
      </c>
      <c r="M352" s="3" t="str">
        <f>IF(Table2[[#This Row],[Under_Market %]]&gt;0.1,"Underpriced","OK")</f>
        <v>Underpriced</v>
      </c>
      <c r="N352" s="5">
        <f>SUMIFS(Table2[[#This Row],[Current Rent Gap]],Table2[[#This Row],[Current Rent Gap]],"&gt;0")</f>
        <v>2109.1866666666665</v>
      </c>
    </row>
    <row r="353" spans="1:14" x14ac:dyDescent="0.35">
      <c r="A353" t="s">
        <v>29</v>
      </c>
      <c r="B353" t="s">
        <v>745</v>
      </c>
      <c r="C353">
        <v>6641</v>
      </c>
      <c r="D353">
        <v>6443</v>
      </c>
      <c r="E353">
        <f>Table2[[#This Row],[Due_Amount]]-Table2[[#This Row],[Paid_Amount]]</f>
        <v>198</v>
      </c>
      <c r="F353" s="1">
        <v>45787</v>
      </c>
      <c r="G353">
        <v>16</v>
      </c>
      <c r="H353">
        <f>Table2[[#This Row],[Due_Amount]]*Table2[[#This Row],[Delay_Days]]</f>
        <v>106256</v>
      </c>
      <c r="I353" s="3" t="str">
        <f>IF(Table2[[#This Row],[Delay_Days]]=0,"On Time",IF(Table2[[#This Row],[Delay_Days]]&lt;=7,"Low Risk(1-7)",IF(Table2[[#This Row],[Delay_Days]]&lt;=15,"Medium Risk(8-15)",IF(Table2[[#This Row],[Delay_Days]]&lt;=30,"High Risk(16-30)","Severe Risk(30+)"))))</f>
        <v>High Risk(16-30)</v>
      </c>
      <c r="J353" s="5">
        <f>AVERAGE(Table2[Due_Amount])</f>
        <v>4635.1866666666665</v>
      </c>
      <c r="K353" s="5">
        <f>Table2[[#This Row],[Estimated_Market_Rent]]-Table2[[#This Row],[Due_Amount]]</f>
        <v>-2005.8133333333335</v>
      </c>
      <c r="L353" s="6">
        <f>IF(Table2[[#This Row],[Current Rent Gap]]&gt;0,Table2[[#This Row],[Current Rent Gap]]/Table2[[#This Row],[Estimated_Market_Rent]],0)</f>
        <v>0</v>
      </c>
      <c r="M353" s="3" t="str">
        <f>IF(Table2[[#This Row],[Under_Market %]]&gt;0.1,"Underpriced","OK")</f>
        <v>OK</v>
      </c>
      <c r="N353" s="5">
        <f>SUMIFS(Table2[[#This Row],[Current Rent Gap]],Table2[[#This Row],[Current Rent Gap]],"&gt;0")</f>
        <v>0</v>
      </c>
    </row>
    <row r="354" spans="1:14" x14ac:dyDescent="0.35">
      <c r="A354" t="s">
        <v>398</v>
      </c>
      <c r="B354" t="s">
        <v>746</v>
      </c>
      <c r="C354">
        <v>6992</v>
      </c>
      <c r="D354">
        <v>6979</v>
      </c>
      <c r="E354">
        <f>Table2[[#This Row],[Due_Amount]]-Table2[[#This Row],[Paid_Amount]]</f>
        <v>13</v>
      </c>
      <c r="F354" s="1">
        <v>45768</v>
      </c>
      <c r="G354">
        <v>24</v>
      </c>
      <c r="H354">
        <f>Table2[[#This Row],[Due_Amount]]*Table2[[#This Row],[Delay_Days]]</f>
        <v>167808</v>
      </c>
      <c r="I354" s="3" t="str">
        <f>IF(Table2[[#This Row],[Delay_Days]]=0,"On Time",IF(Table2[[#This Row],[Delay_Days]]&lt;=7,"Low Risk(1-7)",IF(Table2[[#This Row],[Delay_Days]]&lt;=15,"Medium Risk(8-15)",IF(Table2[[#This Row],[Delay_Days]]&lt;=30,"High Risk(16-30)","Severe Risk(30+)"))))</f>
        <v>High Risk(16-30)</v>
      </c>
      <c r="J354" s="5">
        <f>AVERAGE(Table2[Due_Amount])</f>
        <v>4635.1866666666665</v>
      </c>
      <c r="K354" s="5">
        <f>Table2[[#This Row],[Estimated_Market_Rent]]-Table2[[#This Row],[Due_Amount]]</f>
        <v>-2356.8133333333335</v>
      </c>
      <c r="L354" s="6">
        <f>IF(Table2[[#This Row],[Current Rent Gap]]&gt;0,Table2[[#This Row],[Current Rent Gap]]/Table2[[#This Row],[Estimated_Market_Rent]],0)</f>
        <v>0</v>
      </c>
      <c r="M354" s="3" t="str">
        <f>IF(Table2[[#This Row],[Under_Market %]]&gt;0.1,"Underpriced","OK")</f>
        <v>OK</v>
      </c>
      <c r="N354" s="5">
        <f>SUMIFS(Table2[[#This Row],[Current Rent Gap]],Table2[[#This Row],[Current Rent Gap]],"&gt;0")</f>
        <v>0</v>
      </c>
    </row>
    <row r="355" spans="1:14" x14ac:dyDescent="0.35">
      <c r="A355" t="s">
        <v>521</v>
      </c>
      <c r="B355" t="s">
        <v>753</v>
      </c>
      <c r="C355">
        <v>4742</v>
      </c>
      <c r="D355">
        <v>4272</v>
      </c>
      <c r="E355">
        <f>Table2[[#This Row],[Due_Amount]]-Table2[[#This Row],[Paid_Amount]]</f>
        <v>470</v>
      </c>
      <c r="F355" s="1">
        <v>45907</v>
      </c>
      <c r="G355">
        <v>21</v>
      </c>
      <c r="H355">
        <f>Table2[[#This Row],[Due_Amount]]*Table2[[#This Row],[Delay_Days]]</f>
        <v>99582</v>
      </c>
      <c r="I355" s="3" t="str">
        <f>IF(Table2[[#This Row],[Delay_Days]]=0,"On Time",IF(Table2[[#This Row],[Delay_Days]]&lt;=7,"Low Risk(1-7)",IF(Table2[[#This Row],[Delay_Days]]&lt;=15,"Medium Risk(8-15)",IF(Table2[[#This Row],[Delay_Days]]&lt;=30,"High Risk(16-30)","Severe Risk(30+)"))))</f>
        <v>High Risk(16-30)</v>
      </c>
      <c r="J355" s="5">
        <f>AVERAGE(Table2[Due_Amount])</f>
        <v>4635.1866666666665</v>
      </c>
      <c r="K355" s="5">
        <f>Table2[[#This Row],[Estimated_Market_Rent]]-Table2[[#This Row],[Due_Amount]]</f>
        <v>-106.8133333333335</v>
      </c>
      <c r="L355" s="6">
        <f>IF(Table2[[#This Row],[Current Rent Gap]]&gt;0,Table2[[#This Row],[Current Rent Gap]]/Table2[[#This Row],[Estimated_Market_Rent]],0)</f>
        <v>0</v>
      </c>
      <c r="M355" s="3" t="str">
        <f>IF(Table2[[#This Row],[Under_Market %]]&gt;0.1,"Underpriced","OK")</f>
        <v>OK</v>
      </c>
      <c r="N355" s="5">
        <f>SUMIFS(Table2[[#This Row],[Current Rent Gap]],Table2[[#This Row],[Current Rent Gap]],"&gt;0")</f>
        <v>0</v>
      </c>
    </row>
    <row r="356" spans="1:14" x14ac:dyDescent="0.35">
      <c r="A356" t="s">
        <v>114</v>
      </c>
      <c r="B356" t="s">
        <v>747</v>
      </c>
      <c r="C356">
        <v>2398</v>
      </c>
      <c r="D356">
        <v>2398</v>
      </c>
      <c r="E356">
        <f>Table2[[#This Row],[Due_Amount]]-Table2[[#This Row],[Paid_Amount]]</f>
        <v>0</v>
      </c>
      <c r="F356" s="1">
        <v>45756</v>
      </c>
      <c r="G356">
        <v>1</v>
      </c>
      <c r="H356">
        <f>Table2[[#This Row],[Due_Amount]]*Table2[[#This Row],[Delay_Days]]</f>
        <v>2398</v>
      </c>
      <c r="I356" s="3" t="str">
        <f>IF(Table2[[#This Row],[Delay_Days]]=0,"On Time",IF(Table2[[#This Row],[Delay_Days]]&lt;=7,"Low Risk(1-7)",IF(Table2[[#This Row],[Delay_Days]]&lt;=15,"Medium Risk(8-15)",IF(Table2[[#This Row],[Delay_Days]]&lt;=30,"High Risk(16-30)","Severe Risk(30+)"))))</f>
        <v>Low Risk(1-7)</v>
      </c>
      <c r="J356" s="5">
        <f>AVERAGE(Table2[Due_Amount])</f>
        <v>4635.1866666666665</v>
      </c>
      <c r="K356" s="5">
        <f>Table2[[#This Row],[Estimated_Market_Rent]]-Table2[[#This Row],[Due_Amount]]</f>
        <v>2237.1866666666665</v>
      </c>
      <c r="L356" s="6">
        <f>IF(Table2[[#This Row],[Current Rent Gap]]&gt;0,Table2[[#This Row],[Current Rent Gap]]/Table2[[#This Row],[Estimated_Market_Rent]],0)</f>
        <v>0.48265298197267853</v>
      </c>
      <c r="M356" s="3" t="str">
        <f>IF(Table2[[#This Row],[Under_Market %]]&gt;0.1,"Underpriced","OK")</f>
        <v>Underpriced</v>
      </c>
      <c r="N356" s="5">
        <f>SUMIFS(Table2[[#This Row],[Current Rent Gap]],Table2[[#This Row],[Current Rent Gap]],"&gt;0")</f>
        <v>2237.1866666666665</v>
      </c>
    </row>
    <row r="357" spans="1:14" x14ac:dyDescent="0.35">
      <c r="A357" t="s">
        <v>296</v>
      </c>
      <c r="B357" t="s">
        <v>753</v>
      </c>
      <c r="C357">
        <v>4370</v>
      </c>
      <c r="D357">
        <v>4072</v>
      </c>
      <c r="E357">
        <f>Table2[[#This Row],[Due_Amount]]-Table2[[#This Row],[Paid_Amount]]</f>
        <v>298</v>
      </c>
      <c r="F357" s="1">
        <v>45709</v>
      </c>
      <c r="G357">
        <v>12</v>
      </c>
      <c r="H357">
        <f>Table2[[#This Row],[Due_Amount]]*Table2[[#This Row],[Delay_Days]]</f>
        <v>52440</v>
      </c>
      <c r="I357" s="3" t="str">
        <f>IF(Table2[[#This Row],[Delay_Days]]=0,"On Time",IF(Table2[[#This Row],[Delay_Days]]&lt;=7,"Low Risk(1-7)",IF(Table2[[#This Row],[Delay_Days]]&lt;=15,"Medium Risk(8-15)",IF(Table2[[#This Row],[Delay_Days]]&lt;=30,"High Risk(16-30)","Severe Risk(30+)"))))</f>
        <v>Medium Risk(8-15)</v>
      </c>
      <c r="J357" s="5">
        <f>AVERAGE(Table2[Due_Amount])</f>
        <v>4635.1866666666665</v>
      </c>
      <c r="K357" s="5">
        <f>Table2[[#This Row],[Estimated_Market_Rent]]-Table2[[#This Row],[Due_Amount]]</f>
        <v>265.1866666666665</v>
      </c>
      <c r="L357" s="6">
        <f>IF(Table2[[#This Row],[Current Rent Gap]]&gt;0,Table2[[#This Row],[Current Rent Gap]]/Table2[[#This Row],[Estimated_Market_Rent]],0)</f>
        <v>5.7211647715014677E-2</v>
      </c>
      <c r="M357" s="3" t="str">
        <f>IF(Table2[[#This Row],[Under_Market %]]&gt;0.1,"Underpriced","OK")</f>
        <v>OK</v>
      </c>
      <c r="N357" s="5">
        <f>SUMIFS(Table2[[#This Row],[Current Rent Gap]],Table2[[#This Row],[Current Rent Gap]],"&gt;0")</f>
        <v>265.1866666666665</v>
      </c>
    </row>
    <row r="358" spans="1:14" x14ac:dyDescent="0.35">
      <c r="A358" t="s">
        <v>386</v>
      </c>
      <c r="B358" t="s">
        <v>749</v>
      </c>
      <c r="C358">
        <v>5338</v>
      </c>
      <c r="D358">
        <v>5338</v>
      </c>
      <c r="E358">
        <f>Table2[[#This Row],[Due_Amount]]-Table2[[#This Row],[Paid_Amount]]</f>
        <v>0</v>
      </c>
      <c r="F358" s="1">
        <v>45950</v>
      </c>
      <c r="G358">
        <v>1</v>
      </c>
      <c r="H358">
        <f>Table2[[#This Row],[Due_Amount]]*Table2[[#This Row],[Delay_Days]]</f>
        <v>5338</v>
      </c>
      <c r="I358" s="3" t="str">
        <f>IF(Table2[[#This Row],[Delay_Days]]=0,"On Time",IF(Table2[[#This Row],[Delay_Days]]&lt;=7,"Low Risk(1-7)",IF(Table2[[#This Row],[Delay_Days]]&lt;=15,"Medium Risk(8-15)",IF(Table2[[#This Row],[Delay_Days]]&lt;=30,"High Risk(16-30)","Severe Risk(30+)"))))</f>
        <v>Low Risk(1-7)</v>
      </c>
      <c r="J358" s="5">
        <f>AVERAGE(Table2[Due_Amount])</f>
        <v>4635.1866666666665</v>
      </c>
      <c r="K358" s="5">
        <f>Table2[[#This Row],[Estimated_Market_Rent]]-Table2[[#This Row],[Due_Amount]]</f>
        <v>-702.8133333333335</v>
      </c>
      <c r="L358" s="6">
        <f>IF(Table2[[#This Row],[Current Rent Gap]]&gt;0,Table2[[#This Row],[Current Rent Gap]]/Table2[[#This Row],[Estimated_Market_Rent]],0)</f>
        <v>0</v>
      </c>
      <c r="M358" s="3" t="str">
        <f>IF(Table2[[#This Row],[Under_Market %]]&gt;0.1,"Underpriced","OK")</f>
        <v>OK</v>
      </c>
      <c r="N358" s="5">
        <f>SUMIFS(Table2[[#This Row],[Current Rent Gap]],Table2[[#This Row],[Current Rent Gap]],"&gt;0")</f>
        <v>0</v>
      </c>
    </row>
    <row r="359" spans="1:14" x14ac:dyDescent="0.35">
      <c r="A359" t="s">
        <v>618</v>
      </c>
      <c r="B359" t="s">
        <v>747</v>
      </c>
      <c r="C359">
        <v>5749</v>
      </c>
      <c r="D359">
        <v>5352</v>
      </c>
      <c r="E359">
        <f>Table2[[#This Row],[Due_Amount]]-Table2[[#This Row],[Paid_Amount]]</f>
        <v>397</v>
      </c>
      <c r="F359" s="1">
        <v>45684</v>
      </c>
      <c r="G359">
        <v>11</v>
      </c>
      <c r="H359">
        <f>Table2[[#This Row],[Due_Amount]]*Table2[[#This Row],[Delay_Days]]</f>
        <v>63239</v>
      </c>
      <c r="I359" s="3" t="str">
        <f>IF(Table2[[#This Row],[Delay_Days]]=0,"On Time",IF(Table2[[#This Row],[Delay_Days]]&lt;=7,"Low Risk(1-7)",IF(Table2[[#This Row],[Delay_Days]]&lt;=15,"Medium Risk(8-15)",IF(Table2[[#This Row],[Delay_Days]]&lt;=30,"High Risk(16-30)","Severe Risk(30+)"))))</f>
        <v>Medium Risk(8-15)</v>
      </c>
      <c r="J359" s="5">
        <f>AVERAGE(Table2[Due_Amount])</f>
        <v>4635.1866666666665</v>
      </c>
      <c r="K359" s="5">
        <f>Table2[[#This Row],[Estimated_Market_Rent]]-Table2[[#This Row],[Due_Amount]]</f>
        <v>-1113.8133333333335</v>
      </c>
      <c r="L359" s="6">
        <f>IF(Table2[[#This Row],[Current Rent Gap]]&gt;0,Table2[[#This Row],[Current Rent Gap]]/Table2[[#This Row],[Estimated_Market_Rent]],0)</f>
        <v>0</v>
      </c>
      <c r="M359" s="3" t="str">
        <f>IF(Table2[[#This Row],[Under_Market %]]&gt;0.1,"Underpriced","OK")</f>
        <v>OK</v>
      </c>
      <c r="N359" s="5">
        <f>SUMIFS(Table2[[#This Row],[Current Rent Gap]],Table2[[#This Row],[Current Rent Gap]],"&gt;0")</f>
        <v>0</v>
      </c>
    </row>
    <row r="360" spans="1:14" x14ac:dyDescent="0.35">
      <c r="A360" t="s">
        <v>155</v>
      </c>
      <c r="B360" t="s">
        <v>751</v>
      </c>
      <c r="C360">
        <v>6190</v>
      </c>
      <c r="D360">
        <v>5949</v>
      </c>
      <c r="E360">
        <f>Table2[[#This Row],[Due_Amount]]-Table2[[#This Row],[Paid_Amount]]</f>
        <v>241</v>
      </c>
      <c r="F360" s="1">
        <v>45963</v>
      </c>
      <c r="G360">
        <v>13</v>
      </c>
      <c r="H360">
        <f>Table2[[#This Row],[Due_Amount]]*Table2[[#This Row],[Delay_Days]]</f>
        <v>80470</v>
      </c>
      <c r="I360" s="3" t="str">
        <f>IF(Table2[[#This Row],[Delay_Days]]=0,"On Time",IF(Table2[[#This Row],[Delay_Days]]&lt;=7,"Low Risk(1-7)",IF(Table2[[#This Row],[Delay_Days]]&lt;=15,"Medium Risk(8-15)",IF(Table2[[#This Row],[Delay_Days]]&lt;=30,"High Risk(16-30)","Severe Risk(30+)"))))</f>
        <v>Medium Risk(8-15)</v>
      </c>
      <c r="J360" s="5">
        <f>AVERAGE(Table2[Due_Amount])</f>
        <v>4635.1866666666665</v>
      </c>
      <c r="K360" s="5">
        <f>Table2[[#This Row],[Estimated_Market_Rent]]-Table2[[#This Row],[Due_Amount]]</f>
        <v>-1554.8133333333335</v>
      </c>
      <c r="L360" s="6">
        <f>IF(Table2[[#This Row],[Current Rent Gap]]&gt;0,Table2[[#This Row],[Current Rent Gap]]/Table2[[#This Row],[Estimated_Market_Rent]],0)</f>
        <v>0</v>
      </c>
      <c r="M360" s="3" t="str">
        <f>IF(Table2[[#This Row],[Under_Market %]]&gt;0.1,"Underpriced","OK")</f>
        <v>OK</v>
      </c>
      <c r="N360" s="5">
        <f>SUMIFS(Table2[[#This Row],[Current Rent Gap]],Table2[[#This Row],[Current Rent Gap]],"&gt;0")</f>
        <v>0</v>
      </c>
    </row>
    <row r="361" spans="1:14" x14ac:dyDescent="0.35">
      <c r="A361" t="s">
        <v>180</v>
      </c>
      <c r="B361" t="s">
        <v>747</v>
      </c>
      <c r="C361">
        <v>5823</v>
      </c>
      <c r="D361">
        <v>5144</v>
      </c>
      <c r="E361">
        <f>Table2[[#This Row],[Due_Amount]]-Table2[[#This Row],[Paid_Amount]]</f>
        <v>679</v>
      </c>
      <c r="F361" s="1">
        <v>45763</v>
      </c>
      <c r="G361">
        <v>17</v>
      </c>
      <c r="H361">
        <f>Table2[[#This Row],[Due_Amount]]*Table2[[#This Row],[Delay_Days]]</f>
        <v>98991</v>
      </c>
      <c r="I361" s="3" t="str">
        <f>IF(Table2[[#This Row],[Delay_Days]]=0,"On Time",IF(Table2[[#This Row],[Delay_Days]]&lt;=7,"Low Risk(1-7)",IF(Table2[[#This Row],[Delay_Days]]&lt;=15,"Medium Risk(8-15)",IF(Table2[[#This Row],[Delay_Days]]&lt;=30,"High Risk(16-30)","Severe Risk(30+)"))))</f>
        <v>High Risk(16-30)</v>
      </c>
      <c r="J361" s="5">
        <f>AVERAGE(Table2[Due_Amount])</f>
        <v>4635.1866666666665</v>
      </c>
      <c r="K361" s="5">
        <f>Table2[[#This Row],[Estimated_Market_Rent]]-Table2[[#This Row],[Due_Amount]]</f>
        <v>-1187.8133333333335</v>
      </c>
      <c r="L361" s="6">
        <f>IF(Table2[[#This Row],[Current Rent Gap]]&gt;0,Table2[[#This Row],[Current Rent Gap]]/Table2[[#This Row],[Estimated_Market_Rent]],0)</f>
        <v>0</v>
      </c>
      <c r="M361" s="3" t="str">
        <f>IF(Table2[[#This Row],[Under_Market %]]&gt;0.1,"Underpriced","OK")</f>
        <v>OK</v>
      </c>
      <c r="N361" s="5">
        <f>SUMIFS(Table2[[#This Row],[Current Rent Gap]],Table2[[#This Row],[Current Rent Gap]],"&gt;0")</f>
        <v>0</v>
      </c>
    </row>
    <row r="362" spans="1:14" x14ac:dyDescent="0.35">
      <c r="A362" t="s">
        <v>188</v>
      </c>
      <c r="B362" t="s">
        <v>753</v>
      </c>
      <c r="C362">
        <v>3395</v>
      </c>
      <c r="D362">
        <v>3395</v>
      </c>
      <c r="E362">
        <f>Table2[[#This Row],[Due_Amount]]-Table2[[#This Row],[Paid_Amount]]</f>
        <v>0</v>
      </c>
      <c r="F362" s="1">
        <v>45872</v>
      </c>
      <c r="G362">
        <v>9</v>
      </c>
      <c r="H362">
        <f>Table2[[#This Row],[Due_Amount]]*Table2[[#This Row],[Delay_Days]]</f>
        <v>30555</v>
      </c>
      <c r="I362" s="3" t="str">
        <f>IF(Table2[[#This Row],[Delay_Days]]=0,"On Time",IF(Table2[[#This Row],[Delay_Days]]&lt;=7,"Low Risk(1-7)",IF(Table2[[#This Row],[Delay_Days]]&lt;=15,"Medium Risk(8-15)",IF(Table2[[#This Row],[Delay_Days]]&lt;=30,"High Risk(16-30)","Severe Risk(30+)"))))</f>
        <v>Medium Risk(8-15)</v>
      </c>
      <c r="J362" s="5">
        <f>AVERAGE(Table2[Due_Amount])</f>
        <v>4635.1866666666665</v>
      </c>
      <c r="K362" s="5">
        <f>Table2[[#This Row],[Estimated_Market_Rent]]-Table2[[#This Row],[Due_Amount]]</f>
        <v>1240.1866666666665</v>
      </c>
      <c r="L362" s="6">
        <f>IF(Table2[[#This Row],[Current Rent Gap]]&gt;0,Table2[[#This Row],[Current Rent Gap]]/Table2[[#This Row],[Estimated_Market_Rent]],0)</f>
        <v>0.26755916338500568</v>
      </c>
      <c r="M362" s="3" t="str">
        <f>IF(Table2[[#This Row],[Under_Market %]]&gt;0.1,"Underpriced","OK")</f>
        <v>Underpriced</v>
      </c>
      <c r="N362" s="5">
        <f>SUMIFS(Table2[[#This Row],[Current Rent Gap]],Table2[[#This Row],[Current Rent Gap]],"&gt;0")</f>
        <v>1240.1866666666665</v>
      </c>
    </row>
    <row r="363" spans="1:14" x14ac:dyDescent="0.35">
      <c r="A363" t="s">
        <v>587</v>
      </c>
      <c r="B363" t="s">
        <v>743</v>
      </c>
      <c r="C363">
        <v>3422</v>
      </c>
      <c r="D363">
        <v>2585</v>
      </c>
      <c r="E363">
        <f>Table2[[#This Row],[Due_Amount]]-Table2[[#This Row],[Paid_Amount]]</f>
        <v>837</v>
      </c>
      <c r="F363" s="1">
        <v>46019</v>
      </c>
      <c r="G363">
        <v>13</v>
      </c>
      <c r="H363">
        <f>Table2[[#This Row],[Due_Amount]]*Table2[[#This Row],[Delay_Days]]</f>
        <v>44486</v>
      </c>
      <c r="I363" s="3" t="str">
        <f>IF(Table2[[#This Row],[Delay_Days]]=0,"On Time",IF(Table2[[#This Row],[Delay_Days]]&lt;=7,"Low Risk(1-7)",IF(Table2[[#This Row],[Delay_Days]]&lt;=15,"Medium Risk(8-15)",IF(Table2[[#This Row],[Delay_Days]]&lt;=30,"High Risk(16-30)","Severe Risk(30+)"))))</f>
        <v>Medium Risk(8-15)</v>
      </c>
      <c r="J363" s="5">
        <f>AVERAGE(Table2[Due_Amount])</f>
        <v>4635.1866666666665</v>
      </c>
      <c r="K363" s="5">
        <f>Table2[[#This Row],[Estimated_Market_Rent]]-Table2[[#This Row],[Due_Amount]]</f>
        <v>1213.1866666666665</v>
      </c>
      <c r="L363" s="6">
        <f>IF(Table2[[#This Row],[Current Rent Gap]]&gt;0,Table2[[#This Row],[Current Rent Gap]]/Table2[[#This Row],[Estimated_Market_Rent]],0)</f>
        <v>0.26173415525875976</v>
      </c>
      <c r="M363" s="3" t="str">
        <f>IF(Table2[[#This Row],[Under_Market %]]&gt;0.1,"Underpriced","OK")</f>
        <v>Underpriced</v>
      </c>
      <c r="N363" s="5">
        <f>SUMIFS(Table2[[#This Row],[Current Rent Gap]],Table2[[#This Row],[Current Rent Gap]],"&gt;0")</f>
        <v>1213.1866666666665</v>
      </c>
    </row>
    <row r="364" spans="1:14" x14ac:dyDescent="0.35">
      <c r="A364" t="s">
        <v>545</v>
      </c>
      <c r="B364" t="s">
        <v>753</v>
      </c>
      <c r="C364">
        <v>3238</v>
      </c>
      <c r="D364">
        <v>3238</v>
      </c>
      <c r="E364">
        <f>Table2[[#This Row],[Due_Amount]]-Table2[[#This Row],[Paid_Amount]]</f>
        <v>0</v>
      </c>
      <c r="F364" s="1">
        <v>45943</v>
      </c>
      <c r="G364">
        <v>7</v>
      </c>
      <c r="H364">
        <f>Table2[[#This Row],[Due_Amount]]*Table2[[#This Row],[Delay_Days]]</f>
        <v>22666</v>
      </c>
      <c r="I364" s="3" t="str">
        <f>IF(Table2[[#This Row],[Delay_Days]]=0,"On Time",IF(Table2[[#This Row],[Delay_Days]]&lt;=7,"Low Risk(1-7)",IF(Table2[[#This Row],[Delay_Days]]&lt;=15,"Medium Risk(8-15)",IF(Table2[[#This Row],[Delay_Days]]&lt;=30,"High Risk(16-30)","Severe Risk(30+)"))))</f>
        <v>Low Risk(1-7)</v>
      </c>
      <c r="J364" s="5">
        <f>AVERAGE(Table2[Due_Amount])</f>
        <v>4635.1866666666665</v>
      </c>
      <c r="K364" s="5">
        <f>Table2[[#This Row],[Estimated_Market_Rent]]-Table2[[#This Row],[Due_Amount]]</f>
        <v>1397.1866666666665</v>
      </c>
      <c r="L364" s="6">
        <f>IF(Table2[[#This Row],[Current Rent Gap]]&gt;0,Table2[[#This Row],[Current Rent Gap]]/Table2[[#This Row],[Estimated_Market_Rent]],0)</f>
        <v>0.30143050693391704</v>
      </c>
      <c r="M364" s="3" t="str">
        <f>IF(Table2[[#This Row],[Under_Market %]]&gt;0.1,"Underpriced","OK")</f>
        <v>Underpriced</v>
      </c>
      <c r="N364" s="5">
        <f>SUMIFS(Table2[[#This Row],[Current Rent Gap]],Table2[[#This Row],[Current Rent Gap]],"&gt;0")</f>
        <v>1397.1866666666665</v>
      </c>
    </row>
    <row r="365" spans="1:14" x14ac:dyDescent="0.35">
      <c r="A365" t="s">
        <v>415</v>
      </c>
      <c r="B365" t="s">
        <v>743</v>
      </c>
      <c r="C365">
        <v>6492</v>
      </c>
      <c r="D365">
        <v>6402</v>
      </c>
      <c r="E365">
        <f>Table2[[#This Row],[Due_Amount]]-Table2[[#This Row],[Paid_Amount]]</f>
        <v>90</v>
      </c>
      <c r="F365" s="1">
        <v>45712</v>
      </c>
      <c r="G365">
        <v>19</v>
      </c>
      <c r="H365">
        <f>Table2[[#This Row],[Due_Amount]]*Table2[[#This Row],[Delay_Days]]</f>
        <v>123348</v>
      </c>
      <c r="I365" s="3" t="str">
        <f>IF(Table2[[#This Row],[Delay_Days]]=0,"On Time",IF(Table2[[#This Row],[Delay_Days]]&lt;=7,"Low Risk(1-7)",IF(Table2[[#This Row],[Delay_Days]]&lt;=15,"Medium Risk(8-15)",IF(Table2[[#This Row],[Delay_Days]]&lt;=30,"High Risk(16-30)","Severe Risk(30+)"))))</f>
        <v>High Risk(16-30)</v>
      </c>
      <c r="J365" s="5">
        <f>AVERAGE(Table2[Due_Amount])</f>
        <v>4635.1866666666665</v>
      </c>
      <c r="K365" s="5">
        <f>Table2[[#This Row],[Estimated_Market_Rent]]-Table2[[#This Row],[Due_Amount]]</f>
        <v>-1856.8133333333335</v>
      </c>
      <c r="L365" s="6">
        <f>IF(Table2[[#This Row],[Current Rent Gap]]&gt;0,Table2[[#This Row],[Current Rent Gap]]/Table2[[#This Row],[Estimated_Market_Rent]],0)</f>
        <v>0</v>
      </c>
      <c r="M365" s="3" t="str">
        <f>IF(Table2[[#This Row],[Under_Market %]]&gt;0.1,"Underpriced","OK")</f>
        <v>OK</v>
      </c>
      <c r="N365" s="5">
        <f>SUMIFS(Table2[[#This Row],[Current Rent Gap]],Table2[[#This Row],[Current Rent Gap]],"&gt;0")</f>
        <v>0</v>
      </c>
    </row>
    <row r="366" spans="1:14" x14ac:dyDescent="0.35">
      <c r="A366" t="s">
        <v>730</v>
      </c>
      <c r="B366" t="s">
        <v>753</v>
      </c>
      <c r="C366">
        <v>6004</v>
      </c>
      <c r="D366">
        <v>6004</v>
      </c>
      <c r="E366">
        <f>Table2[[#This Row],[Due_Amount]]-Table2[[#This Row],[Paid_Amount]]</f>
        <v>0</v>
      </c>
      <c r="F366" s="1">
        <v>45737</v>
      </c>
      <c r="G366">
        <v>5</v>
      </c>
      <c r="H366">
        <f>Table2[[#This Row],[Due_Amount]]*Table2[[#This Row],[Delay_Days]]</f>
        <v>30020</v>
      </c>
      <c r="I366" s="3" t="str">
        <f>IF(Table2[[#This Row],[Delay_Days]]=0,"On Time",IF(Table2[[#This Row],[Delay_Days]]&lt;=7,"Low Risk(1-7)",IF(Table2[[#This Row],[Delay_Days]]&lt;=15,"Medium Risk(8-15)",IF(Table2[[#This Row],[Delay_Days]]&lt;=30,"High Risk(16-30)","Severe Risk(30+)"))))</f>
        <v>Low Risk(1-7)</v>
      </c>
      <c r="J366" s="5">
        <f>AVERAGE(Table2[Due_Amount])</f>
        <v>4635.1866666666665</v>
      </c>
      <c r="K366" s="5">
        <f>Table2[[#This Row],[Estimated_Market_Rent]]-Table2[[#This Row],[Due_Amount]]</f>
        <v>-1368.8133333333335</v>
      </c>
      <c r="L366" s="6">
        <f>IF(Table2[[#This Row],[Current Rent Gap]]&gt;0,Table2[[#This Row],[Current Rent Gap]]/Table2[[#This Row],[Estimated_Market_Rent]],0)</f>
        <v>0</v>
      </c>
      <c r="M366" s="3" t="str">
        <f>IF(Table2[[#This Row],[Under_Market %]]&gt;0.1,"Underpriced","OK")</f>
        <v>OK</v>
      </c>
      <c r="N366" s="5">
        <f>SUMIFS(Table2[[#This Row],[Current Rent Gap]],Table2[[#This Row],[Current Rent Gap]],"&gt;0")</f>
        <v>0</v>
      </c>
    </row>
    <row r="367" spans="1:14" x14ac:dyDescent="0.35">
      <c r="A367" t="s">
        <v>676</v>
      </c>
      <c r="B367" t="s">
        <v>750</v>
      </c>
      <c r="C367">
        <v>5352</v>
      </c>
      <c r="D367">
        <v>5302</v>
      </c>
      <c r="E367">
        <f>Table2[[#This Row],[Due_Amount]]-Table2[[#This Row],[Paid_Amount]]</f>
        <v>50</v>
      </c>
      <c r="F367" s="1">
        <v>45671</v>
      </c>
      <c r="G367">
        <v>19</v>
      </c>
      <c r="H367">
        <f>Table2[[#This Row],[Due_Amount]]*Table2[[#This Row],[Delay_Days]]</f>
        <v>101688</v>
      </c>
      <c r="I367" s="3" t="str">
        <f>IF(Table2[[#This Row],[Delay_Days]]=0,"On Time",IF(Table2[[#This Row],[Delay_Days]]&lt;=7,"Low Risk(1-7)",IF(Table2[[#This Row],[Delay_Days]]&lt;=15,"Medium Risk(8-15)",IF(Table2[[#This Row],[Delay_Days]]&lt;=30,"High Risk(16-30)","Severe Risk(30+)"))))</f>
        <v>High Risk(16-30)</v>
      </c>
      <c r="J367" s="5">
        <f>AVERAGE(Table2[Due_Amount])</f>
        <v>4635.1866666666665</v>
      </c>
      <c r="K367" s="5">
        <f>Table2[[#This Row],[Estimated_Market_Rent]]-Table2[[#This Row],[Due_Amount]]</f>
        <v>-716.8133333333335</v>
      </c>
      <c r="L367" s="6">
        <f>IF(Table2[[#This Row],[Current Rent Gap]]&gt;0,Table2[[#This Row],[Current Rent Gap]]/Table2[[#This Row],[Estimated_Market_Rent]],0)</f>
        <v>0</v>
      </c>
      <c r="M367" s="3" t="str">
        <f>IF(Table2[[#This Row],[Under_Market %]]&gt;0.1,"Underpriced","OK")</f>
        <v>OK</v>
      </c>
      <c r="N367" s="5">
        <f>SUMIFS(Table2[[#This Row],[Current Rent Gap]],Table2[[#This Row],[Current Rent Gap]],"&gt;0")</f>
        <v>0</v>
      </c>
    </row>
    <row r="368" spans="1:14" x14ac:dyDescent="0.35">
      <c r="A368" t="s">
        <v>310</v>
      </c>
      <c r="B368" t="s">
        <v>750</v>
      </c>
      <c r="C368">
        <v>2396</v>
      </c>
      <c r="D368">
        <v>1621</v>
      </c>
      <c r="E368">
        <f>Table2[[#This Row],[Due_Amount]]-Table2[[#This Row],[Paid_Amount]]</f>
        <v>775</v>
      </c>
      <c r="F368" s="1">
        <v>45685</v>
      </c>
      <c r="G368">
        <v>11</v>
      </c>
      <c r="H368">
        <f>Table2[[#This Row],[Due_Amount]]*Table2[[#This Row],[Delay_Days]]</f>
        <v>26356</v>
      </c>
      <c r="I368" s="3" t="str">
        <f>IF(Table2[[#This Row],[Delay_Days]]=0,"On Time",IF(Table2[[#This Row],[Delay_Days]]&lt;=7,"Low Risk(1-7)",IF(Table2[[#This Row],[Delay_Days]]&lt;=15,"Medium Risk(8-15)",IF(Table2[[#This Row],[Delay_Days]]&lt;=30,"High Risk(16-30)","Severe Risk(30+)"))))</f>
        <v>Medium Risk(8-15)</v>
      </c>
      <c r="J368" s="5">
        <f>AVERAGE(Table2[Due_Amount])</f>
        <v>4635.1866666666665</v>
      </c>
      <c r="K368" s="5">
        <f>Table2[[#This Row],[Estimated_Market_Rent]]-Table2[[#This Row],[Due_Amount]]</f>
        <v>2239.1866666666665</v>
      </c>
      <c r="L368" s="6">
        <f>IF(Table2[[#This Row],[Current Rent Gap]]&gt;0,Table2[[#This Row],[Current Rent Gap]]/Table2[[#This Row],[Estimated_Market_Rent]],0)</f>
        <v>0.48308446405610417</v>
      </c>
      <c r="M368" s="3" t="str">
        <f>IF(Table2[[#This Row],[Under_Market %]]&gt;0.1,"Underpriced","OK")</f>
        <v>Underpriced</v>
      </c>
      <c r="N368" s="5">
        <f>SUMIFS(Table2[[#This Row],[Current Rent Gap]],Table2[[#This Row],[Current Rent Gap]],"&gt;0")</f>
        <v>2239.1866666666665</v>
      </c>
    </row>
    <row r="369" spans="1:14" x14ac:dyDescent="0.35">
      <c r="A369" t="s">
        <v>423</v>
      </c>
      <c r="B369" t="s">
        <v>754</v>
      </c>
      <c r="C369">
        <v>2847</v>
      </c>
      <c r="D369">
        <v>2847</v>
      </c>
      <c r="E369">
        <f>Table2[[#This Row],[Due_Amount]]-Table2[[#This Row],[Paid_Amount]]</f>
        <v>0</v>
      </c>
      <c r="F369" s="1">
        <v>45671</v>
      </c>
      <c r="G369">
        <v>4</v>
      </c>
      <c r="H369">
        <f>Table2[[#This Row],[Due_Amount]]*Table2[[#This Row],[Delay_Days]]</f>
        <v>11388</v>
      </c>
      <c r="I369" s="3" t="str">
        <f>IF(Table2[[#This Row],[Delay_Days]]=0,"On Time",IF(Table2[[#This Row],[Delay_Days]]&lt;=7,"Low Risk(1-7)",IF(Table2[[#This Row],[Delay_Days]]&lt;=15,"Medium Risk(8-15)",IF(Table2[[#This Row],[Delay_Days]]&lt;=30,"High Risk(16-30)","Severe Risk(30+)"))))</f>
        <v>Low Risk(1-7)</v>
      </c>
      <c r="J369" s="5">
        <f>AVERAGE(Table2[Due_Amount])</f>
        <v>4635.1866666666665</v>
      </c>
      <c r="K369" s="5">
        <f>Table2[[#This Row],[Estimated_Market_Rent]]-Table2[[#This Row],[Due_Amount]]</f>
        <v>1788.1866666666665</v>
      </c>
      <c r="L369" s="6">
        <f>IF(Table2[[#This Row],[Current Rent Gap]]&gt;0,Table2[[#This Row],[Current Rent Gap]]/Table2[[#This Row],[Estimated_Market_Rent]],0)</f>
        <v>0.38578525424362625</v>
      </c>
      <c r="M369" s="3" t="str">
        <f>IF(Table2[[#This Row],[Under_Market %]]&gt;0.1,"Underpriced","OK")</f>
        <v>Underpriced</v>
      </c>
      <c r="N369" s="5">
        <f>SUMIFS(Table2[[#This Row],[Current Rent Gap]],Table2[[#This Row],[Current Rent Gap]],"&gt;0")</f>
        <v>1788.1866666666665</v>
      </c>
    </row>
    <row r="370" spans="1:14" x14ac:dyDescent="0.35">
      <c r="A370" t="s">
        <v>49</v>
      </c>
      <c r="B370" t="s">
        <v>754</v>
      </c>
      <c r="C370">
        <v>5379</v>
      </c>
      <c r="D370">
        <v>5379</v>
      </c>
      <c r="E370">
        <f>Table2[[#This Row],[Due_Amount]]-Table2[[#This Row],[Paid_Amount]]</f>
        <v>0</v>
      </c>
      <c r="F370" s="1">
        <v>45766</v>
      </c>
      <c r="G370">
        <v>4</v>
      </c>
      <c r="H370">
        <f>Table2[[#This Row],[Due_Amount]]*Table2[[#This Row],[Delay_Days]]</f>
        <v>21516</v>
      </c>
      <c r="I370" s="3" t="str">
        <f>IF(Table2[[#This Row],[Delay_Days]]=0,"On Time",IF(Table2[[#This Row],[Delay_Days]]&lt;=7,"Low Risk(1-7)",IF(Table2[[#This Row],[Delay_Days]]&lt;=15,"Medium Risk(8-15)",IF(Table2[[#This Row],[Delay_Days]]&lt;=30,"High Risk(16-30)","Severe Risk(30+)"))))</f>
        <v>Low Risk(1-7)</v>
      </c>
      <c r="J370" s="5">
        <f>AVERAGE(Table2[Due_Amount])</f>
        <v>4635.1866666666665</v>
      </c>
      <c r="K370" s="5">
        <f>Table2[[#This Row],[Estimated_Market_Rent]]-Table2[[#This Row],[Due_Amount]]</f>
        <v>-743.8133333333335</v>
      </c>
      <c r="L370" s="6">
        <f>IF(Table2[[#This Row],[Current Rent Gap]]&gt;0,Table2[[#This Row],[Current Rent Gap]]/Table2[[#This Row],[Estimated_Market_Rent]],0)</f>
        <v>0</v>
      </c>
      <c r="M370" s="3" t="str">
        <f>IF(Table2[[#This Row],[Under_Market %]]&gt;0.1,"Underpriced","OK")</f>
        <v>OK</v>
      </c>
      <c r="N370" s="5">
        <f>SUMIFS(Table2[[#This Row],[Current Rent Gap]],Table2[[#This Row],[Current Rent Gap]],"&gt;0")</f>
        <v>0</v>
      </c>
    </row>
    <row r="371" spans="1:14" x14ac:dyDescent="0.35">
      <c r="A371" t="s">
        <v>694</v>
      </c>
      <c r="B371" t="s">
        <v>745</v>
      </c>
      <c r="C371">
        <v>2188</v>
      </c>
      <c r="D371">
        <v>2188</v>
      </c>
      <c r="E371">
        <f>Table2[[#This Row],[Due_Amount]]-Table2[[#This Row],[Paid_Amount]]</f>
        <v>0</v>
      </c>
      <c r="F371" s="1">
        <v>45690</v>
      </c>
      <c r="G371">
        <v>7</v>
      </c>
      <c r="H371">
        <f>Table2[[#This Row],[Due_Amount]]*Table2[[#This Row],[Delay_Days]]</f>
        <v>15316</v>
      </c>
      <c r="I371" s="3" t="str">
        <f>IF(Table2[[#This Row],[Delay_Days]]=0,"On Time",IF(Table2[[#This Row],[Delay_Days]]&lt;=7,"Low Risk(1-7)",IF(Table2[[#This Row],[Delay_Days]]&lt;=15,"Medium Risk(8-15)",IF(Table2[[#This Row],[Delay_Days]]&lt;=30,"High Risk(16-30)","Severe Risk(30+)"))))</f>
        <v>Low Risk(1-7)</v>
      </c>
      <c r="J371" s="5">
        <f>AVERAGE(Table2[Due_Amount])</f>
        <v>4635.1866666666665</v>
      </c>
      <c r="K371" s="5">
        <f>Table2[[#This Row],[Estimated_Market_Rent]]-Table2[[#This Row],[Due_Amount]]</f>
        <v>2447.1866666666665</v>
      </c>
      <c r="L371" s="6">
        <f>IF(Table2[[#This Row],[Current Rent Gap]]&gt;0,Table2[[#This Row],[Current Rent Gap]]/Table2[[#This Row],[Estimated_Market_Rent]],0)</f>
        <v>0.52795860073236889</v>
      </c>
      <c r="M371" s="3" t="str">
        <f>IF(Table2[[#This Row],[Under_Market %]]&gt;0.1,"Underpriced","OK")</f>
        <v>Underpriced</v>
      </c>
      <c r="N371" s="5">
        <f>SUMIFS(Table2[[#This Row],[Current Rent Gap]],Table2[[#This Row],[Current Rent Gap]],"&gt;0")</f>
        <v>2447.1866666666665</v>
      </c>
    </row>
    <row r="372" spans="1:14" x14ac:dyDescent="0.35">
      <c r="A372" t="s">
        <v>650</v>
      </c>
      <c r="B372" t="s">
        <v>744</v>
      </c>
      <c r="C372">
        <v>5676</v>
      </c>
      <c r="D372">
        <v>5635</v>
      </c>
      <c r="E372">
        <f>Table2[[#This Row],[Due_Amount]]-Table2[[#This Row],[Paid_Amount]]</f>
        <v>41</v>
      </c>
      <c r="F372" s="1">
        <v>45975</v>
      </c>
      <c r="G372">
        <v>11</v>
      </c>
      <c r="H372">
        <f>Table2[[#This Row],[Due_Amount]]*Table2[[#This Row],[Delay_Days]]</f>
        <v>62436</v>
      </c>
      <c r="I372" s="3" t="str">
        <f>IF(Table2[[#This Row],[Delay_Days]]=0,"On Time",IF(Table2[[#This Row],[Delay_Days]]&lt;=7,"Low Risk(1-7)",IF(Table2[[#This Row],[Delay_Days]]&lt;=15,"Medium Risk(8-15)",IF(Table2[[#This Row],[Delay_Days]]&lt;=30,"High Risk(16-30)","Severe Risk(30+)"))))</f>
        <v>Medium Risk(8-15)</v>
      </c>
      <c r="J372" s="5">
        <f>AVERAGE(Table2[Due_Amount])</f>
        <v>4635.1866666666665</v>
      </c>
      <c r="K372" s="5">
        <f>Table2[[#This Row],[Estimated_Market_Rent]]-Table2[[#This Row],[Due_Amount]]</f>
        <v>-1040.8133333333335</v>
      </c>
      <c r="L372" s="6">
        <f>IF(Table2[[#This Row],[Current Rent Gap]]&gt;0,Table2[[#This Row],[Current Rent Gap]]/Table2[[#This Row],[Estimated_Market_Rent]],0)</f>
        <v>0</v>
      </c>
      <c r="M372" s="3" t="str">
        <f>IF(Table2[[#This Row],[Under_Market %]]&gt;0.1,"Underpriced","OK")</f>
        <v>OK</v>
      </c>
      <c r="N372" s="5">
        <f>SUMIFS(Table2[[#This Row],[Current Rent Gap]],Table2[[#This Row],[Current Rent Gap]],"&gt;0")</f>
        <v>0</v>
      </c>
    </row>
    <row r="373" spans="1:14" x14ac:dyDescent="0.35">
      <c r="A373" t="s">
        <v>542</v>
      </c>
      <c r="B373" t="s">
        <v>752</v>
      </c>
      <c r="C373">
        <v>6758</v>
      </c>
      <c r="D373">
        <v>6047</v>
      </c>
      <c r="E373">
        <f>Table2[[#This Row],[Due_Amount]]-Table2[[#This Row],[Paid_Amount]]</f>
        <v>711</v>
      </c>
      <c r="F373" s="1">
        <v>45703</v>
      </c>
      <c r="G373">
        <v>23</v>
      </c>
      <c r="H373">
        <f>Table2[[#This Row],[Due_Amount]]*Table2[[#This Row],[Delay_Days]]</f>
        <v>155434</v>
      </c>
      <c r="I373" s="3" t="str">
        <f>IF(Table2[[#This Row],[Delay_Days]]=0,"On Time",IF(Table2[[#This Row],[Delay_Days]]&lt;=7,"Low Risk(1-7)",IF(Table2[[#This Row],[Delay_Days]]&lt;=15,"Medium Risk(8-15)",IF(Table2[[#This Row],[Delay_Days]]&lt;=30,"High Risk(16-30)","Severe Risk(30+)"))))</f>
        <v>High Risk(16-30)</v>
      </c>
      <c r="J373" s="5">
        <f>AVERAGE(Table2[Due_Amount])</f>
        <v>4635.1866666666665</v>
      </c>
      <c r="K373" s="5">
        <f>Table2[[#This Row],[Estimated_Market_Rent]]-Table2[[#This Row],[Due_Amount]]</f>
        <v>-2122.8133333333335</v>
      </c>
      <c r="L373" s="6">
        <f>IF(Table2[[#This Row],[Current Rent Gap]]&gt;0,Table2[[#This Row],[Current Rent Gap]]/Table2[[#This Row],[Estimated_Market_Rent]],0)</f>
        <v>0</v>
      </c>
      <c r="M373" s="3" t="str">
        <f>IF(Table2[[#This Row],[Under_Market %]]&gt;0.1,"Underpriced","OK")</f>
        <v>OK</v>
      </c>
      <c r="N373" s="5">
        <f>SUMIFS(Table2[[#This Row],[Current Rent Gap]],Table2[[#This Row],[Current Rent Gap]],"&gt;0")</f>
        <v>0</v>
      </c>
    </row>
    <row r="374" spans="1:14" x14ac:dyDescent="0.35">
      <c r="A374" t="s">
        <v>706</v>
      </c>
      <c r="B374" t="s">
        <v>749</v>
      </c>
      <c r="C374">
        <v>2241</v>
      </c>
      <c r="D374">
        <v>2241</v>
      </c>
      <c r="E374">
        <f>Table2[[#This Row],[Due_Amount]]-Table2[[#This Row],[Paid_Amount]]</f>
        <v>0</v>
      </c>
      <c r="F374" s="1">
        <v>45707</v>
      </c>
      <c r="G374">
        <v>9</v>
      </c>
      <c r="H374">
        <f>Table2[[#This Row],[Due_Amount]]*Table2[[#This Row],[Delay_Days]]</f>
        <v>20169</v>
      </c>
      <c r="I374" s="3" t="str">
        <f>IF(Table2[[#This Row],[Delay_Days]]=0,"On Time",IF(Table2[[#This Row],[Delay_Days]]&lt;=7,"Low Risk(1-7)",IF(Table2[[#This Row],[Delay_Days]]&lt;=15,"Medium Risk(8-15)",IF(Table2[[#This Row],[Delay_Days]]&lt;=30,"High Risk(16-30)","Severe Risk(30+)"))))</f>
        <v>Medium Risk(8-15)</v>
      </c>
      <c r="J374" s="5">
        <f>AVERAGE(Table2[Due_Amount])</f>
        <v>4635.1866666666665</v>
      </c>
      <c r="K374" s="5">
        <f>Table2[[#This Row],[Estimated_Market_Rent]]-Table2[[#This Row],[Due_Amount]]</f>
        <v>2394.1866666666665</v>
      </c>
      <c r="L374" s="6">
        <f>IF(Table2[[#This Row],[Current Rent Gap]]&gt;0,Table2[[#This Row],[Current Rent Gap]]/Table2[[#This Row],[Estimated_Market_Rent]],0)</f>
        <v>0.51652432552158989</v>
      </c>
      <c r="M374" s="3" t="str">
        <f>IF(Table2[[#This Row],[Under_Market %]]&gt;0.1,"Underpriced","OK")</f>
        <v>Underpriced</v>
      </c>
      <c r="N374" s="5">
        <f>SUMIFS(Table2[[#This Row],[Current Rent Gap]],Table2[[#This Row],[Current Rent Gap]],"&gt;0")</f>
        <v>2394.1866666666665</v>
      </c>
    </row>
    <row r="375" spans="1:14" x14ac:dyDescent="0.35">
      <c r="A375" t="s">
        <v>638</v>
      </c>
      <c r="B375" t="s">
        <v>745</v>
      </c>
      <c r="C375">
        <v>3655</v>
      </c>
      <c r="D375">
        <v>3115</v>
      </c>
      <c r="E375">
        <f>Table2[[#This Row],[Due_Amount]]-Table2[[#This Row],[Paid_Amount]]</f>
        <v>540</v>
      </c>
      <c r="F375" s="1">
        <v>45907</v>
      </c>
      <c r="G375">
        <v>22</v>
      </c>
      <c r="H375">
        <f>Table2[[#This Row],[Due_Amount]]*Table2[[#This Row],[Delay_Days]]</f>
        <v>80410</v>
      </c>
      <c r="I375" s="3" t="str">
        <f>IF(Table2[[#This Row],[Delay_Days]]=0,"On Time",IF(Table2[[#This Row],[Delay_Days]]&lt;=7,"Low Risk(1-7)",IF(Table2[[#This Row],[Delay_Days]]&lt;=15,"Medium Risk(8-15)",IF(Table2[[#This Row],[Delay_Days]]&lt;=30,"High Risk(16-30)","Severe Risk(30+)"))))</f>
        <v>High Risk(16-30)</v>
      </c>
      <c r="J375" s="5">
        <f>AVERAGE(Table2[Due_Amount])</f>
        <v>4635.1866666666665</v>
      </c>
      <c r="K375" s="5">
        <f>Table2[[#This Row],[Estimated_Market_Rent]]-Table2[[#This Row],[Due_Amount]]</f>
        <v>980.1866666666665</v>
      </c>
      <c r="L375" s="6">
        <f>IF(Table2[[#This Row],[Current Rent Gap]]&gt;0,Table2[[#This Row],[Current Rent Gap]]/Table2[[#This Row],[Estimated_Market_Rent]],0)</f>
        <v>0.21146649253967476</v>
      </c>
      <c r="M375" s="3" t="str">
        <f>IF(Table2[[#This Row],[Under_Market %]]&gt;0.1,"Underpriced","OK")</f>
        <v>Underpriced</v>
      </c>
      <c r="N375" s="5">
        <f>SUMIFS(Table2[[#This Row],[Current Rent Gap]],Table2[[#This Row],[Current Rent Gap]],"&gt;0")</f>
        <v>980.1866666666665</v>
      </c>
    </row>
    <row r="376" spans="1:14" x14ac:dyDescent="0.35">
      <c r="A376" t="s">
        <v>694</v>
      </c>
      <c r="B376" t="s">
        <v>751</v>
      </c>
      <c r="C376">
        <v>3870</v>
      </c>
      <c r="D376">
        <v>3467</v>
      </c>
      <c r="E376">
        <f>Table2[[#This Row],[Due_Amount]]-Table2[[#This Row],[Paid_Amount]]</f>
        <v>403</v>
      </c>
      <c r="F376" s="1">
        <v>45954</v>
      </c>
      <c r="G376">
        <v>18</v>
      </c>
      <c r="H376">
        <f>Table2[[#This Row],[Due_Amount]]*Table2[[#This Row],[Delay_Days]]</f>
        <v>69660</v>
      </c>
      <c r="I376" s="3" t="str">
        <f>IF(Table2[[#This Row],[Delay_Days]]=0,"On Time",IF(Table2[[#This Row],[Delay_Days]]&lt;=7,"Low Risk(1-7)",IF(Table2[[#This Row],[Delay_Days]]&lt;=15,"Medium Risk(8-15)",IF(Table2[[#This Row],[Delay_Days]]&lt;=30,"High Risk(16-30)","Severe Risk(30+)"))))</f>
        <v>High Risk(16-30)</v>
      </c>
      <c r="J376" s="5">
        <f>AVERAGE(Table2[Due_Amount])</f>
        <v>4635.1866666666665</v>
      </c>
      <c r="K376" s="5">
        <f>Table2[[#This Row],[Estimated_Market_Rent]]-Table2[[#This Row],[Due_Amount]]</f>
        <v>765.1866666666665</v>
      </c>
      <c r="L376" s="6">
        <f>IF(Table2[[#This Row],[Current Rent Gap]]&gt;0,Table2[[#This Row],[Current Rent Gap]]/Table2[[#This Row],[Estimated_Market_Rent]],0)</f>
        <v>0.16508216857142033</v>
      </c>
      <c r="M376" s="3" t="str">
        <f>IF(Table2[[#This Row],[Under_Market %]]&gt;0.1,"Underpriced","OK")</f>
        <v>Underpriced</v>
      </c>
      <c r="N376" s="5">
        <f>SUMIFS(Table2[[#This Row],[Current Rent Gap]],Table2[[#This Row],[Current Rent Gap]],"&gt;0")</f>
        <v>765.1866666666665</v>
      </c>
    </row>
    <row r="377" spans="1:14" x14ac:dyDescent="0.35">
      <c r="A377" t="s">
        <v>155</v>
      </c>
      <c r="B377" t="s">
        <v>743</v>
      </c>
      <c r="C377">
        <v>3698</v>
      </c>
      <c r="D377">
        <v>3698</v>
      </c>
      <c r="E377">
        <f>Table2[[#This Row],[Due_Amount]]-Table2[[#This Row],[Paid_Amount]]</f>
        <v>0</v>
      </c>
      <c r="F377" s="1">
        <v>45916</v>
      </c>
      <c r="G377">
        <v>4</v>
      </c>
      <c r="H377">
        <f>Table2[[#This Row],[Due_Amount]]*Table2[[#This Row],[Delay_Days]]</f>
        <v>14792</v>
      </c>
      <c r="I377" s="3" t="str">
        <f>IF(Table2[[#This Row],[Delay_Days]]=0,"On Time",IF(Table2[[#This Row],[Delay_Days]]&lt;=7,"Low Risk(1-7)",IF(Table2[[#This Row],[Delay_Days]]&lt;=15,"Medium Risk(8-15)",IF(Table2[[#This Row],[Delay_Days]]&lt;=30,"High Risk(16-30)","Severe Risk(30+)"))))</f>
        <v>Low Risk(1-7)</v>
      </c>
      <c r="J377" s="5">
        <f>AVERAGE(Table2[Due_Amount])</f>
        <v>4635.1866666666665</v>
      </c>
      <c r="K377" s="5">
        <f>Table2[[#This Row],[Estimated_Market_Rent]]-Table2[[#This Row],[Due_Amount]]</f>
        <v>937.1866666666665</v>
      </c>
      <c r="L377" s="6">
        <f>IF(Table2[[#This Row],[Current Rent Gap]]&gt;0,Table2[[#This Row],[Current Rent Gap]]/Table2[[#This Row],[Estimated_Market_Rent]],0)</f>
        <v>0.20218962774602386</v>
      </c>
      <c r="M377" s="3" t="str">
        <f>IF(Table2[[#This Row],[Under_Market %]]&gt;0.1,"Underpriced","OK")</f>
        <v>Underpriced</v>
      </c>
      <c r="N377" s="5">
        <f>SUMIFS(Table2[[#This Row],[Current Rent Gap]],Table2[[#This Row],[Current Rent Gap]],"&gt;0")</f>
        <v>937.1866666666665</v>
      </c>
    </row>
    <row r="378" spans="1:14" x14ac:dyDescent="0.35">
      <c r="A378" t="s">
        <v>444</v>
      </c>
      <c r="B378" t="s">
        <v>752</v>
      </c>
      <c r="C378">
        <v>2637</v>
      </c>
      <c r="D378">
        <v>1850</v>
      </c>
      <c r="E378">
        <f>Table2[[#This Row],[Due_Amount]]-Table2[[#This Row],[Paid_Amount]]</f>
        <v>787</v>
      </c>
      <c r="F378" s="1">
        <v>45981</v>
      </c>
      <c r="G378">
        <v>19</v>
      </c>
      <c r="H378">
        <f>Table2[[#This Row],[Due_Amount]]*Table2[[#This Row],[Delay_Days]]</f>
        <v>50103</v>
      </c>
      <c r="I378" s="3" t="str">
        <f>IF(Table2[[#This Row],[Delay_Days]]=0,"On Time",IF(Table2[[#This Row],[Delay_Days]]&lt;=7,"Low Risk(1-7)",IF(Table2[[#This Row],[Delay_Days]]&lt;=15,"Medium Risk(8-15)",IF(Table2[[#This Row],[Delay_Days]]&lt;=30,"High Risk(16-30)","Severe Risk(30+)"))))</f>
        <v>High Risk(16-30)</v>
      </c>
      <c r="J378" s="5">
        <f>AVERAGE(Table2[Due_Amount])</f>
        <v>4635.1866666666665</v>
      </c>
      <c r="K378" s="5">
        <f>Table2[[#This Row],[Estimated_Market_Rent]]-Table2[[#This Row],[Due_Amount]]</f>
        <v>1998.1866666666665</v>
      </c>
      <c r="L378" s="6">
        <f>IF(Table2[[#This Row],[Current Rent Gap]]&gt;0,Table2[[#This Row],[Current Rent Gap]]/Table2[[#This Row],[Estimated_Market_Rent]],0)</f>
        <v>0.43109087300331667</v>
      </c>
      <c r="M378" s="3" t="str">
        <f>IF(Table2[[#This Row],[Under_Market %]]&gt;0.1,"Underpriced","OK")</f>
        <v>Underpriced</v>
      </c>
      <c r="N378" s="5">
        <f>SUMIFS(Table2[[#This Row],[Current Rent Gap]],Table2[[#This Row],[Current Rent Gap]],"&gt;0")</f>
        <v>1998.1866666666665</v>
      </c>
    </row>
    <row r="379" spans="1:14" x14ac:dyDescent="0.35">
      <c r="A379" t="s">
        <v>289</v>
      </c>
      <c r="B379" t="s">
        <v>753</v>
      </c>
      <c r="C379">
        <v>6744</v>
      </c>
      <c r="D379">
        <v>6744</v>
      </c>
      <c r="E379">
        <f>Table2[[#This Row],[Due_Amount]]-Table2[[#This Row],[Paid_Amount]]</f>
        <v>0</v>
      </c>
      <c r="F379" s="1">
        <v>45862</v>
      </c>
      <c r="G379">
        <v>8</v>
      </c>
      <c r="H379">
        <f>Table2[[#This Row],[Due_Amount]]*Table2[[#This Row],[Delay_Days]]</f>
        <v>53952</v>
      </c>
      <c r="I379" s="3" t="str">
        <f>IF(Table2[[#This Row],[Delay_Days]]=0,"On Time",IF(Table2[[#This Row],[Delay_Days]]&lt;=7,"Low Risk(1-7)",IF(Table2[[#This Row],[Delay_Days]]&lt;=15,"Medium Risk(8-15)",IF(Table2[[#This Row],[Delay_Days]]&lt;=30,"High Risk(16-30)","Severe Risk(30+)"))))</f>
        <v>Medium Risk(8-15)</v>
      </c>
      <c r="J379" s="5">
        <f>AVERAGE(Table2[Due_Amount])</f>
        <v>4635.1866666666665</v>
      </c>
      <c r="K379" s="5">
        <f>Table2[[#This Row],[Estimated_Market_Rent]]-Table2[[#This Row],[Due_Amount]]</f>
        <v>-2108.8133333333335</v>
      </c>
      <c r="L379" s="6">
        <f>IF(Table2[[#This Row],[Current Rent Gap]]&gt;0,Table2[[#This Row],[Current Rent Gap]]/Table2[[#This Row],[Estimated_Market_Rent]],0)</f>
        <v>0</v>
      </c>
      <c r="M379" s="3" t="str">
        <f>IF(Table2[[#This Row],[Under_Market %]]&gt;0.1,"Underpriced","OK")</f>
        <v>OK</v>
      </c>
      <c r="N379" s="5">
        <f>SUMIFS(Table2[[#This Row],[Current Rent Gap]],Table2[[#This Row],[Current Rent Gap]],"&gt;0")</f>
        <v>0</v>
      </c>
    </row>
    <row r="380" spans="1:14" x14ac:dyDescent="0.35">
      <c r="A380" t="s">
        <v>26</v>
      </c>
      <c r="B380" t="s">
        <v>747</v>
      </c>
      <c r="C380">
        <v>5594</v>
      </c>
      <c r="D380">
        <v>5155</v>
      </c>
      <c r="E380">
        <f>Table2[[#This Row],[Due_Amount]]-Table2[[#This Row],[Paid_Amount]]</f>
        <v>439</v>
      </c>
      <c r="F380" s="1">
        <v>46006</v>
      </c>
      <c r="G380">
        <v>10</v>
      </c>
      <c r="H380">
        <f>Table2[[#This Row],[Due_Amount]]*Table2[[#This Row],[Delay_Days]]</f>
        <v>55940</v>
      </c>
      <c r="I380" s="3" t="str">
        <f>IF(Table2[[#This Row],[Delay_Days]]=0,"On Time",IF(Table2[[#This Row],[Delay_Days]]&lt;=7,"Low Risk(1-7)",IF(Table2[[#This Row],[Delay_Days]]&lt;=15,"Medium Risk(8-15)",IF(Table2[[#This Row],[Delay_Days]]&lt;=30,"High Risk(16-30)","Severe Risk(30+)"))))</f>
        <v>Medium Risk(8-15)</v>
      </c>
      <c r="J380" s="5">
        <f>AVERAGE(Table2[Due_Amount])</f>
        <v>4635.1866666666665</v>
      </c>
      <c r="K380" s="5">
        <f>Table2[[#This Row],[Estimated_Market_Rent]]-Table2[[#This Row],[Due_Amount]]</f>
        <v>-958.8133333333335</v>
      </c>
      <c r="L380" s="6">
        <f>IF(Table2[[#This Row],[Current Rent Gap]]&gt;0,Table2[[#This Row],[Current Rent Gap]]/Table2[[#This Row],[Estimated_Market_Rent]],0)</f>
        <v>0</v>
      </c>
      <c r="M380" s="3" t="str">
        <f>IF(Table2[[#This Row],[Under_Market %]]&gt;0.1,"Underpriced","OK")</f>
        <v>OK</v>
      </c>
      <c r="N380" s="5">
        <f>SUMIFS(Table2[[#This Row],[Current Rent Gap]],Table2[[#This Row],[Current Rent Gap]],"&gt;0")</f>
        <v>0</v>
      </c>
    </row>
    <row r="381" spans="1:14" x14ac:dyDescent="0.35">
      <c r="A381" t="s">
        <v>476</v>
      </c>
      <c r="B381" t="s">
        <v>747</v>
      </c>
      <c r="C381">
        <v>3669</v>
      </c>
      <c r="D381">
        <v>3669</v>
      </c>
      <c r="E381">
        <f>Table2[[#This Row],[Due_Amount]]-Table2[[#This Row],[Paid_Amount]]</f>
        <v>0</v>
      </c>
      <c r="F381" s="1">
        <v>46004</v>
      </c>
      <c r="G381">
        <v>6</v>
      </c>
      <c r="H381">
        <f>Table2[[#This Row],[Due_Amount]]*Table2[[#This Row],[Delay_Days]]</f>
        <v>22014</v>
      </c>
      <c r="I381" s="3" t="str">
        <f>IF(Table2[[#This Row],[Delay_Days]]=0,"On Time",IF(Table2[[#This Row],[Delay_Days]]&lt;=7,"Low Risk(1-7)",IF(Table2[[#This Row],[Delay_Days]]&lt;=15,"Medium Risk(8-15)",IF(Table2[[#This Row],[Delay_Days]]&lt;=30,"High Risk(16-30)","Severe Risk(30+)"))))</f>
        <v>Low Risk(1-7)</v>
      </c>
      <c r="J381" s="5">
        <f>AVERAGE(Table2[Due_Amount])</f>
        <v>4635.1866666666665</v>
      </c>
      <c r="K381" s="5">
        <f>Table2[[#This Row],[Estimated_Market_Rent]]-Table2[[#This Row],[Due_Amount]]</f>
        <v>966.1866666666665</v>
      </c>
      <c r="L381" s="6">
        <f>IF(Table2[[#This Row],[Current Rent Gap]]&gt;0,Table2[[#This Row],[Current Rent Gap]]/Table2[[#This Row],[Estimated_Market_Rent]],0)</f>
        <v>0.2084461179556954</v>
      </c>
      <c r="M381" s="3" t="str">
        <f>IF(Table2[[#This Row],[Under_Market %]]&gt;0.1,"Underpriced","OK")</f>
        <v>Underpriced</v>
      </c>
      <c r="N381" s="5">
        <f>SUMIFS(Table2[[#This Row],[Current Rent Gap]],Table2[[#This Row],[Current Rent Gap]],"&gt;0")</f>
        <v>966.1866666666665</v>
      </c>
    </row>
    <row r="382" spans="1:14" x14ac:dyDescent="0.35">
      <c r="A382" t="s">
        <v>100</v>
      </c>
      <c r="B382" t="s">
        <v>751</v>
      </c>
      <c r="C382">
        <v>6350</v>
      </c>
      <c r="D382">
        <v>5485</v>
      </c>
      <c r="E382">
        <f>Table2[[#This Row],[Due_Amount]]-Table2[[#This Row],[Paid_Amount]]</f>
        <v>865</v>
      </c>
      <c r="F382" s="1">
        <v>45849</v>
      </c>
      <c r="G382">
        <v>24</v>
      </c>
      <c r="H382">
        <f>Table2[[#This Row],[Due_Amount]]*Table2[[#This Row],[Delay_Days]]</f>
        <v>152400</v>
      </c>
      <c r="I382" s="3" t="str">
        <f>IF(Table2[[#This Row],[Delay_Days]]=0,"On Time",IF(Table2[[#This Row],[Delay_Days]]&lt;=7,"Low Risk(1-7)",IF(Table2[[#This Row],[Delay_Days]]&lt;=15,"Medium Risk(8-15)",IF(Table2[[#This Row],[Delay_Days]]&lt;=30,"High Risk(16-30)","Severe Risk(30+)"))))</f>
        <v>High Risk(16-30)</v>
      </c>
      <c r="J382" s="5">
        <f>AVERAGE(Table2[Due_Amount])</f>
        <v>4635.1866666666665</v>
      </c>
      <c r="K382" s="5">
        <f>Table2[[#This Row],[Estimated_Market_Rent]]-Table2[[#This Row],[Due_Amount]]</f>
        <v>-1714.8133333333335</v>
      </c>
      <c r="L382" s="6">
        <f>IF(Table2[[#This Row],[Current Rent Gap]]&gt;0,Table2[[#This Row],[Current Rent Gap]]/Table2[[#This Row],[Estimated_Market_Rent]],0)</f>
        <v>0</v>
      </c>
      <c r="M382" s="3" t="str">
        <f>IF(Table2[[#This Row],[Under_Market %]]&gt;0.1,"Underpriced","OK")</f>
        <v>OK</v>
      </c>
      <c r="N382" s="5">
        <f>SUMIFS(Table2[[#This Row],[Current Rent Gap]],Table2[[#This Row],[Current Rent Gap]],"&gt;0")</f>
        <v>0</v>
      </c>
    </row>
    <row r="383" spans="1:14" x14ac:dyDescent="0.35">
      <c r="A383" t="s">
        <v>646</v>
      </c>
      <c r="B383" t="s">
        <v>750</v>
      </c>
      <c r="C383">
        <v>6452</v>
      </c>
      <c r="D383">
        <v>6452</v>
      </c>
      <c r="E383">
        <f>Table2[[#This Row],[Due_Amount]]-Table2[[#This Row],[Paid_Amount]]</f>
        <v>0</v>
      </c>
      <c r="F383" s="1">
        <v>46004</v>
      </c>
      <c r="G383">
        <v>3</v>
      </c>
      <c r="H383">
        <f>Table2[[#This Row],[Due_Amount]]*Table2[[#This Row],[Delay_Days]]</f>
        <v>19356</v>
      </c>
      <c r="I383" s="3" t="str">
        <f>IF(Table2[[#This Row],[Delay_Days]]=0,"On Time",IF(Table2[[#This Row],[Delay_Days]]&lt;=7,"Low Risk(1-7)",IF(Table2[[#This Row],[Delay_Days]]&lt;=15,"Medium Risk(8-15)",IF(Table2[[#This Row],[Delay_Days]]&lt;=30,"High Risk(16-30)","Severe Risk(30+)"))))</f>
        <v>Low Risk(1-7)</v>
      </c>
      <c r="J383" s="5">
        <f>AVERAGE(Table2[Due_Amount])</f>
        <v>4635.1866666666665</v>
      </c>
      <c r="K383" s="5">
        <f>Table2[[#This Row],[Estimated_Market_Rent]]-Table2[[#This Row],[Due_Amount]]</f>
        <v>-1816.8133333333335</v>
      </c>
      <c r="L383" s="6">
        <f>IF(Table2[[#This Row],[Current Rent Gap]]&gt;0,Table2[[#This Row],[Current Rent Gap]]/Table2[[#This Row],[Estimated_Market_Rent]],0)</f>
        <v>0</v>
      </c>
      <c r="M383" s="3" t="str">
        <f>IF(Table2[[#This Row],[Under_Market %]]&gt;0.1,"Underpriced","OK")</f>
        <v>OK</v>
      </c>
      <c r="N383" s="5">
        <f>SUMIFS(Table2[[#This Row],[Current Rent Gap]],Table2[[#This Row],[Current Rent Gap]],"&gt;0")</f>
        <v>0</v>
      </c>
    </row>
    <row r="384" spans="1:14" x14ac:dyDescent="0.35">
      <c r="A384" t="s">
        <v>368</v>
      </c>
      <c r="B384" t="s">
        <v>749</v>
      </c>
      <c r="C384">
        <v>5209</v>
      </c>
      <c r="D384">
        <v>4457</v>
      </c>
      <c r="E384">
        <f>Table2[[#This Row],[Due_Amount]]-Table2[[#This Row],[Paid_Amount]]</f>
        <v>752</v>
      </c>
      <c r="F384" s="1">
        <v>45754</v>
      </c>
      <c r="G384">
        <v>22</v>
      </c>
      <c r="H384">
        <f>Table2[[#This Row],[Due_Amount]]*Table2[[#This Row],[Delay_Days]]</f>
        <v>114598</v>
      </c>
      <c r="I384" s="3" t="str">
        <f>IF(Table2[[#This Row],[Delay_Days]]=0,"On Time",IF(Table2[[#This Row],[Delay_Days]]&lt;=7,"Low Risk(1-7)",IF(Table2[[#This Row],[Delay_Days]]&lt;=15,"Medium Risk(8-15)",IF(Table2[[#This Row],[Delay_Days]]&lt;=30,"High Risk(16-30)","Severe Risk(30+)"))))</f>
        <v>High Risk(16-30)</v>
      </c>
      <c r="J384" s="5">
        <f>AVERAGE(Table2[Due_Amount])</f>
        <v>4635.1866666666665</v>
      </c>
      <c r="K384" s="5">
        <f>Table2[[#This Row],[Estimated_Market_Rent]]-Table2[[#This Row],[Due_Amount]]</f>
        <v>-573.8133333333335</v>
      </c>
      <c r="L384" s="6">
        <f>IF(Table2[[#This Row],[Current Rent Gap]]&gt;0,Table2[[#This Row],[Current Rent Gap]]/Table2[[#This Row],[Estimated_Market_Rent]],0)</f>
        <v>0</v>
      </c>
      <c r="M384" s="3" t="str">
        <f>IF(Table2[[#This Row],[Under_Market %]]&gt;0.1,"Underpriced","OK")</f>
        <v>OK</v>
      </c>
      <c r="N384" s="5">
        <f>SUMIFS(Table2[[#This Row],[Current Rent Gap]],Table2[[#This Row],[Current Rent Gap]],"&gt;0")</f>
        <v>0</v>
      </c>
    </row>
    <row r="385" spans="1:14" x14ac:dyDescent="0.35">
      <c r="A385" t="s">
        <v>202</v>
      </c>
      <c r="B385" t="s">
        <v>749</v>
      </c>
      <c r="C385">
        <v>4384</v>
      </c>
      <c r="D385">
        <v>3835</v>
      </c>
      <c r="E385">
        <f>Table2[[#This Row],[Due_Amount]]-Table2[[#This Row],[Paid_Amount]]</f>
        <v>549</v>
      </c>
      <c r="F385" s="1">
        <v>45693</v>
      </c>
      <c r="G385">
        <v>11</v>
      </c>
      <c r="H385">
        <f>Table2[[#This Row],[Due_Amount]]*Table2[[#This Row],[Delay_Days]]</f>
        <v>48224</v>
      </c>
      <c r="I385" s="3" t="str">
        <f>IF(Table2[[#This Row],[Delay_Days]]=0,"On Time",IF(Table2[[#This Row],[Delay_Days]]&lt;=7,"Low Risk(1-7)",IF(Table2[[#This Row],[Delay_Days]]&lt;=15,"Medium Risk(8-15)",IF(Table2[[#This Row],[Delay_Days]]&lt;=30,"High Risk(16-30)","Severe Risk(30+)"))))</f>
        <v>Medium Risk(8-15)</v>
      </c>
      <c r="J385" s="5">
        <f>AVERAGE(Table2[Due_Amount])</f>
        <v>4635.1866666666665</v>
      </c>
      <c r="K385" s="5">
        <f>Table2[[#This Row],[Estimated_Market_Rent]]-Table2[[#This Row],[Due_Amount]]</f>
        <v>251.1866666666665</v>
      </c>
      <c r="L385" s="6">
        <f>IF(Table2[[#This Row],[Current Rent Gap]]&gt;0,Table2[[#This Row],[Current Rent Gap]]/Table2[[#This Row],[Estimated_Market_Rent]],0)</f>
        <v>5.419127313103532E-2</v>
      </c>
      <c r="M385" s="3" t="str">
        <f>IF(Table2[[#This Row],[Under_Market %]]&gt;0.1,"Underpriced","OK")</f>
        <v>OK</v>
      </c>
      <c r="N385" s="5">
        <f>SUMIFS(Table2[[#This Row],[Current Rent Gap]],Table2[[#This Row],[Current Rent Gap]],"&gt;0")</f>
        <v>251.1866666666665</v>
      </c>
    </row>
    <row r="386" spans="1:14" x14ac:dyDescent="0.35">
      <c r="A386" t="s">
        <v>437</v>
      </c>
      <c r="B386" t="s">
        <v>752</v>
      </c>
      <c r="C386">
        <v>5535</v>
      </c>
      <c r="D386">
        <v>5354</v>
      </c>
      <c r="E386">
        <f>Table2[[#This Row],[Due_Amount]]-Table2[[#This Row],[Paid_Amount]]</f>
        <v>181</v>
      </c>
      <c r="F386" s="1">
        <v>45700</v>
      </c>
      <c r="G386">
        <v>19</v>
      </c>
      <c r="H386">
        <f>Table2[[#This Row],[Due_Amount]]*Table2[[#This Row],[Delay_Days]]</f>
        <v>105165</v>
      </c>
      <c r="I386" s="3" t="str">
        <f>IF(Table2[[#This Row],[Delay_Days]]=0,"On Time",IF(Table2[[#This Row],[Delay_Days]]&lt;=7,"Low Risk(1-7)",IF(Table2[[#This Row],[Delay_Days]]&lt;=15,"Medium Risk(8-15)",IF(Table2[[#This Row],[Delay_Days]]&lt;=30,"High Risk(16-30)","Severe Risk(30+)"))))</f>
        <v>High Risk(16-30)</v>
      </c>
      <c r="J386" s="5">
        <f>AVERAGE(Table2[Due_Amount])</f>
        <v>4635.1866666666665</v>
      </c>
      <c r="K386" s="5">
        <f>Table2[[#This Row],[Estimated_Market_Rent]]-Table2[[#This Row],[Due_Amount]]</f>
        <v>-899.8133333333335</v>
      </c>
      <c r="L386" s="6">
        <f>IF(Table2[[#This Row],[Current Rent Gap]]&gt;0,Table2[[#This Row],[Current Rent Gap]]/Table2[[#This Row],[Estimated_Market_Rent]],0)</f>
        <v>0</v>
      </c>
      <c r="M386" s="3" t="str">
        <f>IF(Table2[[#This Row],[Under_Market %]]&gt;0.1,"Underpriced","OK")</f>
        <v>OK</v>
      </c>
      <c r="N386" s="5">
        <f>SUMIFS(Table2[[#This Row],[Current Rent Gap]],Table2[[#This Row],[Current Rent Gap]],"&gt;0")</f>
        <v>0</v>
      </c>
    </row>
    <row r="387" spans="1:14" x14ac:dyDescent="0.35">
      <c r="A387" t="s">
        <v>158</v>
      </c>
      <c r="B387" t="s">
        <v>746</v>
      </c>
      <c r="C387">
        <v>4158</v>
      </c>
      <c r="D387">
        <v>3970</v>
      </c>
      <c r="E387">
        <f>Table2[[#This Row],[Due_Amount]]-Table2[[#This Row],[Paid_Amount]]</f>
        <v>188</v>
      </c>
      <c r="F387" s="1">
        <v>45753</v>
      </c>
      <c r="G387">
        <v>11</v>
      </c>
      <c r="H387">
        <f>Table2[[#This Row],[Due_Amount]]*Table2[[#This Row],[Delay_Days]]</f>
        <v>45738</v>
      </c>
      <c r="I387" s="3" t="str">
        <f>IF(Table2[[#This Row],[Delay_Days]]=0,"On Time",IF(Table2[[#This Row],[Delay_Days]]&lt;=7,"Low Risk(1-7)",IF(Table2[[#This Row],[Delay_Days]]&lt;=15,"Medium Risk(8-15)",IF(Table2[[#This Row],[Delay_Days]]&lt;=30,"High Risk(16-30)","Severe Risk(30+)"))))</f>
        <v>Medium Risk(8-15)</v>
      </c>
      <c r="J387" s="5">
        <f>AVERAGE(Table2[Due_Amount])</f>
        <v>4635.1866666666665</v>
      </c>
      <c r="K387" s="5">
        <f>Table2[[#This Row],[Estimated_Market_Rent]]-Table2[[#This Row],[Due_Amount]]</f>
        <v>477.1866666666665</v>
      </c>
      <c r="L387" s="6">
        <f>IF(Table2[[#This Row],[Current Rent Gap]]&gt;0,Table2[[#This Row],[Current Rent Gap]]/Table2[[#This Row],[Estimated_Market_Rent]],0)</f>
        <v>0.10294874855813067</v>
      </c>
      <c r="M387" s="3" t="str">
        <f>IF(Table2[[#This Row],[Under_Market %]]&gt;0.1,"Underpriced","OK")</f>
        <v>Underpriced</v>
      </c>
      <c r="N387" s="5">
        <f>SUMIFS(Table2[[#This Row],[Current Rent Gap]],Table2[[#This Row],[Current Rent Gap]],"&gt;0")</f>
        <v>477.1866666666665</v>
      </c>
    </row>
    <row r="388" spans="1:14" x14ac:dyDescent="0.35">
      <c r="A388" t="s">
        <v>94</v>
      </c>
      <c r="B388" t="s">
        <v>745</v>
      </c>
      <c r="C388">
        <v>3829</v>
      </c>
      <c r="D388">
        <v>3829</v>
      </c>
      <c r="E388">
        <f>Table2[[#This Row],[Due_Amount]]-Table2[[#This Row],[Paid_Amount]]</f>
        <v>0</v>
      </c>
      <c r="F388" s="1">
        <v>45714</v>
      </c>
      <c r="G388">
        <v>5</v>
      </c>
      <c r="H388">
        <f>Table2[[#This Row],[Due_Amount]]*Table2[[#This Row],[Delay_Days]]</f>
        <v>19145</v>
      </c>
      <c r="I388" s="3" t="str">
        <f>IF(Table2[[#This Row],[Delay_Days]]=0,"On Time",IF(Table2[[#This Row],[Delay_Days]]&lt;=7,"Low Risk(1-7)",IF(Table2[[#This Row],[Delay_Days]]&lt;=15,"Medium Risk(8-15)",IF(Table2[[#This Row],[Delay_Days]]&lt;=30,"High Risk(16-30)","Severe Risk(30+)"))))</f>
        <v>Low Risk(1-7)</v>
      </c>
      <c r="J388" s="5">
        <f>AVERAGE(Table2[Due_Amount])</f>
        <v>4635.1866666666665</v>
      </c>
      <c r="K388" s="5">
        <f>Table2[[#This Row],[Estimated_Market_Rent]]-Table2[[#This Row],[Due_Amount]]</f>
        <v>806.1866666666665</v>
      </c>
      <c r="L388" s="6">
        <f>IF(Table2[[#This Row],[Current Rent Gap]]&gt;0,Table2[[#This Row],[Current Rent Gap]]/Table2[[#This Row],[Estimated_Market_Rent]],0)</f>
        <v>0.17392755128164558</v>
      </c>
      <c r="M388" s="3" t="str">
        <f>IF(Table2[[#This Row],[Under_Market %]]&gt;0.1,"Underpriced","OK")</f>
        <v>Underpriced</v>
      </c>
      <c r="N388" s="5">
        <f>SUMIFS(Table2[[#This Row],[Current Rent Gap]],Table2[[#This Row],[Current Rent Gap]],"&gt;0")</f>
        <v>806.1866666666665</v>
      </c>
    </row>
    <row r="389" spans="1:14" x14ac:dyDescent="0.35">
      <c r="A389" t="s">
        <v>585</v>
      </c>
      <c r="B389" t="s">
        <v>753</v>
      </c>
      <c r="C389">
        <v>3007</v>
      </c>
      <c r="D389">
        <v>2033</v>
      </c>
      <c r="E389">
        <f>Table2[[#This Row],[Due_Amount]]-Table2[[#This Row],[Paid_Amount]]</f>
        <v>974</v>
      </c>
      <c r="F389" s="1">
        <v>45905</v>
      </c>
      <c r="G389">
        <v>22</v>
      </c>
      <c r="H389">
        <f>Table2[[#This Row],[Due_Amount]]*Table2[[#This Row],[Delay_Days]]</f>
        <v>66154</v>
      </c>
      <c r="I389" s="3" t="str">
        <f>IF(Table2[[#This Row],[Delay_Days]]=0,"On Time",IF(Table2[[#This Row],[Delay_Days]]&lt;=7,"Low Risk(1-7)",IF(Table2[[#This Row],[Delay_Days]]&lt;=15,"Medium Risk(8-15)",IF(Table2[[#This Row],[Delay_Days]]&lt;=30,"High Risk(16-30)","Severe Risk(30+)"))))</f>
        <v>High Risk(16-30)</v>
      </c>
      <c r="J389" s="5">
        <f>AVERAGE(Table2[Due_Amount])</f>
        <v>4635.1866666666665</v>
      </c>
      <c r="K389" s="5">
        <f>Table2[[#This Row],[Estimated_Market_Rent]]-Table2[[#This Row],[Due_Amount]]</f>
        <v>1628.1866666666665</v>
      </c>
      <c r="L389" s="6">
        <f>IF(Table2[[#This Row],[Current Rent Gap]]&gt;0,Table2[[#This Row],[Current Rent Gap]]/Table2[[#This Row],[Estimated_Market_Rent]],0)</f>
        <v>0.35126668756957646</v>
      </c>
      <c r="M389" s="3" t="str">
        <f>IF(Table2[[#This Row],[Under_Market %]]&gt;0.1,"Underpriced","OK")</f>
        <v>Underpriced</v>
      </c>
      <c r="N389" s="5">
        <f>SUMIFS(Table2[[#This Row],[Current Rent Gap]],Table2[[#This Row],[Current Rent Gap]],"&gt;0")</f>
        <v>1628.1866666666665</v>
      </c>
    </row>
    <row r="390" spans="1:14" x14ac:dyDescent="0.35">
      <c r="A390" t="s">
        <v>296</v>
      </c>
      <c r="B390" t="s">
        <v>746</v>
      </c>
      <c r="C390">
        <v>3450</v>
      </c>
      <c r="D390">
        <v>3114</v>
      </c>
      <c r="E390">
        <f>Table2[[#This Row],[Due_Amount]]-Table2[[#This Row],[Paid_Amount]]</f>
        <v>336</v>
      </c>
      <c r="F390" s="1">
        <v>45908</v>
      </c>
      <c r="G390">
        <v>16</v>
      </c>
      <c r="H390">
        <f>Table2[[#This Row],[Due_Amount]]*Table2[[#This Row],[Delay_Days]]</f>
        <v>55200</v>
      </c>
      <c r="I390" s="3" t="str">
        <f>IF(Table2[[#This Row],[Delay_Days]]=0,"On Time",IF(Table2[[#This Row],[Delay_Days]]&lt;=7,"Low Risk(1-7)",IF(Table2[[#This Row],[Delay_Days]]&lt;=15,"Medium Risk(8-15)",IF(Table2[[#This Row],[Delay_Days]]&lt;=30,"High Risk(16-30)","Severe Risk(30+)"))))</f>
        <v>High Risk(16-30)</v>
      </c>
      <c r="J390" s="5">
        <f>AVERAGE(Table2[Due_Amount])</f>
        <v>4635.1866666666665</v>
      </c>
      <c r="K390" s="5">
        <f>Table2[[#This Row],[Estimated_Market_Rent]]-Table2[[#This Row],[Due_Amount]]</f>
        <v>1185.1866666666665</v>
      </c>
      <c r="L390" s="6">
        <f>IF(Table2[[#This Row],[Current Rent Gap]]&gt;0,Table2[[#This Row],[Current Rent Gap]]/Table2[[#This Row],[Estimated_Market_Rent]],0)</f>
        <v>0.25569340609080105</v>
      </c>
      <c r="M390" s="3" t="str">
        <f>IF(Table2[[#This Row],[Under_Market %]]&gt;0.1,"Underpriced","OK")</f>
        <v>Underpriced</v>
      </c>
      <c r="N390" s="5">
        <f>SUMIFS(Table2[[#This Row],[Current Rent Gap]],Table2[[#This Row],[Current Rent Gap]],"&gt;0")</f>
        <v>1185.1866666666665</v>
      </c>
    </row>
    <row r="391" spans="1:14" x14ac:dyDescent="0.35">
      <c r="A391" t="s">
        <v>598</v>
      </c>
      <c r="B391" t="s">
        <v>744</v>
      </c>
      <c r="C391">
        <v>6738</v>
      </c>
      <c r="D391">
        <v>6167</v>
      </c>
      <c r="E391">
        <f>Table2[[#This Row],[Due_Amount]]-Table2[[#This Row],[Paid_Amount]]</f>
        <v>571</v>
      </c>
      <c r="F391" s="1">
        <v>45944</v>
      </c>
      <c r="G391">
        <v>13</v>
      </c>
      <c r="H391">
        <f>Table2[[#This Row],[Due_Amount]]*Table2[[#This Row],[Delay_Days]]</f>
        <v>87594</v>
      </c>
      <c r="I391" s="3" t="str">
        <f>IF(Table2[[#This Row],[Delay_Days]]=0,"On Time",IF(Table2[[#This Row],[Delay_Days]]&lt;=7,"Low Risk(1-7)",IF(Table2[[#This Row],[Delay_Days]]&lt;=15,"Medium Risk(8-15)",IF(Table2[[#This Row],[Delay_Days]]&lt;=30,"High Risk(16-30)","Severe Risk(30+)"))))</f>
        <v>Medium Risk(8-15)</v>
      </c>
      <c r="J391" s="5">
        <f>AVERAGE(Table2[Due_Amount])</f>
        <v>4635.1866666666665</v>
      </c>
      <c r="K391" s="5">
        <f>Table2[[#This Row],[Estimated_Market_Rent]]-Table2[[#This Row],[Due_Amount]]</f>
        <v>-2102.8133333333335</v>
      </c>
      <c r="L391" s="6">
        <f>IF(Table2[[#This Row],[Current Rent Gap]]&gt;0,Table2[[#This Row],[Current Rent Gap]]/Table2[[#This Row],[Estimated_Market_Rent]],0)</f>
        <v>0</v>
      </c>
      <c r="M391" s="3" t="str">
        <f>IF(Table2[[#This Row],[Under_Market %]]&gt;0.1,"Underpriced","OK")</f>
        <v>OK</v>
      </c>
      <c r="N391" s="5">
        <f>SUMIFS(Table2[[#This Row],[Current Rent Gap]],Table2[[#This Row],[Current Rent Gap]],"&gt;0")</f>
        <v>0</v>
      </c>
    </row>
    <row r="392" spans="1:14" x14ac:dyDescent="0.35">
      <c r="A392" t="s">
        <v>467</v>
      </c>
      <c r="B392" t="s">
        <v>747</v>
      </c>
      <c r="C392">
        <v>5860</v>
      </c>
      <c r="D392">
        <v>5767</v>
      </c>
      <c r="E392">
        <f>Table2[[#This Row],[Due_Amount]]-Table2[[#This Row],[Paid_Amount]]</f>
        <v>93</v>
      </c>
      <c r="F392" s="1">
        <v>45788</v>
      </c>
      <c r="G392">
        <v>10</v>
      </c>
      <c r="H392">
        <f>Table2[[#This Row],[Due_Amount]]*Table2[[#This Row],[Delay_Days]]</f>
        <v>58600</v>
      </c>
      <c r="I392" s="3" t="str">
        <f>IF(Table2[[#This Row],[Delay_Days]]=0,"On Time",IF(Table2[[#This Row],[Delay_Days]]&lt;=7,"Low Risk(1-7)",IF(Table2[[#This Row],[Delay_Days]]&lt;=15,"Medium Risk(8-15)",IF(Table2[[#This Row],[Delay_Days]]&lt;=30,"High Risk(16-30)","Severe Risk(30+)"))))</f>
        <v>Medium Risk(8-15)</v>
      </c>
      <c r="J392" s="5">
        <f>AVERAGE(Table2[Due_Amount])</f>
        <v>4635.1866666666665</v>
      </c>
      <c r="K392" s="5">
        <f>Table2[[#This Row],[Estimated_Market_Rent]]-Table2[[#This Row],[Due_Amount]]</f>
        <v>-1224.8133333333335</v>
      </c>
      <c r="L392" s="6">
        <f>IF(Table2[[#This Row],[Current Rent Gap]]&gt;0,Table2[[#This Row],[Current Rent Gap]]/Table2[[#This Row],[Estimated_Market_Rent]],0)</f>
        <v>0</v>
      </c>
      <c r="M392" s="3" t="str">
        <f>IF(Table2[[#This Row],[Under_Market %]]&gt;0.1,"Underpriced","OK")</f>
        <v>OK</v>
      </c>
      <c r="N392" s="5">
        <f>SUMIFS(Table2[[#This Row],[Current Rent Gap]],Table2[[#This Row],[Current Rent Gap]],"&gt;0")</f>
        <v>0</v>
      </c>
    </row>
    <row r="393" spans="1:14" x14ac:dyDescent="0.35">
      <c r="A393" t="s">
        <v>521</v>
      </c>
      <c r="B393" t="s">
        <v>751</v>
      </c>
      <c r="C393">
        <v>4606</v>
      </c>
      <c r="D393">
        <v>4604</v>
      </c>
      <c r="E393">
        <f>Table2[[#This Row],[Due_Amount]]-Table2[[#This Row],[Paid_Amount]]</f>
        <v>2</v>
      </c>
      <c r="F393" s="1">
        <v>45966</v>
      </c>
      <c r="G393">
        <v>16</v>
      </c>
      <c r="H393">
        <f>Table2[[#This Row],[Due_Amount]]*Table2[[#This Row],[Delay_Days]]</f>
        <v>73696</v>
      </c>
      <c r="I393" s="3" t="str">
        <f>IF(Table2[[#This Row],[Delay_Days]]=0,"On Time",IF(Table2[[#This Row],[Delay_Days]]&lt;=7,"Low Risk(1-7)",IF(Table2[[#This Row],[Delay_Days]]&lt;=15,"Medium Risk(8-15)",IF(Table2[[#This Row],[Delay_Days]]&lt;=30,"High Risk(16-30)","Severe Risk(30+)"))))</f>
        <v>High Risk(16-30)</v>
      </c>
      <c r="J393" s="5">
        <f>AVERAGE(Table2[Due_Amount])</f>
        <v>4635.1866666666665</v>
      </c>
      <c r="K393" s="5">
        <f>Table2[[#This Row],[Estimated_Market_Rent]]-Table2[[#This Row],[Due_Amount]]</f>
        <v>29.186666666666497</v>
      </c>
      <c r="L393" s="6">
        <f>IF(Table2[[#This Row],[Current Rent Gap]]&gt;0,Table2[[#This Row],[Current Rent Gap]]/Table2[[#This Row],[Estimated_Market_Rent]],0)</f>
        <v>6.2967618707912157E-3</v>
      </c>
      <c r="M393" s="3" t="str">
        <f>IF(Table2[[#This Row],[Under_Market %]]&gt;0.1,"Underpriced","OK")</f>
        <v>OK</v>
      </c>
      <c r="N393" s="5">
        <f>SUMIFS(Table2[[#This Row],[Current Rent Gap]],Table2[[#This Row],[Current Rent Gap]],"&gt;0")</f>
        <v>29.186666666666497</v>
      </c>
    </row>
    <row r="394" spans="1:14" x14ac:dyDescent="0.35">
      <c r="A394" t="s">
        <v>129</v>
      </c>
      <c r="B394" t="s">
        <v>750</v>
      </c>
      <c r="C394">
        <v>3029</v>
      </c>
      <c r="D394">
        <v>2168</v>
      </c>
      <c r="E394">
        <f>Table2[[#This Row],[Due_Amount]]-Table2[[#This Row],[Paid_Amount]]</f>
        <v>861</v>
      </c>
      <c r="F394" s="1">
        <v>45805</v>
      </c>
      <c r="G394">
        <v>22</v>
      </c>
      <c r="H394">
        <f>Table2[[#This Row],[Due_Amount]]*Table2[[#This Row],[Delay_Days]]</f>
        <v>66638</v>
      </c>
      <c r="I394" s="3" t="str">
        <f>IF(Table2[[#This Row],[Delay_Days]]=0,"On Time",IF(Table2[[#This Row],[Delay_Days]]&lt;=7,"Low Risk(1-7)",IF(Table2[[#This Row],[Delay_Days]]&lt;=15,"Medium Risk(8-15)",IF(Table2[[#This Row],[Delay_Days]]&lt;=30,"High Risk(16-30)","Severe Risk(30+)"))))</f>
        <v>High Risk(16-30)</v>
      </c>
      <c r="J394" s="5">
        <f>AVERAGE(Table2[Due_Amount])</f>
        <v>4635.1866666666665</v>
      </c>
      <c r="K394" s="5">
        <f>Table2[[#This Row],[Estimated_Market_Rent]]-Table2[[#This Row],[Due_Amount]]</f>
        <v>1606.1866666666665</v>
      </c>
      <c r="L394" s="6">
        <f>IF(Table2[[#This Row],[Current Rent Gap]]&gt;0,Table2[[#This Row],[Current Rent Gap]]/Table2[[#This Row],[Estimated_Market_Rent]],0)</f>
        <v>0.34652038465189461</v>
      </c>
      <c r="M394" s="3" t="str">
        <f>IF(Table2[[#This Row],[Under_Market %]]&gt;0.1,"Underpriced","OK")</f>
        <v>Underpriced</v>
      </c>
      <c r="N394" s="5">
        <f>SUMIFS(Table2[[#This Row],[Current Rent Gap]],Table2[[#This Row],[Current Rent Gap]],"&gt;0")</f>
        <v>1606.1866666666665</v>
      </c>
    </row>
    <row r="395" spans="1:14" x14ac:dyDescent="0.35">
      <c r="A395" t="s">
        <v>407</v>
      </c>
      <c r="B395" t="s">
        <v>743</v>
      </c>
      <c r="C395">
        <v>6472</v>
      </c>
      <c r="D395">
        <v>6472</v>
      </c>
      <c r="E395">
        <f>Table2[[#This Row],[Due_Amount]]-Table2[[#This Row],[Paid_Amount]]</f>
        <v>0</v>
      </c>
      <c r="F395" s="1">
        <v>45720</v>
      </c>
      <c r="G395">
        <v>8</v>
      </c>
      <c r="H395">
        <f>Table2[[#This Row],[Due_Amount]]*Table2[[#This Row],[Delay_Days]]</f>
        <v>51776</v>
      </c>
      <c r="I395" s="3" t="str">
        <f>IF(Table2[[#This Row],[Delay_Days]]=0,"On Time",IF(Table2[[#This Row],[Delay_Days]]&lt;=7,"Low Risk(1-7)",IF(Table2[[#This Row],[Delay_Days]]&lt;=15,"Medium Risk(8-15)",IF(Table2[[#This Row],[Delay_Days]]&lt;=30,"High Risk(16-30)","Severe Risk(30+)"))))</f>
        <v>Medium Risk(8-15)</v>
      </c>
      <c r="J395" s="5">
        <f>AVERAGE(Table2[Due_Amount])</f>
        <v>4635.1866666666665</v>
      </c>
      <c r="K395" s="5">
        <f>Table2[[#This Row],[Estimated_Market_Rent]]-Table2[[#This Row],[Due_Amount]]</f>
        <v>-1836.8133333333335</v>
      </c>
      <c r="L395" s="6">
        <f>IF(Table2[[#This Row],[Current Rent Gap]]&gt;0,Table2[[#This Row],[Current Rent Gap]]/Table2[[#This Row],[Estimated_Market_Rent]],0)</f>
        <v>0</v>
      </c>
      <c r="M395" s="3" t="str">
        <f>IF(Table2[[#This Row],[Under_Market %]]&gt;0.1,"Underpriced","OK")</f>
        <v>OK</v>
      </c>
      <c r="N395" s="5">
        <f>SUMIFS(Table2[[#This Row],[Current Rent Gap]],Table2[[#This Row],[Current Rent Gap]],"&gt;0")</f>
        <v>0</v>
      </c>
    </row>
    <row r="396" spans="1:14" x14ac:dyDescent="0.35">
      <c r="A396" t="s">
        <v>330</v>
      </c>
      <c r="B396" t="s">
        <v>746</v>
      </c>
      <c r="C396">
        <v>5305</v>
      </c>
      <c r="D396">
        <v>4997</v>
      </c>
      <c r="E396">
        <f>Table2[[#This Row],[Due_Amount]]-Table2[[#This Row],[Paid_Amount]]</f>
        <v>308</v>
      </c>
      <c r="F396" s="1">
        <v>45920</v>
      </c>
      <c r="G396">
        <v>14</v>
      </c>
      <c r="H396">
        <f>Table2[[#This Row],[Due_Amount]]*Table2[[#This Row],[Delay_Days]]</f>
        <v>74270</v>
      </c>
      <c r="I396" s="3" t="str">
        <f>IF(Table2[[#This Row],[Delay_Days]]=0,"On Time",IF(Table2[[#This Row],[Delay_Days]]&lt;=7,"Low Risk(1-7)",IF(Table2[[#This Row],[Delay_Days]]&lt;=15,"Medium Risk(8-15)",IF(Table2[[#This Row],[Delay_Days]]&lt;=30,"High Risk(16-30)","Severe Risk(30+)"))))</f>
        <v>Medium Risk(8-15)</v>
      </c>
      <c r="J396" s="5">
        <f>AVERAGE(Table2[Due_Amount])</f>
        <v>4635.1866666666665</v>
      </c>
      <c r="K396" s="5">
        <f>Table2[[#This Row],[Estimated_Market_Rent]]-Table2[[#This Row],[Due_Amount]]</f>
        <v>-669.8133333333335</v>
      </c>
      <c r="L396" s="6">
        <f>IF(Table2[[#This Row],[Current Rent Gap]]&gt;0,Table2[[#This Row],[Current Rent Gap]]/Table2[[#This Row],[Estimated_Market_Rent]],0)</f>
        <v>0</v>
      </c>
      <c r="M396" s="3" t="str">
        <f>IF(Table2[[#This Row],[Under_Market %]]&gt;0.1,"Underpriced","OK")</f>
        <v>OK</v>
      </c>
      <c r="N396" s="5">
        <f>SUMIFS(Table2[[#This Row],[Current Rent Gap]],Table2[[#This Row],[Current Rent Gap]],"&gt;0")</f>
        <v>0</v>
      </c>
    </row>
    <row r="397" spans="1:14" x14ac:dyDescent="0.35">
      <c r="A397" t="s">
        <v>185</v>
      </c>
      <c r="B397" t="s">
        <v>744</v>
      </c>
      <c r="C397">
        <v>6585</v>
      </c>
      <c r="D397">
        <v>5819</v>
      </c>
      <c r="E397">
        <f>Table2[[#This Row],[Due_Amount]]-Table2[[#This Row],[Paid_Amount]]</f>
        <v>766</v>
      </c>
      <c r="F397" s="1">
        <v>45724</v>
      </c>
      <c r="G397">
        <v>24</v>
      </c>
      <c r="H397">
        <f>Table2[[#This Row],[Due_Amount]]*Table2[[#This Row],[Delay_Days]]</f>
        <v>158040</v>
      </c>
      <c r="I397" s="3" t="str">
        <f>IF(Table2[[#This Row],[Delay_Days]]=0,"On Time",IF(Table2[[#This Row],[Delay_Days]]&lt;=7,"Low Risk(1-7)",IF(Table2[[#This Row],[Delay_Days]]&lt;=15,"Medium Risk(8-15)",IF(Table2[[#This Row],[Delay_Days]]&lt;=30,"High Risk(16-30)","Severe Risk(30+)"))))</f>
        <v>High Risk(16-30)</v>
      </c>
      <c r="J397" s="5">
        <f>AVERAGE(Table2[Due_Amount])</f>
        <v>4635.1866666666665</v>
      </c>
      <c r="K397" s="5">
        <f>Table2[[#This Row],[Estimated_Market_Rent]]-Table2[[#This Row],[Due_Amount]]</f>
        <v>-1949.8133333333335</v>
      </c>
      <c r="L397" s="6">
        <f>IF(Table2[[#This Row],[Current Rent Gap]]&gt;0,Table2[[#This Row],[Current Rent Gap]]/Table2[[#This Row],[Estimated_Market_Rent]],0)</f>
        <v>0</v>
      </c>
      <c r="M397" s="3" t="str">
        <f>IF(Table2[[#This Row],[Under_Market %]]&gt;0.1,"Underpriced","OK")</f>
        <v>OK</v>
      </c>
      <c r="N397" s="5">
        <f>SUMIFS(Table2[[#This Row],[Current Rent Gap]],Table2[[#This Row],[Current Rent Gap]],"&gt;0")</f>
        <v>0</v>
      </c>
    </row>
    <row r="398" spans="1:14" x14ac:dyDescent="0.35">
      <c r="A398" t="s">
        <v>437</v>
      </c>
      <c r="B398" t="s">
        <v>747</v>
      </c>
      <c r="C398">
        <v>2468</v>
      </c>
      <c r="D398">
        <v>1619</v>
      </c>
      <c r="E398">
        <f>Table2[[#This Row],[Due_Amount]]-Table2[[#This Row],[Paid_Amount]]</f>
        <v>849</v>
      </c>
      <c r="F398" s="1">
        <v>45882</v>
      </c>
      <c r="G398">
        <v>21</v>
      </c>
      <c r="H398">
        <f>Table2[[#This Row],[Due_Amount]]*Table2[[#This Row],[Delay_Days]]</f>
        <v>51828</v>
      </c>
      <c r="I398" s="3" t="str">
        <f>IF(Table2[[#This Row],[Delay_Days]]=0,"On Time",IF(Table2[[#This Row],[Delay_Days]]&lt;=7,"Low Risk(1-7)",IF(Table2[[#This Row],[Delay_Days]]&lt;=15,"Medium Risk(8-15)",IF(Table2[[#This Row],[Delay_Days]]&lt;=30,"High Risk(16-30)","Severe Risk(30+)"))))</f>
        <v>High Risk(16-30)</v>
      </c>
      <c r="J398" s="5">
        <f>AVERAGE(Table2[Due_Amount])</f>
        <v>4635.1866666666665</v>
      </c>
      <c r="K398" s="5">
        <f>Table2[[#This Row],[Estimated_Market_Rent]]-Table2[[#This Row],[Due_Amount]]</f>
        <v>2167.1866666666665</v>
      </c>
      <c r="L398" s="6">
        <f>IF(Table2[[#This Row],[Current Rent Gap]]&gt;0,Table2[[#This Row],[Current Rent Gap]]/Table2[[#This Row],[Estimated_Market_Rent]],0)</f>
        <v>0.46755110905278174</v>
      </c>
      <c r="M398" s="3" t="str">
        <f>IF(Table2[[#This Row],[Under_Market %]]&gt;0.1,"Underpriced","OK")</f>
        <v>Underpriced</v>
      </c>
      <c r="N398" s="5">
        <f>SUMIFS(Table2[[#This Row],[Current Rent Gap]],Table2[[#This Row],[Current Rent Gap]],"&gt;0")</f>
        <v>2167.1866666666665</v>
      </c>
    </row>
    <row r="399" spans="1:14" x14ac:dyDescent="0.35">
      <c r="A399" t="s">
        <v>368</v>
      </c>
      <c r="B399" t="s">
        <v>749</v>
      </c>
      <c r="C399">
        <v>5844</v>
      </c>
      <c r="D399">
        <v>5591</v>
      </c>
      <c r="E399">
        <f>Table2[[#This Row],[Due_Amount]]-Table2[[#This Row],[Paid_Amount]]</f>
        <v>253</v>
      </c>
      <c r="F399" s="1">
        <v>45734</v>
      </c>
      <c r="G399">
        <v>17</v>
      </c>
      <c r="H399">
        <f>Table2[[#This Row],[Due_Amount]]*Table2[[#This Row],[Delay_Days]]</f>
        <v>99348</v>
      </c>
      <c r="I399" s="3" t="str">
        <f>IF(Table2[[#This Row],[Delay_Days]]=0,"On Time",IF(Table2[[#This Row],[Delay_Days]]&lt;=7,"Low Risk(1-7)",IF(Table2[[#This Row],[Delay_Days]]&lt;=15,"Medium Risk(8-15)",IF(Table2[[#This Row],[Delay_Days]]&lt;=30,"High Risk(16-30)","Severe Risk(30+)"))))</f>
        <v>High Risk(16-30)</v>
      </c>
      <c r="J399" s="5">
        <f>AVERAGE(Table2[Due_Amount])</f>
        <v>4635.1866666666665</v>
      </c>
      <c r="K399" s="5">
        <f>Table2[[#This Row],[Estimated_Market_Rent]]-Table2[[#This Row],[Due_Amount]]</f>
        <v>-1208.8133333333335</v>
      </c>
      <c r="L399" s="6">
        <f>IF(Table2[[#This Row],[Current Rent Gap]]&gt;0,Table2[[#This Row],[Current Rent Gap]]/Table2[[#This Row],[Estimated_Market_Rent]],0)</f>
        <v>0</v>
      </c>
      <c r="M399" s="3" t="str">
        <f>IF(Table2[[#This Row],[Under_Market %]]&gt;0.1,"Underpriced","OK")</f>
        <v>OK</v>
      </c>
      <c r="N399" s="5">
        <f>SUMIFS(Table2[[#This Row],[Current Rent Gap]],Table2[[#This Row],[Current Rent Gap]],"&gt;0")</f>
        <v>0</v>
      </c>
    </row>
    <row r="400" spans="1:14" x14ac:dyDescent="0.35">
      <c r="A400" t="s">
        <v>332</v>
      </c>
      <c r="B400" t="s">
        <v>748</v>
      </c>
      <c r="C400">
        <v>3304</v>
      </c>
      <c r="D400">
        <v>3304</v>
      </c>
      <c r="E400">
        <f>Table2[[#This Row],[Due_Amount]]-Table2[[#This Row],[Paid_Amount]]</f>
        <v>0</v>
      </c>
      <c r="F400" s="1">
        <v>45982</v>
      </c>
      <c r="G400">
        <v>5</v>
      </c>
      <c r="H400">
        <f>Table2[[#This Row],[Due_Amount]]*Table2[[#This Row],[Delay_Days]]</f>
        <v>16520</v>
      </c>
      <c r="I400" s="3" t="str">
        <f>IF(Table2[[#This Row],[Delay_Days]]=0,"On Time",IF(Table2[[#This Row],[Delay_Days]]&lt;=7,"Low Risk(1-7)",IF(Table2[[#This Row],[Delay_Days]]&lt;=15,"Medium Risk(8-15)",IF(Table2[[#This Row],[Delay_Days]]&lt;=30,"High Risk(16-30)","Severe Risk(30+)"))))</f>
        <v>Low Risk(1-7)</v>
      </c>
      <c r="J400" s="5">
        <f>AVERAGE(Table2[Due_Amount])</f>
        <v>4635.1866666666665</v>
      </c>
      <c r="K400" s="5">
        <f>Table2[[#This Row],[Estimated_Market_Rent]]-Table2[[#This Row],[Due_Amount]]</f>
        <v>1331.1866666666665</v>
      </c>
      <c r="L400" s="6">
        <f>IF(Table2[[#This Row],[Current Rent Gap]]&gt;0,Table2[[#This Row],[Current Rent Gap]]/Table2[[#This Row],[Estimated_Market_Rent]],0)</f>
        <v>0.28719159818087153</v>
      </c>
      <c r="M400" s="3" t="str">
        <f>IF(Table2[[#This Row],[Under_Market %]]&gt;0.1,"Underpriced","OK")</f>
        <v>Underpriced</v>
      </c>
      <c r="N400" s="5">
        <f>SUMIFS(Table2[[#This Row],[Current Rent Gap]],Table2[[#This Row],[Current Rent Gap]],"&gt;0")</f>
        <v>1331.1866666666665</v>
      </c>
    </row>
    <row r="401" spans="1:14" x14ac:dyDescent="0.35">
      <c r="A401" t="s">
        <v>15</v>
      </c>
      <c r="B401" t="s">
        <v>748</v>
      </c>
      <c r="C401">
        <v>6890</v>
      </c>
      <c r="D401">
        <v>6890</v>
      </c>
      <c r="E401">
        <f>Table2[[#This Row],[Due_Amount]]-Table2[[#This Row],[Paid_Amount]]</f>
        <v>0</v>
      </c>
      <c r="F401" s="1">
        <v>45958</v>
      </c>
      <c r="G401">
        <v>6</v>
      </c>
      <c r="H401">
        <f>Table2[[#This Row],[Due_Amount]]*Table2[[#This Row],[Delay_Days]]</f>
        <v>41340</v>
      </c>
      <c r="I401" s="3" t="str">
        <f>IF(Table2[[#This Row],[Delay_Days]]=0,"On Time",IF(Table2[[#This Row],[Delay_Days]]&lt;=7,"Low Risk(1-7)",IF(Table2[[#This Row],[Delay_Days]]&lt;=15,"Medium Risk(8-15)",IF(Table2[[#This Row],[Delay_Days]]&lt;=30,"High Risk(16-30)","Severe Risk(30+)"))))</f>
        <v>Low Risk(1-7)</v>
      </c>
      <c r="J401" s="5">
        <f>AVERAGE(Table2[Due_Amount])</f>
        <v>4635.1866666666665</v>
      </c>
      <c r="K401" s="5">
        <f>Table2[[#This Row],[Estimated_Market_Rent]]-Table2[[#This Row],[Due_Amount]]</f>
        <v>-2254.8133333333335</v>
      </c>
      <c r="L401" s="6">
        <f>IF(Table2[[#This Row],[Current Rent Gap]]&gt;0,Table2[[#This Row],[Current Rent Gap]]/Table2[[#This Row],[Estimated_Market_Rent]],0)</f>
        <v>0</v>
      </c>
      <c r="M401" s="3" t="str">
        <f>IF(Table2[[#This Row],[Under_Market %]]&gt;0.1,"Underpriced","OK")</f>
        <v>OK</v>
      </c>
      <c r="N401" s="5">
        <f>SUMIFS(Table2[[#This Row],[Current Rent Gap]],Table2[[#This Row],[Current Rent Gap]],"&gt;0")</f>
        <v>0</v>
      </c>
    </row>
    <row r="402" spans="1:14" x14ac:dyDescent="0.35">
      <c r="A402" t="s">
        <v>275</v>
      </c>
      <c r="B402" t="s">
        <v>745</v>
      </c>
      <c r="C402">
        <v>6256</v>
      </c>
      <c r="D402">
        <v>5605</v>
      </c>
      <c r="E402">
        <f>Table2[[#This Row],[Due_Amount]]-Table2[[#This Row],[Paid_Amount]]</f>
        <v>651</v>
      </c>
      <c r="F402" s="1">
        <v>45883</v>
      </c>
      <c r="G402">
        <v>15</v>
      </c>
      <c r="H402">
        <f>Table2[[#This Row],[Due_Amount]]*Table2[[#This Row],[Delay_Days]]</f>
        <v>93840</v>
      </c>
      <c r="I402" s="3" t="str">
        <f>IF(Table2[[#This Row],[Delay_Days]]=0,"On Time",IF(Table2[[#This Row],[Delay_Days]]&lt;=7,"Low Risk(1-7)",IF(Table2[[#This Row],[Delay_Days]]&lt;=15,"Medium Risk(8-15)",IF(Table2[[#This Row],[Delay_Days]]&lt;=30,"High Risk(16-30)","Severe Risk(30+)"))))</f>
        <v>Medium Risk(8-15)</v>
      </c>
      <c r="J402" s="5">
        <f>AVERAGE(Table2[Due_Amount])</f>
        <v>4635.1866666666665</v>
      </c>
      <c r="K402" s="5">
        <f>Table2[[#This Row],[Estimated_Market_Rent]]-Table2[[#This Row],[Due_Amount]]</f>
        <v>-1620.8133333333335</v>
      </c>
      <c r="L402" s="6">
        <f>IF(Table2[[#This Row],[Current Rent Gap]]&gt;0,Table2[[#This Row],[Current Rent Gap]]/Table2[[#This Row],[Estimated_Market_Rent]],0)</f>
        <v>0</v>
      </c>
      <c r="M402" s="3" t="str">
        <f>IF(Table2[[#This Row],[Under_Market %]]&gt;0.1,"Underpriced","OK")</f>
        <v>OK</v>
      </c>
      <c r="N402" s="5">
        <f>SUMIFS(Table2[[#This Row],[Current Rent Gap]],Table2[[#This Row],[Current Rent Gap]],"&gt;0")</f>
        <v>0</v>
      </c>
    </row>
    <row r="403" spans="1:14" x14ac:dyDescent="0.35">
      <c r="A403" t="s">
        <v>663</v>
      </c>
      <c r="B403" t="s">
        <v>752</v>
      </c>
      <c r="C403">
        <v>2170</v>
      </c>
      <c r="D403">
        <v>1666</v>
      </c>
      <c r="E403">
        <f>Table2[[#This Row],[Due_Amount]]-Table2[[#This Row],[Paid_Amount]]</f>
        <v>504</v>
      </c>
      <c r="F403" s="1">
        <v>45953</v>
      </c>
      <c r="G403">
        <v>19</v>
      </c>
      <c r="H403">
        <f>Table2[[#This Row],[Due_Amount]]*Table2[[#This Row],[Delay_Days]]</f>
        <v>41230</v>
      </c>
      <c r="I403" s="3" t="str">
        <f>IF(Table2[[#This Row],[Delay_Days]]=0,"On Time",IF(Table2[[#This Row],[Delay_Days]]&lt;=7,"Low Risk(1-7)",IF(Table2[[#This Row],[Delay_Days]]&lt;=15,"Medium Risk(8-15)",IF(Table2[[#This Row],[Delay_Days]]&lt;=30,"High Risk(16-30)","Severe Risk(30+)"))))</f>
        <v>High Risk(16-30)</v>
      </c>
      <c r="J403" s="5">
        <f>AVERAGE(Table2[Due_Amount])</f>
        <v>4635.1866666666665</v>
      </c>
      <c r="K403" s="5">
        <f>Table2[[#This Row],[Estimated_Market_Rent]]-Table2[[#This Row],[Due_Amount]]</f>
        <v>2465.1866666666665</v>
      </c>
      <c r="L403" s="6">
        <f>IF(Table2[[#This Row],[Current Rent Gap]]&gt;0,Table2[[#This Row],[Current Rent Gap]]/Table2[[#This Row],[Estimated_Market_Rent]],0)</f>
        <v>0.53184193948319947</v>
      </c>
      <c r="M403" s="3" t="str">
        <f>IF(Table2[[#This Row],[Under_Market %]]&gt;0.1,"Underpriced","OK")</f>
        <v>Underpriced</v>
      </c>
      <c r="N403" s="5">
        <f>SUMIFS(Table2[[#This Row],[Current Rent Gap]],Table2[[#This Row],[Current Rent Gap]],"&gt;0")</f>
        <v>2465.1866666666665</v>
      </c>
    </row>
    <row r="404" spans="1:14" x14ac:dyDescent="0.35">
      <c r="A404" t="s">
        <v>167</v>
      </c>
      <c r="B404" t="s">
        <v>747</v>
      </c>
      <c r="C404">
        <v>2255</v>
      </c>
      <c r="D404">
        <v>1586</v>
      </c>
      <c r="E404">
        <f>Table2[[#This Row],[Due_Amount]]-Table2[[#This Row],[Paid_Amount]]</f>
        <v>669</v>
      </c>
      <c r="F404" s="1">
        <v>45994</v>
      </c>
      <c r="G404">
        <v>18</v>
      </c>
      <c r="H404">
        <f>Table2[[#This Row],[Due_Amount]]*Table2[[#This Row],[Delay_Days]]</f>
        <v>40590</v>
      </c>
      <c r="I404" s="3" t="str">
        <f>IF(Table2[[#This Row],[Delay_Days]]=0,"On Time",IF(Table2[[#This Row],[Delay_Days]]&lt;=7,"Low Risk(1-7)",IF(Table2[[#This Row],[Delay_Days]]&lt;=15,"Medium Risk(8-15)",IF(Table2[[#This Row],[Delay_Days]]&lt;=30,"High Risk(16-30)","Severe Risk(30+)"))))</f>
        <v>High Risk(16-30)</v>
      </c>
      <c r="J404" s="5">
        <f>AVERAGE(Table2[Due_Amount])</f>
        <v>4635.1866666666665</v>
      </c>
      <c r="K404" s="5">
        <f>Table2[[#This Row],[Estimated_Market_Rent]]-Table2[[#This Row],[Due_Amount]]</f>
        <v>2380.1866666666665</v>
      </c>
      <c r="L404" s="6">
        <f>IF(Table2[[#This Row],[Current Rent Gap]]&gt;0,Table2[[#This Row],[Current Rent Gap]]/Table2[[#This Row],[Estimated_Market_Rent]],0)</f>
        <v>0.51350395093761059</v>
      </c>
      <c r="M404" s="3" t="str">
        <f>IF(Table2[[#This Row],[Under_Market %]]&gt;0.1,"Underpriced","OK")</f>
        <v>Underpriced</v>
      </c>
      <c r="N404" s="5">
        <f>SUMIFS(Table2[[#This Row],[Current Rent Gap]],Table2[[#This Row],[Current Rent Gap]],"&gt;0")</f>
        <v>2380.1866666666665</v>
      </c>
    </row>
    <row r="405" spans="1:14" x14ac:dyDescent="0.35">
      <c r="A405" t="s">
        <v>502</v>
      </c>
      <c r="B405" t="s">
        <v>754</v>
      </c>
      <c r="C405">
        <v>3260</v>
      </c>
      <c r="D405">
        <v>2465</v>
      </c>
      <c r="E405">
        <f>Table2[[#This Row],[Due_Amount]]-Table2[[#This Row],[Paid_Amount]]</f>
        <v>795</v>
      </c>
      <c r="F405" s="1">
        <v>45681</v>
      </c>
      <c r="G405">
        <v>24</v>
      </c>
      <c r="H405">
        <f>Table2[[#This Row],[Due_Amount]]*Table2[[#This Row],[Delay_Days]]</f>
        <v>78240</v>
      </c>
      <c r="I405" s="3" t="str">
        <f>IF(Table2[[#This Row],[Delay_Days]]=0,"On Time",IF(Table2[[#This Row],[Delay_Days]]&lt;=7,"Low Risk(1-7)",IF(Table2[[#This Row],[Delay_Days]]&lt;=15,"Medium Risk(8-15)",IF(Table2[[#This Row],[Delay_Days]]&lt;=30,"High Risk(16-30)","Severe Risk(30+)"))))</f>
        <v>High Risk(16-30)</v>
      </c>
      <c r="J405" s="5">
        <f>AVERAGE(Table2[Due_Amount])</f>
        <v>4635.1866666666665</v>
      </c>
      <c r="K405" s="5">
        <f>Table2[[#This Row],[Estimated_Market_Rent]]-Table2[[#This Row],[Due_Amount]]</f>
        <v>1375.1866666666665</v>
      </c>
      <c r="L405" s="6">
        <f>IF(Table2[[#This Row],[Current Rent Gap]]&gt;0,Table2[[#This Row],[Current Rent Gap]]/Table2[[#This Row],[Estimated_Market_Rent]],0)</f>
        <v>0.29668420401623519</v>
      </c>
      <c r="M405" s="3" t="str">
        <f>IF(Table2[[#This Row],[Under_Market %]]&gt;0.1,"Underpriced","OK")</f>
        <v>Underpriced</v>
      </c>
      <c r="N405" s="5">
        <f>SUMIFS(Table2[[#This Row],[Current Rent Gap]],Table2[[#This Row],[Current Rent Gap]],"&gt;0")</f>
        <v>1375.1866666666665</v>
      </c>
    </row>
    <row r="406" spans="1:14" x14ac:dyDescent="0.35">
      <c r="A406" t="s">
        <v>323</v>
      </c>
      <c r="B406" t="s">
        <v>750</v>
      </c>
      <c r="C406">
        <v>4292</v>
      </c>
      <c r="D406">
        <v>3913</v>
      </c>
      <c r="E406">
        <f>Table2[[#This Row],[Due_Amount]]-Table2[[#This Row],[Paid_Amount]]</f>
        <v>379</v>
      </c>
      <c r="F406" s="1">
        <v>45842</v>
      </c>
      <c r="G406">
        <v>16</v>
      </c>
      <c r="H406">
        <f>Table2[[#This Row],[Due_Amount]]*Table2[[#This Row],[Delay_Days]]</f>
        <v>68672</v>
      </c>
      <c r="I406" s="3" t="str">
        <f>IF(Table2[[#This Row],[Delay_Days]]=0,"On Time",IF(Table2[[#This Row],[Delay_Days]]&lt;=7,"Low Risk(1-7)",IF(Table2[[#This Row],[Delay_Days]]&lt;=15,"Medium Risk(8-15)",IF(Table2[[#This Row],[Delay_Days]]&lt;=30,"High Risk(16-30)","Severe Risk(30+)"))))</f>
        <v>High Risk(16-30)</v>
      </c>
      <c r="J406" s="5">
        <f>AVERAGE(Table2[Due_Amount])</f>
        <v>4635.1866666666665</v>
      </c>
      <c r="K406" s="5">
        <f>Table2[[#This Row],[Estimated_Market_Rent]]-Table2[[#This Row],[Due_Amount]]</f>
        <v>343.1866666666665</v>
      </c>
      <c r="L406" s="6">
        <f>IF(Table2[[#This Row],[Current Rent Gap]]&gt;0,Table2[[#This Row],[Current Rent Gap]]/Table2[[#This Row],[Estimated_Market_Rent]],0)</f>
        <v>7.4039448968613961E-2</v>
      </c>
      <c r="M406" s="3" t="str">
        <f>IF(Table2[[#This Row],[Under_Market %]]&gt;0.1,"Underpriced","OK")</f>
        <v>OK</v>
      </c>
      <c r="N406" s="5">
        <f>SUMIFS(Table2[[#This Row],[Current Rent Gap]],Table2[[#This Row],[Current Rent Gap]],"&gt;0")</f>
        <v>343.1866666666665</v>
      </c>
    </row>
    <row r="407" spans="1:14" x14ac:dyDescent="0.35">
      <c r="A407" t="s">
        <v>23</v>
      </c>
      <c r="B407" t="s">
        <v>744</v>
      </c>
      <c r="C407">
        <v>2877</v>
      </c>
      <c r="D407">
        <v>2877</v>
      </c>
      <c r="E407">
        <f>Table2[[#This Row],[Due_Amount]]-Table2[[#This Row],[Paid_Amount]]</f>
        <v>0</v>
      </c>
      <c r="F407" s="1">
        <v>45752</v>
      </c>
      <c r="G407">
        <v>3</v>
      </c>
      <c r="H407">
        <f>Table2[[#This Row],[Due_Amount]]*Table2[[#This Row],[Delay_Days]]</f>
        <v>8631</v>
      </c>
      <c r="I407" s="3" t="str">
        <f>IF(Table2[[#This Row],[Delay_Days]]=0,"On Time",IF(Table2[[#This Row],[Delay_Days]]&lt;=7,"Low Risk(1-7)",IF(Table2[[#This Row],[Delay_Days]]&lt;=15,"Medium Risk(8-15)",IF(Table2[[#This Row],[Delay_Days]]&lt;=30,"High Risk(16-30)","Severe Risk(30+)"))))</f>
        <v>Low Risk(1-7)</v>
      </c>
      <c r="J407" s="5">
        <f>AVERAGE(Table2[Due_Amount])</f>
        <v>4635.1866666666665</v>
      </c>
      <c r="K407" s="5">
        <f>Table2[[#This Row],[Estimated_Market_Rent]]-Table2[[#This Row],[Due_Amount]]</f>
        <v>1758.1866666666665</v>
      </c>
      <c r="L407" s="6">
        <f>IF(Table2[[#This Row],[Current Rent Gap]]&gt;0,Table2[[#This Row],[Current Rent Gap]]/Table2[[#This Row],[Estimated_Market_Rent]],0)</f>
        <v>0.37931302299224195</v>
      </c>
      <c r="M407" s="3" t="str">
        <f>IF(Table2[[#This Row],[Under_Market %]]&gt;0.1,"Underpriced","OK")</f>
        <v>Underpriced</v>
      </c>
      <c r="N407" s="5">
        <f>SUMIFS(Table2[[#This Row],[Current Rent Gap]],Table2[[#This Row],[Current Rent Gap]],"&gt;0")</f>
        <v>1758.1866666666665</v>
      </c>
    </row>
    <row r="408" spans="1:14" x14ac:dyDescent="0.35">
      <c r="A408" t="s">
        <v>476</v>
      </c>
      <c r="B408" t="s">
        <v>754</v>
      </c>
      <c r="C408">
        <v>3733</v>
      </c>
      <c r="D408">
        <v>3367</v>
      </c>
      <c r="E408">
        <f>Table2[[#This Row],[Due_Amount]]-Table2[[#This Row],[Paid_Amount]]</f>
        <v>366</v>
      </c>
      <c r="F408" s="1">
        <v>45696</v>
      </c>
      <c r="G408">
        <v>22</v>
      </c>
      <c r="H408">
        <f>Table2[[#This Row],[Due_Amount]]*Table2[[#This Row],[Delay_Days]]</f>
        <v>82126</v>
      </c>
      <c r="I408" s="3" t="str">
        <f>IF(Table2[[#This Row],[Delay_Days]]=0,"On Time",IF(Table2[[#This Row],[Delay_Days]]&lt;=7,"Low Risk(1-7)",IF(Table2[[#This Row],[Delay_Days]]&lt;=15,"Medium Risk(8-15)",IF(Table2[[#This Row],[Delay_Days]]&lt;=30,"High Risk(16-30)","Severe Risk(30+)"))))</f>
        <v>High Risk(16-30)</v>
      </c>
      <c r="J408" s="5">
        <f>AVERAGE(Table2[Due_Amount])</f>
        <v>4635.1866666666665</v>
      </c>
      <c r="K408" s="5">
        <f>Table2[[#This Row],[Estimated_Market_Rent]]-Table2[[#This Row],[Due_Amount]]</f>
        <v>902.1866666666665</v>
      </c>
      <c r="L408" s="6">
        <f>IF(Table2[[#This Row],[Current Rent Gap]]&gt;0,Table2[[#This Row],[Current Rent Gap]]/Table2[[#This Row],[Estimated_Market_Rent]],0)</f>
        <v>0.19463869128607547</v>
      </c>
      <c r="M408" s="3" t="str">
        <f>IF(Table2[[#This Row],[Under_Market %]]&gt;0.1,"Underpriced","OK")</f>
        <v>Underpriced</v>
      </c>
      <c r="N408" s="5">
        <f>SUMIFS(Table2[[#This Row],[Current Rent Gap]],Table2[[#This Row],[Current Rent Gap]],"&gt;0")</f>
        <v>902.1866666666665</v>
      </c>
    </row>
    <row r="409" spans="1:14" x14ac:dyDescent="0.35">
      <c r="A409" t="s">
        <v>454</v>
      </c>
      <c r="B409" t="s">
        <v>748</v>
      </c>
      <c r="C409">
        <v>4526</v>
      </c>
      <c r="D409">
        <v>4346</v>
      </c>
      <c r="E409">
        <f>Table2[[#This Row],[Due_Amount]]-Table2[[#This Row],[Paid_Amount]]</f>
        <v>180</v>
      </c>
      <c r="F409" s="1">
        <v>45768</v>
      </c>
      <c r="G409">
        <v>21</v>
      </c>
      <c r="H409">
        <f>Table2[[#This Row],[Due_Amount]]*Table2[[#This Row],[Delay_Days]]</f>
        <v>95046</v>
      </c>
      <c r="I409" s="3" t="str">
        <f>IF(Table2[[#This Row],[Delay_Days]]=0,"On Time",IF(Table2[[#This Row],[Delay_Days]]&lt;=7,"Low Risk(1-7)",IF(Table2[[#This Row],[Delay_Days]]&lt;=15,"Medium Risk(8-15)",IF(Table2[[#This Row],[Delay_Days]]&lt;=30,"High Risk(16-30)","Severe Risk(30+)"))))</f>
        <v>High Risk(16-30)</v>
      </c>
      <c r="J409" s="5">
        <f>AVERAGE(Table2[Due_Amount])</f>
        <v>4635.1866666666665</v>
      </c>
      <c r="K409" s="5">
        <f>Table2[[#This Row],[Estimated_Market_Rent]]-Table2[[#This Row],[Due_Amount]]</f>
        <v>109.1866666666665</v>
      </c>
      <c r="L409" s="6">
        <f>IF(Table2[[#This Row],[Current Rent Gap]]&gt;0,Table2[[#This Row],[Current Rent Gap]]/Table2[[#This Row],[Estimated_Market_Rent]],0)</f>
        <v>2.355604520781612E-2</v>
      </c>
      <c r="M409" s="3" t="str">
        <f>IF(Table2[[#This Row],[Under_Market %]]&gt;0.1,"Underpriced","OK")</f>
        <v>OK</v>
      </c>
      <c r="N409" s="5">
        <f>SUMIFS(Table2[[#This Row],[Current Rent Gap]],Table2[[#This Row],[Current Rent Gap]],"&gt;0")</f>
        <v>109.1866666666665</v>
      </c>
    </row>
    <row r="410" spans="1:14" x14ac:dyDescent="0.35">
      <c r="A410" t="s">
        <v>521</v>
      </c>
      <c r="B410" t="s">
        <v>743</v>
      </c>
      <c r="C410">
        <v>5294</v>
      </c>
      <c r="D410">
        <v>4611</v>
      </c>
      <c r="E410">
        <f>Table2[[#This Row],[Due_Amount]]-Table2[[#This Row],[Paid_Amount]]</f>
        <v>683</v>
      </c>
      <c r="F410" s="1">
        <v>45754</v>
      </c>
      <c r="G410">
        <v>18</v>
      </c>
      <c r="H410">
        <f>Table2[[#This Row],[Due_Amount]]*Table2[[#This Row],[Delay_Days]]</f>
        <v>95292</v>
      </c>
      <c r="I410" s="3" t="str">
        <f>IF(Table2[[#This Row],[Delay_Days]]=0,"On Time",IF(Table2[[#This Row],[Delay_Days]]&lt;=7,"Low Risk(1-7)",IF(Table2[[#This Row],[Delay_Days]]&lt;=15,"Medium Risk(8-15)",IF(Table2[[#This Row],[Delay_Days]]&lt;=30,"High Risk(16-30)","Severe Risk(30+)"))))</f>
        <v>High Risk(16-30)</v>
      </c>
      <c r="J410" s="5">
        <f>AVERAGE(Table2[Due_Amount])</f>
        <v>4635.1866666666665</v>
      </c>
      <c r="K410" s="5">
        <f>Table2[[#This Row],[Estimated_Market_Rent]]-Table2[[#This Row],[Due_Amount]]</f>
        <v>-658.8133333333335</v>
      </c>
      <c r="L410" s="6">
        <f>IF(Table2[[#This Row],[Current Rent Gap]]&gt;0,Table2[[#This Row],[Current Rent Gap]]/Table2[[#This Row],[Estimated_Market_Rent]],0)</f>
        <v>0</v>
      </c>
      <c r="M410" s="3" t="str">
        <f>IF(Table2[[#This Row],[Under_Market %]]&gt;0.1,"Underpriced","OK")</f>
        <v>OK</v>
      </c>
      <c r="N410" s="5">
        <f>SUMIFS(Table2[[#This Row],[Current Rent Gap]],Table2[[#This Row],[Current Rent Gap]],"&gt;0")</f>
        <v>0</v>
      </c>
    </row>
    <row r="411" spans="1:14" x14ac:dyDescent="0.35">
      <c r="A411" t="s">
        <v>32</v>
      </c>
      <c r="B411" t="s">
        <v>746</v>
      </c>
      <c r="C411">
        <v>6951</v>
      </c>
      <c r="D411">
        <v>6951</v>
      </c>
      <c r="E411">
        <f>Table2[[#This Row],[Due_Amount]]-Table2[[#This Row],[Paid_Amount]]</f>
        <v>0</v>
      </c>
      <c r="F411" s="1">
        <v>45951</v>
      </c>
      <c r="G411">
        <v>9</v>
      </c>
      <c r="H411">
        <f>Table2[[#This Row],[Due_Amount]]*Table2[[#This Row],[Delay_Days]]</f>
        <v>62559</v>
      </c>
      <c r="I411" s="3" t="str">
        <f>IF(Table2[[#This Row],[Delay_Days]]=0,"On Time",IF(Table2[[#This Row],[Delay_Days]]&lt;=7,"Low Risk(1-7)",IF(Table2[[#This Row],[Delay_Days]]&lt;=15,"Medium Risk(8-15)",IF(Table2[[#This Row],[Delay_Days]]&lt;=30,"High Risk(16-30)","Severe Risk(30+)"))))</f>
        <v>Medium Risk(8-15)</v>
      </c>
      <c r="J411" s="5">
        <f>AVERAGE(Table2[Due_Amount])</f>
        <v>4635.1866666666665</v>
      </c>
      <c r="K411" s="5">
        <f>Table2[[#This Row],[Estimated_Market_Rent]]-Table2[[#This Row],[Due_Amount]]</f>
        <v>-2315.8133333333335</v>
      </c>
      <c r="L411" s="6">
        <f>IF(Table2[[#This Row],[Current Rent Gap]]&gt;0,Table2[[#This Row],[Current Rent Gap]]/Table2[[#This Row],[Estimated_Market_Rent]],0)</f>
        <v>0</v>
      </c>
      <c r="M411" s="3" t="str">
        <f>IF(Table2[[#This Row],[Under_Market %]]&gt;0.1,"Underpriced","OK")</f>
        <v>OK</v>
      </c>
      <c r="N411" s="5">
        <f>SUMIFS(Table2[[#This Row],[Current Rent Gap]],Table2[[#This Row],[Current Rent Gap]],"&gt;0")</f>
        <v>0</v>
      </c>
    </row>
    <row r="412" spans="1:14" x14ac:dyDescent="0.35">
      <c r="A412" t="s">
        <v>701</v>
      </c>
      <c r="B412" t="s">
        <v>750</v>
      </c>
      <c r="C412">
        <v>6712</v>
      </c>
      <c r="D412">
        <v>5938</v>
      </c>
      <c r="E412">
        <f>Table2[[#This Row],[Due_Amount]]-Table2[[#This Row],[Paid_Amount]]</f>
        <v>774</v>
      </c>
      <c r="F412" s="1">
        <v>46008</v>
      </c>
      <c r="G412">
        <v>10</v>
      </c>
      <c r="H412">
        <f>Table2[[#This Row],[Due_Amount]]*Table2[[#This Row],[Delay_Days]]</f>
        <v>67120</v>
      </c>
      <c r="I412" s="3" t="str">
        <f>IF(Table2[[#This Row],[Delay_Days]]=0,"On Time",IF(Table2[[#This Row],[Delay_Days]]&lt;=7,"Low Risk(1-7)",IF(Table2[[#This Row],[Delay_Days]]&lt;=15,"Medium Risk(8-15)",IF(Table2[[#This Row],[Delay_Days]]&lt;=30,"High Risk(16-30)","Severe Risk(30+)"))))</f>
        <v>Medium Risk(8-15)</v>
      </c>
      <c r="J412" s="5">
        <f>AVERAGE(Table2[Due_Amount])</f>
        <v>4635.1866666666665</v>
      </c>
      <c r="K412" s="5">
        <f>Table2[[#This Row],[Estimated_Market_Rent]]-Table2[[#This Row],[Due_Amount]]</f>
        <v>-2076.8133333333335</v>
      </c>
      <c r="L412" s="6">
        <f>IF(Table2[[#This Row],[Current Rent Gap]]&gt;0,Table2[[#This Row],[Current Rent Gap]]/Table2[[#This Row],[Estimated_Market_Rent]],0)</f>
        <v>0</v>
      </c>
      <c r="M412" s="3" t="str">
        <f>IF(Table2[[#This Row],[Under_Market %]]&gt;0.1,"Underpriced","OK")</f>
        <v>OK</v>
      </c>
      <c r="N412" s="5">
        <f>SUMIFS(Table2[[#This Row],[Current Rent Gap]],Table2[[#This Row],[Current Rent Gap]],"&gt;0")</f>
        <v>0</v>
      </c>
    </row>
    <row r="413" spans="1:14" x14ac:dyDescent="0.35">
      <c r="A413" t="s">
        <v>193</v>
      </c>
      <c r="B413" t="s">
        <v>743</v>
      </c>
      <c r="C413">
        <v>2737</v>
      </c>
      <c r="D413">
        <v>2737</v>
      </c>
      <c r="E413">
        <f>Table2[[#This Row],[Due_Amount]]-Table2[[#This Row],[Paid_Amount]]</f>
        <v>0</v>
      </c>
      <c r="F413" s="1">
        <v>45667</v>
      </c>
      <c r="G413">
        <v>3</v>
      </c>
      <c r="H413">
        <f>Table2[[#This Row],[Due_Amount]]*Table2[[#This Row],[Delay_Days]]</f>
        <v>8211</v>
      </c>
      <c r="I413" s="3" t="str">
        <f>IF(Table2[[#This Row],[Delay_Days]]=0,"On Time",IF(Table2[[#This Row],[Delay_Days]]&lt;=7,"Low Risk(1-7)",IF(Table2[[#This Row],[Delay_Days]]&lt;=15,"Medium Risk(8-15)",IF(Table2[[#This Row],[Delay_Days]]&lt;=30,"High Risk(16-30)","Severe Risk(30+)"))))</f>
        <v>Low Risk(1-7)</v>
      </c>
      <c r="J413" s="5">
        <f>AVERAGE(Table2[Due_Amount])</f>
        <v>4635.1866666666665</v>
      </c>
      <c r="K413" s="5">
        <f>Table2[[#This Row],[Estimated_Market_Rent]]-Table2[[#This Row],[Due_Amount]]</f>
        <v>1898.1866666666665</v>
      </c>
      <c r="L413" s="6">
        <f>IF(Table2[[#This Row],[Current Rent Gap]]&gt;0,Table2[[#This Row],[Current Rent Gap]]/Table2[[#This Row],[Estimated_Market_Rent]],0)</f>
        <v>0.40951676883203553</v>
      </c>
      <c r="M413" s="3" t="str">
        <f>IF(Table2[[#This Row],[Under_Market %]]&gt;0.1,"Underpriced","OK")</f>
        <v>Underpriced</v>
      </c>
      <c r="N413" s="5">
        <f>SUMIFS(Table2[[#This Row],[Current Rent Gap]],Table2[[#This Row],[Current Rent Gap]],"&gt;0")</f>
        <v>1898.1866666666665</v>
      </c>
    </row>
    <row r="414" spans="1:14" x14ac:dyDescent="0.35">
      <c r="A414" t="s">
        <v>669</v>
      </c>
      <c r="B414" t="s">
        <v>744</v>
      </c>
      <c r="C414">
        <v>6928</v>
      </c>
      <c r="D414">
        <v>6459</v>
      </c>
      <c r="E414">
        <f>Table2[[#This Row],[Due_Amount]]-Table2[[#This Row],[Paid_Amount]]</f>
        <v>469</v>
      </c>
      <c r="F414" s="1">
        <v>45677</v>
      </c>
      <c r="G414">
        <v>22</v>
      </c>
      <c r="H414">
        <f>Table2[[#This Row],[Due_Amount]]*Table2[[#This Row],[Delay_Days]]</f>
        <v>152416</v>
      </c>
      <c r="I414" s="3" t="str">
        <f>IF(Table2[[#This Row],[Delay_Days]]=0,"On Time",IF(Table2[[#This Row],[Delay_Days]]&lt;=7,"Low Risk(1-7)",IF(Table2[[#This Row],[Delay_Days]]&lt;=15,"Medium Risk(8-15)",IF(Table2[[#This Row],[Delay_Days]]&lt;=30,"High Risk(16-30)","Severe Risk(30+)"))))</f>
        <v>High Risk(16-30)</v>
      </c>
      <c r="J414" s="5">
        <f>AVERAGE(Table2[Due_Amount])</f>
        <v>4635.1866666666665</v>
      </c>
      <c r="K414" s="5">
        <f>Table2[[#This Row],[Estimated_Market_Rent]]-Table2[[#This Row],[Due_Amount]]</f>
        <v>-2292.8133333333335</v>
      </c>
      <c r="L414" s="6">
        <f>IF(Table2[[#This Row],[Current Rent Gap]]&gt;0,Table2[[#This Row],[Current Rent Gap]]/Table2[[#This Row],[Estimated_Market_Rent]],0)</f>
        <v>0</v>
      </c>
      <c r="M414" s="3" t="str">
        <f>IF(Table2[[#This Row],[Under_Market %]]&gt;0.1,"Underpriced","OK")</f>
        <v>OK</v>
      </c>
      <c r="N414" s="5">
        <f>SUMIFS(Table2[[#This Row],[Current Rent Gap]],Table2[[#This Row],[Current Rent Gap]],"&gt;0")</f>
        <v>0</v>
      </c>
    </row>
    <row r="415" spans="1:14" x14ac:dyDescent="0.35">
      <c r="A415" t="s">
        <v>268</v>
      </c>
      <c r="B415" t="s">
        <v>751</v>
      </c>
      <c r="C415">
        <v>6932</v>
      </c>
      <c r="D415">
        <v>6932</v>
      </c>
      <c r="E415">
        <f>Table2[[#This Row],[Due_Amount]]-Table2[[#This Row],[Paid_Amount]]</f>
        <v>0</v>
      </c>
      <c r="F415" s="1">
        <v>46001</v>
      </c>
      <c r="G415">
        <v>9</v>
      </c>
      <c r="H415">
        <f>Table2[[#This Row],[Due_Amount]]*Table2[[#This Row],[Delay_Days]]</f>
        <v>62388</v>
      </c>
      <c r="I415" s="3" t="str">
        <f>IF(Table2[[#This Row],[Delay_Days]]=0,"On Time",IF(Table2[[#This Row],[Delay_Days]]&lt;=7,"Low Risk(1-7)",IF(Table2[[#This Row],[Delay_Days]]&lt;=15,"Medium Risk(8-15)",IF(Table2[[#This Row],[Delay_Days]]&lt;=30,"High Risk(16-30)","Severe Risk(30+)"))))</f>
        <v>Medium Risk(8-15)</v>
      </c>
      <c r="J415" s="5">
        <f>AVERAGE(Table2[Due_Amount])</f>
        <v>4635.1866666666665</v>
      </c>
      <c r="K415" s="5">
        <f>Table2[[#This Row],[Estimated_Market_Rent]]-Table2[[#This Row],[Due_Amount]]</f>
        <v>-2296.8133333333335</v>
      </c>
      <c r="L415" s="6">
        <f>IF(Table2[[#This Row],[Current Rent Gap]]&gt;0,Table2[[#This Row],[Current Rent Gap]]/Table2[[#This Row],[Estimated_Market_Rent]],0)</f>
        <v>0</v>
      </c>
      <c r="M415" s="3" t="str">
        <f>IF(Table2[[#This Row],[Under_Market %]]&gt;0.1,"Underpriced","OK")</f>
        <v>OK</v>
      </c>
      <c r="N415" s="5">
        <f>SUMIFS(Table2[[#This Row],[Current Rent Gap]],Table2[[#This Row],[Current Rent Gap]],"&gt;0")</f>
        <v>0</v>
      </c>
    </row>
    <row r="416" spans="1:14" x14ac:dyDescent="0.35">
      <c r="A416" t="s">
        <v>644</v>
      </c>
      <c r="B416" t="s">
        <v>753</v>
      </c>
      <c r="C416">
        <v>5586</v>
      </c>
      <c r="D416">
        <v>5586</v>
      </c>
      <c r="E416">
        <f>Table2[[#This Row],[Due_Amount]]-Table2[[#This Row],[Paid_Amount]]</f>
        <v>0</v>
      </c>
      <c r="F416" s="1">
        <v>45996</v>
      </c>
      <c r="G416">
        <v>5</v>
      </c>
      <c r="H416">
        <f>Table2[[#This Row],[Due_Amount]]*Table2[[#This Row],[Delay_Days]]</f>
        <v>27930</v>
      </c>
      <c r="I416" s="3" t="str">
        <f>IF(Table2[[#This Row],[Delay_Days]]=0,"On Time",IF(Table2[[#This Row],[Delay_Days]]&lt;=7,"Low Risk(1-7)",IF(Table2[[#This Row],[Delay_Days]]&lt;=15,"Medium Risk(8-15)",IF(Table2[[#This Row],[Delay_Days]]&lt;=30,"High Risk(16-30)","Severe Risk(30+)"))))</f>
        <v>Low Risk(1-7)</v>
      </c>
      <c r="J416" s="5">
        <f>AVERAGE(Table2[Due_Amount])</f>
        <v>4635.1866666666665</v>
      </c>
      <c r="K416" s="5">
        <f>Table2[[#This Row],[Estimated_Market_Rent]]-Table2[[#This Row],[Due_Amount]]</f>
        <v>-950.8133333333335</v>
      </c>
      <c r="L416" s="6">
        <f>IF(Table2[[#This Row],[Current Rent Gap]]&gt;0,Table2[[#This Row],[Current Rent Gap]]/Table2[[#This Row],[Estimated_Market_Rent]],0)</f>
        <v>0</v>
      </c>
      <c r="M416" s="3" t="str">
        <f>IF(Table2[[#This Row],[Under_Market %]]&gt;0.1,"Underpriced","OK")</f>
        <v>OK</v>
      </c>
      <c r="N416" s="5">
        <f>SUMIFS(Table2[[#This Row],[Current Rent Gap]],Table2[[#This Row],[Current Rent Gap]],"&gt;0")</f>
        <v>0</v>
      </c>
    </row>
    <row r="417" spans="1:14" x14ac:dyDescent="0.35">
      <c r="A417" t="s">
        <v>467</v>
      </c>
      <c r="B417" t="s">
        <v>750</v>
      </c>
      <c r="C417">
        <v>6643</v>
      </c>
      <c r="D417">
        <v>6082</v>
      </c>
      <c r="E417">
        <f>Table2[[#This Row],[Due_Amount]]-Table2[[#This Row],[Paid_Amount]]</f>
        <v>561</v>
      </c>
      <c r="F417" s="1">
        <v>45938</v>
      </c>
      <c r="G417">
        <v>15</v>
      </c>
      <c r="H417">
        <f>Table2[[#This Row],[Due_Amount]]*Table2[[#This Row],[Delay_Days]]</f>
        <v>99645</v>
      </c>
      <c r="I417" s="3" t="str">
        <f>IF(Table2[[#This Row],[Delay_Days]]=0,"On Time",IF(Table2[[#This Row],[Delay_Days]]&lt;=7,"Low Risk(1-7)",IF(Table2[[#This Row],[Delay_Days]]&lt;=15,"Medium Risk(8-15)",IF(Table2[[#This Row],[Delay_Days]]&lt;=30,"High Risk(16-30)","Severe Risk(30+)"))))</f>
        <v>Medium Risk(8-15)</v>
      </c>
      <c r="J417" s="5">
        <f>AVERAGE(Table2[Due_Amount])</f>
        <v>4635.1866666666665</v>
      </c>
      <c r="K417" s="5">
        <f>Table2[[#This Row],[Estimated_Market_Rent]]-Table2[[#This Row],[Due_Amount]]</f>
        <v>-2007.8133333333335</v>
      </c>
      <c r="L417" s="6">
        <f>IF(Table2[[#This Row],[Current Rent Gap]]&gt;0,Table2[[#This Row],[Current Rent Gap]]/Table2[[#This Row],[Estimated_Market_Rent]],0)</f>
        <v>0</v>
      </c>
      <c r="M417" s="3" t="str">
        <f>IF(Table2[[#This Row],[Under_Market %]]&gt;0.1,"Underpriced","OK")</f>
        <v>OK</v>
      </c>
      <c r="N417" s="5">
        <f>SUMIFS(Table2[[#This Row],[Current Rent Gap]],Table2[[#This Row],[Current Rent Gap]],"&gt;0")</f>
        <v>0</v>
      </c>
    </row>
    <row r="418" spans="1:14" x14ac:dyDescent="0.35">
      <c r="A418" t="s">
        <v>688</v>
      </c>
      <c r="B418" t="s">
        <v>744</v>
      </c>
      <c r="C418">
        <v>2021</v>
      </c>
      <c r="D418">
        <v>1862</v>
      </c>
      <c r="E418">
        <f>Table2[[#This Row],[Due_Amount]]-Table2[[#This Row],[Paid_Amount]]</f>
        <v>159</v>
      </c>
      <c r="F418" s="1">
        <v>45944</v>
      </c>
      <c r="G418">
        <v>18</v>
      </c>
      <c r="H418">
        <f>Table2[[#This Row],[Due_Amount]]*Table2[[#This Row],[Delay_Days]]</f>
        <v>36378</v>
      </c>
      <c r="I418" s="3" t="str">
        <f>IF(Table2[[#This Row],[Delay_Days]]=0,"On Time",IF(Table2[[#This Row],[Delay_Days]]&lt;=7,"Low Risk(1-7)",IF(Table2[[#This Row],[Delay_Days]]&lt;=15,"Medium Risk(8-15)",IF(Table2[[#This Row],[Delay_Days]]&lt;=30,"High Risk(16-30)","Severe Risk(30+)"))))</f>
        <v>High Risk(16-30)</v>
      </c>
      <c r="J418" s="5">
        <f>AVERAGE(Table2[Due_Amount])</f>
        <v>4635.1866666666665</v>
      </c>
      <c r="K418" s="5">
        <f>Table2[[#This Row],[Estimated_Market_Rent]]-Table2[[#This Row],[Due_Amount]]</f>
        <v>2614.1866666666665</v>
      </c>
      <c r="L418" s="6">
        <f>IF(Table2[[#This Row],[Current Rent Gap]]&gt;0,Table2[[#This Row],[Current Rent Gap]]/Table2[[#This Row],[Estimated_Market_Rent]],0)</f>
        <v>0.56398735469840844</v>
      </c>
      <c r="M418" s="3" t="str">
        <f>IF(Table2[[#This Row],[Under_Market %]]&gt;0.1,"Underpriced","OK")</f>
        <v>Underpriced</v>
      </c>
      <c r="N418" s="5">
        <f>SUMIFS(Table2[[#This Row],[Current Rent Gap]],Table2[[#This Row],[Current Rent Gap]],"&gt;0")</f>
        <v>2614.1866666666665</v>
      </c>
    </row>
    <row r="419" spans="1:14" x14ac:dyDescent="0.35">
      <c r="A419" t="s">
        <v>41</v>
      </c>
      <c r="B419" t="s">
        <v>754</v>
      </c>
      <c r="C419">
        <v>3374</v>
      </c>
      <c r="D419">
        <v>2821</v>
      </c>
      <c r="E419">
        <f>Table2[[#This Row],[Due_Amount]]-Table2[[#This Row],[Paid_Amount]]</f>
        <v>553</v>
      </c>
      <c r="F419" s="1">
        <v>45857</v>
      </c>
      <c r="G419">
        <v>10</v>
      </c>
      <c r="H419">
        <f>Table2[[#This Row],[Due_Amount]]*Table2[[#This Row],[Delay_Days]]</f>
        <v>33740</v>
      </c>
      <c r="I419" s="3" t="str">
        <f>IF(Table2[[#This Row],[Delay_Days]]=0,"On Time",IF(Table2[[#This Row],[Delay_Days]]&lt;=7,"Low Risk(1-7)",IF(Table2[[#This Row],[Delay_Days]]&lt;=15,"Medium Risk(8-15)",IF(Table2[[#This Row],[Delay_Days]]&lt;=30,"High Risk(16-30)","Severe Risk(30+)"))))</f>
        <v>Medium Risk(8-15)</v>
      </c>
      <c r="J419" s="5">
        <f>AVERAGE(Table2[Due_Amount])</f>
        <v>4635.1866666666665</v>
      </c>
      <c r="K419" s="5">
        <f>Table2[[#This Row],[Estimated_Market_Rent]]-Table2[[#This Row],[Due_Amount]]</f>
        <v>1261.1866666666665</v>
      </c>
      <c r="L419" s="6">
        <f>IF(Table2[[#This Row],[Current Rent Gap]]&gt;0,Table2[[#This Row],[Current Rent Gap]]/Table2[[#This Row],[Estimated_Market_Rent]],0)</f>
        <v>0.27208972526097475</v>
      </c>
      <c r="M419" s="3" t="str">
        <f>IF(Table2[[#This Row],[Under_Market %]]&gt;0.1,"Underpriced","OK")</f>
        <v>Underpriced</v>
      </c>
      <c r="N419" s="5">
        <f>SUMIFS(Table2[[#This Row],[Current Rent Gap]],Table2[[#This Row],[Current Rent Gap]],"&gt;0")</f>
        <v>1261.1866666666665</v>
      </c>
    </row>
    <row r="420" spans="1:14" x14ac:dyDescent="0.35">
      <c r="A420" t="s">
        <v>178</v>
      </c>
      <c r="B420" t="s">
        <v>744</v>
      </c>
      <c r="C420">
        <v>5845</v>
      </c>
      <c r="D420">
        <v>5845</v>
      </c>
      <c r="E420">
        <f>Table2[[#This Row],[Due_Amount]]-Table2[[#This Row],[Paid_Amount]]</f>
        <v>0</v>
      </c>
      <c r="F420" s="1">
        <v>45855</v>
      </c>
      <c r="G420">
        <v>8</v>
      </c>
      <c r="H420">
        <f>Table2[[#This Row],[Due_Amount]]*Table2[[#This Row],[Delay_Days]]</f>
        <v>46760</v>
      </c>
      <c r="I420" s="3" t="str">
        <f>IF(Table2[[#This Row],[Delay_Days]]=0,"On Time",IF(Table2[[#This Row],[Delay_Days]]&lt;=7,"Low Risk(1-7)",IF(Table2[[#This Row],[Delay_Days]]&lt;=15,"Medium Risk(8-15)",IF(Table2[[#This Row],[Delay_Days]]&lt;=30,"High Risk(16-30)","Severe Risk(30+)"))))</f>
        <v>Medium Risk(8-15)</v>
      </c>
      <c r="J420" s="5">
        <f>AVERAGE(Table2[Due_Amount])</f>
        <v>4635.1866666666665</v>
      </c>
      <c r="K420" s="5">
        <f>Table2[[#This Row],[Estimated_Market_Rent]]-Table2[[#This Row],[Due_Amount]]</f>
        <v>-1209.8133333333335</v>
      </c>
      <c r="L420" s="6">
        <f>IF(Table2[[#This Row],[Current Rent Gap]]&gt;0,Table2[[#This Row],[Current Rent Gap]]/Table2[[#This Row],[Estimated_Market_Rent]],0)</f>
        <v>0</v>
      </c>
      <c r="M420" s="3" t="str">
        <f>IF(Table2[[#This Row],[Under_Market %]]&gt;0.1,"Underpriced","OK")</f>
        <v>OK</v>
      </c>
      <c r="N420" s="5">
        <f>SUMIFS(Table2[[#This Row],[Current Rent Gap]],Table2[[#This Row],[Current Rent Gap]],"&gt;0")</f>
        <v>0</v>
      </c>
    </row>
    <row r="421" spans="1:14" x14ac:dyDescent="0.35">
      <c r="A421" t="s">
        <v>686</v>
      </c>
      <c r="B421" t="s">
        <v>746</v>
      </c>
      <c r="C421">
        <v>4792</v>
      </c>
      <c r="D421">
        <v>4778</v>
      </c>
      <c r="E421">
        <f>Table2[[#This Row],[Due_Amount]]-Table2[[#This Row],[Paid_Amount]]</f>
        <v>14</v>
      </c>
      <c r="F421" s="1">
        <v>45736</v>
      </c>
      <c r="G421">
        <v>20</v>
      </c>
      <c r="H421">
        <f>Table2[[#This Row],[Due_Amount]]*Table2[[#This Row],[Delay_Days]]</f>
        <v>95840</v>
      </c>
      <c r="I421" s="3" t="str">
        <f>IF(Table2[[#This Row],[Delay_Days]]=0,"On Time",IF(Table2[[#This Row],[Delay_Days]]&lt;=7,"Low Risk(1-7)",IF(Table2[[#This Row],[Delay_Days]]&lt;=15,"Medium Risk(8-15)",IF(Table2[[#This Row],[Delay_Days]]&lt;=30,"High Risk(16-30)","Severe Risk(30+)"))))</f>
        <v>High Risk(16-30)</v>
      </c>
      <c r="J421" s="5">
        <f>AVERAGE(Table2[Due_Amount])</f>
        <v>4635.1866666666665</v>
      </c>
      <c r="K421" s="5">
        <f>Table2[[#This Row],[Estimated_Market_Rent]]-Table2[[#This Row],[Due_Amount]]</f>
        <v>-156.8133333333335</v>
      </c>
      <c r="L421" s="6">
        <f>IF(Table2[[#This Row],[Current Rent Gap]]&gt;0,Table2[[#This Row],[Current Rent Gap]]/Table2[[#This Row],[Estimated_Market_Rent]],0)</f>
        <v>0</v>
      </c>
      <c r="M421" s="3" t="str">
        <f>IF(Table2[[#This Row],[Under_Market %]]&gt;0.1,"Underpriced","OK")</f>
        <v>OK</v>
      </c>
      <c r="N421" s="5">
        <f>SUMIFS(Table2[[#This Row],[Current Rent Gap]],Table2[[#This Row],[Current Rent Gap]],"&gt;0")</f>
        <v>0</v>
      </c>
    </row>
    <row r="422" spans="1:14" x14ac:dyDescent="0.35">
      <c r="A422" t="s">
        <v>661</v>
      </c>
      <c r="B422" t="s">
        <v>748</v>
      </c>
      <c r="C422">
        <v>2873</v>
      </c>
      <c r="D422">
        <v>2108</v>
      </c>
      <c r="E422">
        <f>Table2[[#This Row],[Due_Amount]]-Table2[[#This Row],[Paid_Amount]]</f>
        <v>765</v>
      </c>
      <c r="F422" s="1">
        <v>45821</v>
      </c>
      <c r="G422">
        <v>20</v>
      </c>
      <c r="H422">
        <f>Table2[[#This Row],[Due_Amount]]*Table2[[#This Row],[Delay_Days]]</f>
        <v>57460</v>
      </c>
      <c r="I422" s="3" t="str">
        <f>IF(Table2[[#This Row],[Delay_Days]]=0,"On Time",IF(Table2[[#This Row],[Delay_Days]]&lt;=7,"Low Risk(1-7)",IF(Table2[[#This Row],[Delay_Days]]&lt;=15,"Medium Risk(8-15)",IF(Table2[[#This Row],[Delay_Days]]&lt;=30,"High Risk(16-30)","Severe Risk(30+)"))))</f>
        <v>High Risk(16-30)</v>
      </c>
      <c r="J422" s="5">
        <f>AVERAGE(Table2[Due_Amount])</f>
        <v>4635.1866666666665</v>
      </c>
      <c r="K422" s="5">
        <f>Table2[[#This Row],[Estimated_Market_Rent]]-Table2[[#This Row],[Due_Amount]]</f>
        <v>1762.1866666666665</v>
      </c>
      <c r="L422" s="6">
        <f>IF(Table2[[#This Row],[Current Rent Gap]]&gt;0,Table2[[#This Row],[Current Rent Gap]]/Table2[[#This Row],[Estimated_Market_Rent]],0)</f>
        <v>0.38017598715909318</v>
      </c>
      <c r="M422" s="3" t="str">
        <f>IF(Table2[[#This Row],[Under_Market %]]&gt;0.1,"Underpriced","OK")</f>
        <v>Underpriced</v>
      </c>
      <c r="N422" s="5">
        <f>SUMIFS(Table2[[#This Row],[Current Rent Gap]],Table2[[#This Row],[Current Rent Gap]],"&gt;0")</f>
        <v>1762.1866666666665</v>
      </c>
    </row>
    <row r="423" spans="1:14" x14ac:dyDescent="0.35">
      <c r="A423" t="s">
        <v>69</v>
      </c>
      <c r="B423" t="s">
        <v>746</v>
      </c>
      <c r="C423">
        <v>2679</v>
      </c>
      <c r="D423">
        <v>2541</v>
      </c>
      <c r="E423">
        <f>Table2[[#This Row],[Due_Amount]]-Table2[[#This Row],[Paid_Amount]]</f>
        <v>138</v>
      </c>
      <c r="F423" s="1">
        <v>45850</v>
      </c>
      <c r="G423">
        <v>18</v>
      </c>
      <c r="H423">
        <f>Table2[[#This Row],[Due_Amount]]*Table2[[#This Row],[Delay_Days]]</f>
        <v>48222</v>
      </c>
      <c r="I423" s="3" t="str">
        <f>IF(Table2[[#This Row],[Delay_Days]]=0,"On Time",IF(Table2[[#This Row],[Delay_Days]]&lt;=7,"Low Risk(1-7)",IF(Table2[[#This Row],[Delay_Days]]&lt;=15,"Medium Risk(8-15)",IF(Table2[[#This Row],[Delay_Days]]&lt;=30,"High Risk(16-30)","Severe Risk(30+)"))))</f>
        <v>High Risk(16-30)</v>
      </c>
      <c r="J423" s="5">
        <f>AVERAGE(Table2[Due_Amount])</f>
        <v>4635.1866666666665</v>
      </c>
      <c r="K423" s="5">
        <f>Table2[[#This Row],[Estimated_Market_Rent]]-Table2[[#This Row],[Due_Amount]]</f>
        <v>1956.1866666666665</v>
      </c>
      <c r="L423" s="6">
        <f>IF(Table2[[#This Row],[Current Rent Gap]]&gt;0,Table2[[#This Row],[Current Rent Gap]]/Table2[[#This Row],[Estimated_Market_Rent]],0)</f>
        <v>0.42202974925137854</v>
      </c>
      <c r="M423" s="3" t="str">
        <f>IF(Table2[[#This Row],[Under_Market %]]&gt;0.1,"Underpriced","OK")</f>
        <v>Underpriced</v>
      </c>
      <c r="N423" s="5">
        <f>SUMIFS(Table2[[#This Row],[Current Rent Gap]],Table2[[#This Row],[Current Rent Gap]],"&gt;0")</f>
        <v>1956.1866666666665</v>
      </c>
    </row>
    <row r="424" spans="1:14" x14ac:dyDescent="0.35">
      <c r="A424" t="s">
        <v>23</v>
      </c>
      <c r="B424" t="s">
        <v>745</v>
      </c>
      <c r="C424">
        <v>6873</v>
      </c>
      <c r="D424">
        <v>6690</v>
      </c>
      <c r="E424">
        <f>Table2[[#This Row],[Due_Amount]]-Table2[[#This Row],[Paid_Amount]]</f>
        <v>183</v>
      </c>
      <c r="F424" s="1">
        <v>45980</v>
      </c>
      <c r="G424">
        <v>11</v>
      </c>
      <c r="H424">
        <f>Table2[[#This Row],[Due_Amount]]*Table2[[#This Row],[Delay_Days]]</f>
        <v>75603</v>
      </c>
      <c r="I424" s="3" t="str">
        <f>IF(Table2[[#This Row],[Delay_Days]]=0,"On Time",IF(Table2[[#This Row],[Delay_Days]]&lt;=7,"Low Risk(1-7)",IF(Table2[[#This Row],[Delay_Days]]&lt;=15,"Medium Risk(8-15)",IF(Table2[[#This Row],[Delay_Days]]&lt;=30,"High Risk(16-30)","Severe Risk(30+)"))))</f>
        <v>Medium Risk(8-15)</v>
      </c>
      <c r="J424" s="5">
        <f>AVERAGE(Table2[Due_Amount])</f>
        <v>4635.1866666666665</v>
      </c>
      <c r="K424" s="5">
        <f>Table2[[#This Row],[Estimated_Market_Rent]]-Table2[[#This Row],[Due_Amount]]</f>
        <v>-2237.8133333333335</v>
      </c>
      <c r="L424" s="6">
        <f>IF(Table2[[#This Row],[Current Rent Gap]]&gt;0,Table2[[#This Row],[Current Rent Gap]]/Table2[[#This Row],[Estimated_Market_Rent]],0)</f>
        <v>0</v>
      </c>
      <c r="M424" s="3" t="str">
        <f>IF(Table2[[#This Row],[Under_Market %]]&gt;0.1,"Underpriced","OK")</f>
        <v>OK</v>
      </c>
      <c r="N424" s="5">
        <f>SUMIFS(Table2[[#This Row],[Current Rent Gap]],Table2[[#This Row],[Current Rent Gap]],"&gt;0")</f>
        <v>0</v>
      </c>
    </row>
    <row r="425" spans="1:14" x14ac:dyDescent="0.35">
      <c r="A425" t="s">
        <v>499</v>
      </c>
      <c r="B425" t="s">
        <v>754</v>
      </c>
      <c r="C425">
        <v>5173</v>
      </c>
      <c r="D425">
        <v>5173</v>
      </c>
      <c r="E425">
        <f>Table2[[#This Row],[Due_Amount]]-Table2[[#This Row],[Paid_Amount]]</f>
        <v>0</v>
      </c>
      <c r="F425" s="1">
        <v>45670</v>
      </c>
      <c r="G425">
        <v>1</v>
      </c>
      <c r="H425">
        <f>Table2[[#This Row],[Due_Amount]]*Table2[[#This Row],[Delay_Days]]</f>
        <v>5173</v>
      </c>
      <c r="I425" s="3" t="str">
        <f>IF(Table2[[#This Row],[Delay_Days]]=0,"On Time",IF(Table2[[#This Row],[Delay_Days]]&lt;=7,"Low Risk(1-7)",IF(Table2[[#This Row],[Delay_Days]]&lt;=15,"Medium Risk(8-15)",IF(Table2[[#This Row],[Delay_Days]]&lt;=30,"High Risk(16-30)","Severe Risk(30+)"))))</f>
        <v>Low Risk(1-7)</v>
      </c>
      <c r="J425" s="5">
        <f>AVERAGE(Table2[Due_Amount])</f>
        <v>4635.1866666666665</v>
      </c>
      <c r="K425" s="5">
        <f>Table2[[#This Row],[Estimated_Market_Rent]]-Table2[[#This Row],[Due_Amount]]</f>
        <v>-537.8133333333335</v>
      </c>
      <c r="L425" s="6">
        <f>IF(Table2[[#This Row],[Current Rent Gap]]&gt;0,Table2[[#This Row],[Current Rent Gap]]/Table2[[#This Row],[Estimated_Market_Rent]],0)</f>
        <v>0</v>
      </c>
      <c r="M425" s="3" t="str">
        <f>IF(Table2[[#This Row],[Under_Market %]]&gt;0.1,"Underpriced","OK")</f>
        <v>OK</v>
      </c>
      <c r="N425" s="5">
        <f>SUMIFS(Table2[[#This Row],[Current Rent Gap]],Table2[[#This Row],[Current Rent Gap]],"&gt;0")</f>
        <v>0</v>
      </c>
    </row>
    <row r="426" spans="1:14" x14ac:dyDescent="0.35">
      <c r="A426" t="s">
        <v>145</v>
      </c>
      <c r="B426" t="s">
        <v>749</v>
      </c>
      <c r="C426">
        <v>5505</v>
      </c>
      <c r="D426">
        <v>4773</v>
      </c>
      <c r="E426">
        <f>Table2[[#This Row],[Due_Amount]]-Table2[[#This Row],[Paid_Amount]]</f>
        <v>732</v>
      </c>
      <c r="F426" s="1">
        <v>45932</v>
      </c>
      <c r="G426">
        <v>14</v>
      </c>
      <c r="H426">
        <f>Table2[[#This Row],[Due_Amount]]*Table2[[#This Row],[Delay_Days]]</f>
        <v>77070</v>
      </c>
      <c r="I426" s="3" t="str">
        <f>IF(Table2[[#This Row],[Delay_Days]]=0,"On Time",IF(Table2[[#This Row],[Delay_Days]]&lt;=7,"Low Risk(1-7)",IF(Table2[[#This Row],[Delay_Days]]&lt;=15,"Medium Risk(8-15)",IF(Table2[[#This Row],[Delay_Days]]&lt;=30,"High Risk(16-30)","Severe Risk(30+)"))))</f>
        <v>Medium Risk(8-15)</v>
      </c>
      <c r="J426" s="5">
        <f>AVERAGE(Table2[Due_Amount])</f>
        <v>4635.1866666666665</v>
      </c>
      <c r="K426" s="5">
        <f>Table2[[#This Row],[Estimated_Market_Rent]]-Table2[[#This Row],[Due_Amount]]</f>
        <v>-869.8133333333335</v>
      </c>
      <c r="L426" s="6">
        <f>IF(Table2[[#This Row],[Current Rent Gap]]&gt;0,Table2[[#This Row],[Current Rent Gap]]/Table2[[#This Row],[Estimated_Market_Rent]],0)</f>
        <v>0</v>
      </c>
      <c r="M426" s="3" t="str">
        <f>IF(Table2[[#This Row],[Under_Market %]]&gt;0.1,"Underpriced","OK")</f>
        <v>OK</v>
      </c>
      <c r="N426" s="5">
        <f>SUMIFS(Table2[[#This Row],[Current Rent Gap]],Table2[[#This Row],[Current Rent Gap]],"&gt;0")</f>
        <v>0</v>
      </c>
    </row>
    <row r="427" spans="1:14" x14ac:dyDescent="0.35">
      <c r="A427" t="s">
        <v>550</v>
      </c>
      <c r="B427" t="s">
        <v>749</v>
      </c>
      <c r="C427">
        <v>6178</v>
      </c>
      <c r="D427">
        <v>6178</v>
      </c>
      <c r="E427">
        <f>Table2[[#This Row],[Due_Amount]]-Table2[[#This Row],[Paid_Amount]]</f>
        <v>0</v>
      </c>
      <c r="F427" s="1">
        <v>45817</v>
      </c>
      <c r="G427">
        <v>8</v>
      </c>
      <c r="H427">
        <f>Table2[[#This Row],[Due_Amount]]*Table2[[#This Row],[Delay_Days]]</f>
        <v>49424</v>
      </c>
      <c r="I427" s="3" t="str">
        <f>IF(Table2[[#This Row],[Delay_Days]]=0,"On Time",IF(Table2[[#This Row],[Delay_Days]]&lt;=7,"Low Risk(1-7)",IF(Table2[[#This Row],[Delay_Days]]&lt;=15,"Medium Risk(8-15)",IF(Table2[[#This Row],[Delay_Days]]&lt;=30,"High Risk(16-30)","Severe Risk(30+)"))))</f>
        <v>Medium Risk(8-15)</v>
      </c>
      <c r="J427" s="5">
        <f>AVERAGE(Table2[Due_Amount])</f>
        <v>4635.1866666666665</v>
      </c>
      <c r="K427" s="5">
        <f>Table2[[#This Row],[Estimated_Market_Rent]]-Table2[[#This Row],[Due_Amount]]</f>
        <v>-1542.8133333333335</v>
      </c>
      <c r="L427" s="6">
        <f>IF(Table2[[#This Row],[Current Rent Gap]]&gt;0,Table2[[#This Row],[Current Rent Gap]]/Table2[[#This Row],[Estimated_Market_Rent]],0)</f>
        <v>0</v>
      </c>
      <c r="M427" s="3" t="str">
        <f>IF(Table2[[#This Row],[Under_Market %]]&gt;0.1,"Underpriced","OK")</f>
        <v>OK</v>
      </c>
      <c r="N427" s="5">
        <f>SUMIFS(Table2[[#This Row],[Current Rent Gap]],Table2[[#This Row],[Current Rent Gap]],"&gt;0")</f>
        <v>0</v>
      </c>
    </row>
    <row r="428" spans="1:14" x14ac:dyDescent="0.35">
      <c r="A428" t="s">
        <v>565</v>
      </c>
      <c r="B428" t="s">
        <v>746</v>
      </c>
      <c r="C428">
        <v>3424</v>
      </c>
      <c r="D428">
        <v>3424</v>
      </c>
      <c r="E428">
        <f>Table2[[#This Row],[Due_Amount]]-Table2[[#This Row],[Paid_Amount]]</f>
        <v>0</v>
      </c>
      <c r="F428" s="1">
        <v>45786</v>
      </c>
      <c r="G428">
        <v>4</v>
      </c>
      <c r="H428">
        <f>Table2[[#This Row],[Due_Amount]]*Table2[[#This Row],[Delay_Days]]</f>
        <v>13696</v>
      </c>
      <c r="I428" s="3" t="str">
        <f>IF(Table2[[#This Row],[Delay_Days]]=0,"On Time",IF(Table2[[#This Row],[Delay_Days]]&lt;=7,"Low Risk(1-7)",IF(Table2[[#This Row],[Delay_Days]]&lt;=15,"Medium Risk(8-15)",IF(Table2[[#This Row],[Delay_Days]]&lt;=30,"High Risk(16-30)","Severe Risk(30+)"))))</f>
        <v>Low Risk(1-7)</v>
      </c>
      <c r="J428" s="5">
        <f>AVERAGE(Table2[Due_Amount])</f>
        <v>4635.1866666666665</v>
      </c>
      <c r="K428" s="5">
        <f>Table2[[#This Row],[Estimated_Market_Rent]]-Table2[[#This Row],[Due_Amount]]</f>
        <v>1211.1866666666665</v>
      </c>
      <c r="L428" s="6">
        <f>IF(Table2[[#This Row],[Current Rent Gap]]&gt;0,Table2[[#This Row],[Current Rent Gap]]/Table2[[#This Row],[Estimated_Market_Rent]],0)</f>
        <v>0.26130267317533418</v>
      </c>
      <c r="M428" s="3" t="str">
        <f>IF(Table2[[#This Row],[Under_Market %]]&gt;0.1,"Underpriced","OK")</f>
        <v>Underpriced</v>
      </c>
      <c r="N428" s="5">
        <f>SUMIFS(Table2[[#This Row],[Current Rent Gap]],Table2[[#This Row],[Current Rent Gap]],"&gt;0")</f>
        <v>1211.1866666666665</v>
      </c>
    </row>
    <row r="429" spans="1:14" x14ac:dyDescent="0.35">
      <c r="A429" t="s">
        <v>418</v>
      </c>
      <c r="B429" t="s">
        <v>752</v>
      </c>
      <c r="C429">
        <v>6109</v>
      </c>
      <c r="D429">
        <v>6109</v>
      </c>
      <c r="E429">
        <f>Table2[[#This Row],[Due_Amount]]-Table2[[#This Row],[Paid_Amount]]</f>
        <v>0</v>
      </c>
      <c r="F429" s="1">
        <v>45691</v>
      </c>
      <c r="G429">
        <v>7</v>
      </c>
      <c r="H429">
        <f>Table2[[#This Row],[Due_Amount]]*Table2[[#This Row],[Delay_Days]]</f>
        <v>42763</v>
      </c>
      <c r="I429" s="3" t="str">
        <f>IF(Table2[[#This Row],[Delay_Days]]=0,"On Time",IF(Table2[[#This Row],[Delay_Days]]&lt;=7,"Low Risk(1-7)",IF(Table2[[#This Row],[Delay_Days]]&lt;=15,"Medium Risk(8-15)",IF(Table2[[#This Row],[Delay_Days]]&lt;=30,"High Risk(16-30)","Severe Risk(30+)"))))</f>
        <v>Low Risk(1-7)</v>
      </c>
      <c r="J429" s="5">
        <f>AVERAGE(Table2[Due_Amount])</f>
        <v>4635.1866666666665</v>
      </c>
      <c r="K429" s="5">
        <f>Table2[[#This Row],[Estimated_Market_Rent]]-Table2[[#This Row],[Due_Amount]]</f>
        <v>-1473.8133333333335</v>
      </c>
      <c r="L429" s="6">
        <f>IF(Table2[[#This Row],[Current Rent Gap]]&gt;0,Table2[[#This Row],[Current Rent Gap]]/Table2[[#This Row],[Estimated_Market_Rent]],0)</f>
        <v>0</v>
      </c>
      <c r="M429" s="3" t="str">
        <f>IF(Table2[[#This Row],[Under_Market %]]&gt;0.1,"Underpriced","OK")</f>
        <v>OK</v>
      </c>
      <c r="N429" s="5">
        <f>SUMIFS(Table2[[#This Row],[Current Rent Gap]],Table2[[#This Row],[Current Rent Gap]],"&gt;0")</f>
        <v>0</v>
      </c>
    </row>
    <row r="430" spans="1:14" x14ac:dyDescent="0.35">
      <c r="A430" t="s">
        <v>253</v>
      </c>
      <c r="B430" t="s">
        <v>754</v>
      </c>
      <c r="C430">
        <v>5307</v>
      </c>
      <c r="D430">
        <v>5307</v>
      </c>
      <c r="E430">
        <f>Table2[[#This Row],[Due_Amount]]-Table2[[#This Row],[Paid_Amount]]</f>
        <v>0</v>
      </c>
      <c r="F430" s="1">
        <v>45697</v>
      </c>
      <c r="G430">
        <v>5</v>
      </c>
      <c r="H430">
        <f>Table2[[#This Row],[Due_Amount]]*Table2[[#This Row],[Delay_Days]]</f>
        <v>26535</v>
      </c>
      <c r="I430" s="3" t="str">
        <f>IF(Table2[[#This Row],[Delay_Days]]=0,"On Time",IF(Table2[[#This Row],[Delay_Days]]&lt;=7,"Low Risk(1-7)",IF(Table2[[#This Row],[Delay_Days]]&lt;=15,"Medium Risk(8-15)",IF(Table2[[#This Row],[Delay_Days]]&lt;=30,"High Risk(16-30)","Severe Risk(30+)"))))</f>
        <v>Low Risk(1-7)</v>
      </c>
      <c r="J430" s="5">
        <f>AVERAGE(Table2[Due_Amount])</f>
        <v>4635.1866666666665</v>
      </c>
      <c r="K430" s="5">
        <f>Table2[[#This Row],[Estimated_Market_Rent]]-Table2[[#This Row],[Due_Amount]]</f>
        <v>-671.8133333333335</v>
      </c>
      <c r="L430" s="6">
        <f>IF(Table2[[#This Row],[Current Rent Gap]]&gt;0,Table2[[#This Row],[Current Rent Gap]]/Table2[[#This Row],[Estimated_Market_Rent]],0)</f>
        <v>0</v>
      </c>
      <c r="M430" s="3" t="str">
        <f>IF(Table2[[#This Row],[Under_Market %]]&gt;0.1,"Underpriced","OK")</f>
        <v>OK</v>
      </c>
      <c r="N430" s="5">
        <f>SUMIFS(Table2[[#This Row],[Current Rent Gap]],Table2[[#This Row],[Current Rent Gap]],"&gt;0")</f>
        <v>0</v>
      </c>
    </row>
    <row r="431" spans="1:14" x14ac:dyDescent="0.35">
      <c r="A431" t="s">
        <v>277</v>
      </c>
      <c r="B431" t="s">
        <v>753</v>
      </c>
      <c r="C431">
        <v>5449</v>
      </c>
      <c r="D431">
        <v>5449</v>
      </c>
      <c r="E431">
        <f>Table2[[#This Row],[Due_Amount]]-Table2[[#This Row],[Paid_Amount]]</f>
        <v>0</v>
      </c>
      <c r="F431" s="1">
        <v>45711</v>
      </c>
      <c r="G431">
        <v>2</v>
      </c>
      <c r="H431">
        <f>Table2[[#This Row],[Due_Amount]]*Table2[[#This Row],[Delay_Days]]</f>
        <v>10898</v>
      </c>
      <c r="I431" s="3" t="str">
        <f>IF(Table2[[#This Row],[Delay_Days]]=0,"On Time",IF(Table2[[#This Row],[Delay_Days]]&lt;=7,"Low Risk(1-7)",IF(Table2[[#This Row],[Delay_Days]]&lt;=15,"Medium Risk(8-15)",IF(Table2[[#This Row],[Delay_Days]]&lt;=30,"High Risk(16-30)","Severe Risk(30+)"))))</f>
        <v>Low Risk(1-7)</v>
      </c>
      <c r="J431" s="5">
        <f>AVERAGE(Table2[Due_Amount])</f>
        <v>4635.1866666666665</v>
      </c>
      <c r="K431" s="5">
        <f>Table2[[#This Row],[Estimated_Market_Rent]]-Table2[[#This Row],[Due_Amount]]</f>
        <v>-813.8133333333335</v>
      </c>
      <c r="L431" s="6">
        <f>IF(Table2[[#This Row],[Current Rent Gap]]&gt;0,Table2[[#This Row],[Current Rent Gap]]/Table2[[#This Row],[Estimated_Market_Rent]],0)</f>
        <v>0</v>
      </c>
      <c r="M431" s="3" t="str">
        <f>IF(Table2[[#This Row],[Under_Market %]]&gt;0.1,"Underpriced","OK")</f>
        <v>OK</v>
      </c>
      <c r="N431" s="5">
        <f>SUMIFS(Table2[[#This Row],[Current Rent Gap]],Table2[[#This Row],[Current Rent Gap]],"&gt;0")</f>
        <v>0</v>
      </c>
    </row>
    <row r="432" spans="1:14" x14ac:dyDescent="0.35">
      <c r="A432" t="s">
        <v>728</v>
      </c>
      <c r="B432" t="s">
        <v>751</v>
      </c>
      <c r="C432">
        <v>5004</v>
      </c>
      <c r="D432">
        <v>5004</v>
      </c>
      <c r="E432">
        <f>Table2[[#This Row],[Due_Amount]]-Table2[[#This Row],[Paid_Amount]]</f>
        <v>0</v>
      </c>
      <c r="F432" s="1">
        <v>45853</v>
      </c>
      <c r="G432">
        <v>0</v>
      </c>
      <c r="H432">
        <f>Table2[[#This Row],[Due_Amount]]*Table2[[#This Row],[Delay_Days]]</f>
        <v>0</v>
      </c>
      <c r="I432" s="3" t="str">
        <f>IF(Table2[[#This Row],[Delay_Days]]=0,"On Time",IF(Table2[[#This Row],[Delay_Days]]&lt;=7,"Low Risk(1-7)",IF(Table2[[#This Row],[Delay_Days]]&lt;=15,"Medium Risk(8-15)",IF(Table2[[#This Row],[Delay_Days]]&lt;=30,"High Risk(16-30)","Severe Risk(30+)"))))</f>
        <v>On Time</v>
      </c>
      <c r="J432" s="5">
        <f>AVERAGE(Table2[Due_Amount])</f>
        <v>4635.1866666666665</v>
      </c>
      <c r="K432" s="5">
        <f>Table2[[#This Row],[Estimated_Market_Rent]]-Table2[[#This Row],[Due_Amount]]</f>
        <v>-368.8133333333335</v>
      </c>
      <c r="L432" s="6">
        <f>IF(Table2[[#This Row],[Current Rent Gap]]&gt;0,Table2[[#This Row],[Current Rent Gap]]/Table2[[#This Row],[Estimated_Market_Rent]],0)</f>
        <v>0</v>
      </c>
      <c r="M432" s="3" t="str">
        <f>IF(Table2[[#This Row],[Under_Market %]]&gt;0.1,"Underpriced","OK")</f>
        <v>OK</v>
      </c>
      <c r="N432" s="5">
        <f>SUMIFS(Table2[[#This Row],[Current Rent Gap]],Table2[[#This Row],[Current Rent Gap]],"&gt;0")</f>
        <v>0</v>
      </c>
    </row>
    <row r="433" spans="1:14" x14ac:dyDescent="0.35">
      <c r="A433" t="s">
        <v>183</v>
      </c>
      <c r="B433" t="s">
        <v>749</v>
      </c>
      <c r="C433">
        <v>5066</v>
      </c>
      <c r="D433">
        <v>5066</v>
      </c>
      <c r="E433">
        <f>Table2[[#This Row],[Due_Amount]]-Table2[[#This Row],[Paid_Amount]]</f>
        <v>0</v>
      </c>
      <c r="F433" s="1">
        <v>45957</v>
      </c>
      <c r="G433">
        <v>0</v>
      </c>
      <c r="H433">
        <f>Table2[[#This Row],[Due_Amount]]*Table2[[#This Row],[Delay_Days]]</f>
        <v>0</v>
      </c>
      <c r="I433" s="3" t="str">
        <f>IF(Table2[[#This Row],[Delay_Days]]=0,"On Time",IF(Table2[[#This Row],[Delay_Days]]&lt;=7,"Low Risk(1-7)",IF(Table2[[#This Row],[Delay_Days]]&lt;=15,"Medium Risk(8-15)",IF(Table2[[#This Row],[Delay_Days]]&lt;=30,"High Risk(16-30)","Severe Risk(30+)"))))</f>
        <v>On Time</v>
      </c>
      <c r="J433" s="5">
        <f>AVERAGE(Table2[Due_Amount])</f>
        <v>4635.1866666666665</v>
      </c>
      <c r="K433" s="5">
        <f>Table2[[#This Row],[Estimated_Market_Rent]]-Table2[[#This Row],[Due_Amount]]</f>
        <v>-430.8133333333335</v>
      </c>
      <c r="L433" s="6">
        <f>IF(Table2[[#This Row],[Current Rent Gap]]&gt;0,Table2[[#This Row],[Current Rent Gap]]/Table2[[#This Row],[Estimated_Market_Rent]],0)</f>
        <v>0</v>
      </c>
      <c r="M433" s="3" t="str">
        <f>IF(Table2[[#This Row],[Under_Market %]]&gt;0.1,"Underpriced","OK")</f>
        <v>OK</v>
      </c>
      <c r="N433" s="5">
        <f>SUMIFS(Table2[[#This Row],[Current Rent Gap]],Table2[[#This Row],[Current Rent Gap]],"&gt;0")</f>
        <v>0</v>
      </c>
    </row>
    <row r="434" spans="1:14" x14ac:dyDescent="0.35">
      <c r="A434" t="s">
        <v>66</v>
      </c>
      <c r="B434" t="s">
        <v>748</v>
      </c>
      <c r="C434">
        <v>5083</v>
      </c>
      <c r="D434">
        <v>4177</v>
      </c>
      <c r="E434">
        <f>Table2[[#This Row],[Due_Amount]]-Table2[[#This Row],[Paid_Amount]]</f>
        <v>906</v>
      </c>
      <c r="F434" s="1">
        <v>45923</v>
      </c>
      <c r="G434">
        <v>10</v>
      </c>
      <c r="H434">
        <f>Table2[[#This Row],[Due_Amount]]*Table2[[#This Row],[Delay_Days]]</f>
        <v>50830</v>
      </c>
      <c r="I434" s="3" t="str">
        <f>IF(Table2[[#This Row],[Delay_Days]]=0,"On Time",IF(Table2[[#This Row],[Delay_Days]]&lt;=7,"Low Risk(1-7)",IF(Table2[[#This Row],[Delay_Days]]&lt;=15,"Medium Risk(8-15)",IF(Table2[[#This Row],[Delay_Days]]&lt;=30,"High Risk(16-30)","Severe Risk(30+)"))))</f>
        <v>Medium Risk(8-15)</v>
      </c>
      <c r="J434" s="5">
        <f>AVERAGE(Table2[Due_Amount])</f>
        <v>4635.1866666666665</v>
      </c>
      <c r="K434" s="5">
        <f>Table2[[#This Row],[Estimated_Market_Rent]]-Table2[[#This Row],[Due_Amount]]</f>
        <v>-447.8133333333335</v>
      </c>
      <c r="L434" s="6">
        <f>IF(Table2[[#This Row],[Current Rent Gap]]&gt;0,Table2[[#This Row],[Current Rent Gap]]/Table2[[#This Row],[Estimated_Market_Rent]],0)</f>
        <v>0</v>
      </c>
      <c r="M434" s="3" t="str">
        <f>IF(Table2[[#This Row],[Under_Market %]]&gt;0.1,"Underpriced","OK")</f>
        <v>OK</v>
      </c>
      <c r="N434" s="5">
        <f>SUMIFS(Table2[[#This Row],[Current Rent Gap]],Table2[[#This Row],[Current Rent Gap]],"&gt;0")</f>
        <v>0</v>
      </c>
    </row>
    <row r="435" spans="1:14" x14ac:dyDescent="0.35">
      <c r="A435" t="s">
        <v>145</v>
      </c>
      <c r="B435" t="s">
        <v>752</v>
      </c>
      <c r="C435">
        <v>6122</v>
      </c>
      <c r="D435">
        <v>5886</v>
      </c>
      <c r="E435">
        <f>Table2[[#This Row],[Due_Amount]]-Table2[[#This Row],[Paid_Amount]]</f>
        <v>236</v>
      </c>
      <c r="F435" s="1">
        <v>45715</v>
      </c>
      <c r="G435">
        <v>25</v>
      </c>
      <c r="H435">
        <f>Table2[[#This Row],[Due_Amount]]*Table2[[#This Row],[Delay_Days]]</f>
        <v>153050</v>
      </c>
      <c r="I435" s="3" t="str">
        <f>IF(Table2[[#This Row],[Delay_Days]]=0,"On Time",IF(Table2[[#This Row],[Delay_Days]]&lt;=7,"Low Risk(1-7)",IF(Table2[[#This Row],[Delay_Days]]&lt;=15,"Medium Risk(8-15)",IF(Table2[[#This Row],[Delay_Days]]&lt;=30,"High Risk(16-30)","Severe Risk(30+)"))))</f>
        <v>High Risk(16-30)</v>
      </c>
      <c r="J435" s="5">
        <f>AVERAGE(Table2[Due_Amount])</f>
        <v>4635.1866666666665</v>
      </c>
      <c r="K435" s="5">
        <f>Table2[[#This Row],[Estimated_Market_Rent]]-Table2[[#This Row],[Due_Amount]]</f>
        <v>-1486.8133333333335</v>
      </c>
      <c r="L435" s="6">
        <f>IF(Table2[[#This Row],[Current Rent Gap]]&gt;0,Table2[[#This Row],[Current Rent Gap]]/Table2[[#This Row],[Estimated_Market_Rent]],0)</f>
        <v>0</v>
      </c>
      <c r="M435" s="3" t="str">
        <f>IF(Table2[[#This Row],[Under_Market %]]&gt;0.1,"Underpriced","OK")</f>
        <v>OK</v>
      </c>
      <c r="N435" s="5">
        <f>SUMIFS(Table2[[#This Row],[Current Rent Gap]],Table2[[#This Row],[Current Rent Gap]],"&gt;0")</f>
        <v>0</v>
      </c>
    </row>
    <row r="436" spans="1:14" x14ac:dyDescent="0.35">
      <c r="A436" t="s">
        <v>410</v>
      </c>
      <c r="B436" t="s">
        <v>746</v>
      </c>
      <c r="C436">
        <v>5713</v>
      </c>
      <c r="D436">
        <v>5713</v>
      </c>
      <c r="E436">
        <f>Table2[[#This Row],[Due_Amount]]-Table2[[#This Row],[Paid_Amount]]</f>
        <v>0</v>
      </c>
      <c r="F436" s="1">
        <v>45857</v>
      </c>
      <c r="G436">
        <v>3</v>
      </c>
      <c r="H436">
        <f>Table2[[#This Row],[Due_Amount]]*Table2[[#This Row],[Delay_Days]]</f>
        <v>17139</v>
      </c>
      <c r="I436" s="3" t="str">
        <f>IF(Table2[[#This Row],[Delay_Days]]=0,"On Time",IF(Table2[[#This Row],[Delay_Days]]&lt;=7,"Low Risk(1-7)",IF(Table2[[#This Row],[Delay_Days]]&lt;=15,"Medium Risk(8-15)",IF(Table2[[#This Row],[Delay_Days]]&lt;=30,"High Risk(16-30)","Severe Risk(30+)"))))</f>
        <v>Low Risk(1-7)</v>
      </c>
      <c r="J436" s="5">
        <f>AVERAGE(Table2[Due_Amount])</f>
        <v>4635.1866666666665</v>
      </c>
      <c r="K436" s="5">
        <f>Table2[[#This Row],[Estimated_Market_Rent]]-Table2[[#This Row],[Due_Amount]]</f>
        <v>-1077.8133333333335</v>
      </c>
      <c r="L436" s="6">
        <f>IF(Table2[[#This Row],[Current Rent Gap]]&gt;0,Table2[[#This Row],[Current Rent Gap]]/Table2[[#This Row],[Estimated_Market_Rent]],0)</f>
        <v>0</v>
      </c>
      <c r="M436" s="3" t="str">
        <f>IF(Table2[[#This Row],[Under_Market %]]&gt;0.1,"Underpriced","OK")</f>
        <v>OK</v>
      </c>
      <c r="N436" s="5">
        <f>SUMIFS(Table2[[#This Row],[Current Rent Gap]],Table2[[#This Row],[Current Rent Gap]],"&gt;0")</f>
        <v>0</v>
      </c>
    </row>
    <row r="437" spans="1:14" x14ac:dyDescent="0.35">
      <c r="A437" t="s">
        <v>480</v>
      </c>
      <c r="B437" t="s">
        <v>748</v>
      </c>
      <c r="C437">
        <v>6091</v>
      </c>
      <c r="D437">
        <v>6091</v>
      </c>
      <c r="E437">
        <f>Table2[[#This Row],[Due_Amount]]-Table2[[#This Row],[Paid_Amount]]</f>
        <v>0</v>
      </c>
      <c r="F437" s="1">
        <v>45722</v>
      </c>
      <c r="G437">
        <v>7</v>
      </c>
      <c r="H437">
        <f>Table2[[#This Row],[Due_Amount]]*Table2[[#This Row],[Delay_Days]]</f>
        <v>42637</v>
      </c>
      <c r="I437" s="3" t="str">
        <f>IF(Table2[[#This Row],[Delay_Days]]=0,"On Time",IF(Table2[[#This Row],[Delay_Days]]&lt;=7,"Low Risk(1-7)",IF(Table2[[#This Row],[Delay_Days]]&lt;=15,"Medium Risk(8-15)",IF(Table2[[#This Row],[Delay_Days]]&lt;=30,"High Risk(16-30)","Severe Risk(30+)"))))</f>
        <v>Low Risk(1-7)</v>
      </c>
      <c r="J437" s="5">
        <f>AVERAGE(Table2[Due_Amount])</f>
        <v>4635.1866666666665</v>
      </c>
      <c r="K437" s="5">
        <f>Table2[[#This Row],[Estimated_Market_Rent]]-Table2[[#This Row],[Due_Amount]]</f>
        <v>-1455.8133333333335</v>
      </c>
      <c r="L437" s="6">
        <f>IF(Table2[[#This Row],[Current Rent Gap]]&gt;0,Table2[[#This Row],[Current Rent Gap]]/Table2[[#This Row],[Estimated_Market_Rent]],0)</f>
        <v>0</v>
      </c>
      <c r="M437" s="3" t="str">
        <f>IF(Table2[[#This Row],[Under_Market %]]&gt;0.1,"Underpriced","OK")</f>
        <v>OK</v>
      </c>
      <c r="N437" s="5">
        <f>SUMIFS(Table2[[#This Row],[Current Rent Gap]],Table2[[#This Row],[Current Rent Gap]],"&gt;0")</f>
        <v>0</v>
      </c>
    </row>
    <row r="438" spans="1:14" x14ac:dyDescent="0.35">
      <c r="A438" t="s">
        <v>652</v>
      </c>
      <c r="B438" t="s">
        <v>748</v>
      </c>
      <c r="C438">
        <v>2179</v>
      </c>
      <c r="D438">
        <v>2179</v>
      </c>
      <c r="E438">
        <f>Table2[[#This Row],[Due_Amount]]-Table2[[#This Row],[Paid_Amount]]</f>
        <v>0</v>
      </c>
      <c r="F438" s="1">
        <v>45829</v>
      </c>
      <c r="G438">
        <v>0</v>
      </c>
      <c r="H438">
        <f>Table2[[#This Row],[Due_Amount]]*Table2[[#This Row],[Delay_Days]]</f>
        <v>0</v>
      </c>
      <c r="I438" s="3" t="str">
        <f>IF(Table2[[#This Row],[Delay_Days]]=0,"On Time",IF(Table2[[#This Row],[Delay_Days]]&lt;=7,"Low Risk(1-7)",IF(Table2[[#This Row],[Delay_Days]]&lt;=15,"Medium Risk(8-15)",IF(Table2[[#This Row],[Delay_Days]]&lt;=30,"High Risk(16-30)","Severe Risk(30+)"))))</f>
        <v>On Time</v>
      </c>
      <c r="J438" s="5">
        <f>AVERAGE(Table2[Due_Amount])</f>
        <v>4635.1866666666665</v>
      </c>
      <c r="K438" s="5">
        <f>Table2[[#This Row],[Estimated_Market_Rent]]-Table2[[#This Row],[Due_Amount]]</f>
        <v>2456.1866666666665</v>
      </c>
      <c r="L438" s="6">
        <f>IF(Table2[[#This Row],[Current Rent Gap]]&gt;0,Table2[[#This Row],[Current Rent Gap]]/Table2[[#This Row],[Estimated_Market_Rent]],0)</f>
        <v>0.52990027010778418</v>
      </c>
      <c r="M438" s="3" t="str">
        <f>IF(Table2[[#This Row],[Under_Market %]]&gt;0.1,"Underpriced","OK")</f>
        <v>Underpriced</v>
      </c>
      <c r="N438" s="5">
        <f>SUMIFS(Table2[[#This Row],[Current Rent Gap]],Table2[[#This Row],[Current Rent Gap]],"&gt;0")</f>
        <v>2456.1866666666665</v>
      </c>
    </row>
    <row r="439" spans="1:14" x14ac:dyDescent="0.35">
      <c r="A439" t="s">
        <v>591</v>
      </c>
      <c r="B439" t="s">
        <v>751</v>
      </c>
      <c r="C439">
        <v>6637</v>
      </c>
      <c r="D439">
        <v>6630</v>
      </c>
      <c r="E439">
        <f>Table2[[#This Row],[Due_Amount]]-Table2[[#This Row],[Paid_Amount]]</f>
        <v>7</v>
      </c>
      <c r="F439" s="1">
        <v>45813</v>
      </c>
      <c r="G439">
        <v>12</v>
      </c>
      <c r="H439">
        <f>Table2[[#This Row],[Due_Amount]]*Table2[[#This Row],[Delay_Days]]</f>
        <v>79644</v>
      </c>
      <c r="I439" s="3" t="str">
        <f>IF(Table2[[#This Row],[Delay_Days]]=0,"On Time",IF(Table2[[#This Row],[Delay_Days]]&lt;=7,"Low Risk(1-7)",IF(Table2[[#This Row],[Delay_Days]]&lt;=15,"Medium Risk(8-15)",IF(Table2[[#This Row],[Delay_Days]]&lt;=30,"High Risk(16-30)","Severe Risk(30+)"))))</f>
        <v>Medium Risk(8-15)</v>
      </c>
      <c r="J439" s="5">
        <f>AVERAGE(Table2[Due_Amount])</f>
        <v>4635.1866666666665</v>
      </c>
      <c r="K439" s="5">
        <f>Table2[[#This Row],[Estimated_Market_Rent]]-Table2[[#This Row],[Due_Amount]]</f>
        <v>-2001.8133333333335</v>
      </c>
      <c r="L439" s="6">
        <f>IF(Table2[[#This Row],[Current Rent Gap]]&gt;0,Table2[[#This Row],[Current Rent Gap]]/Table2[[#This Row],[Estimated_Market_Rent]],0)</f>
        <v>0</v>
      </c>
      <c r="M439" s="3" t="str">
        <f>IF(Table2[[#This Row],[Under_Market %]]&gt;0.1,"Underpriced","OK")</f>
        <v>OK</v>
      </c>
      <c r="N439" s="5">
        <f>SUMIFS(Table2[[#This Row],[Current Rent Gap]],Table2[[#This Row],[Current Rent Gap]],"&gt;0")</f>
        <v>0</v>
      </c>
    </row>
    <row r="440" spans="1:14" x14ac:dyDescent="0.35">
      <c r="A440" t="s">
        <v>330</v>
      </c>
      <c r="B440" t="s">
        <v>745</v>
      </c>
      <c r="C440">
        <v>2919</v>
      </c>
      <c r="D440">
        <v>2466</v>
      </c>
      <c r="E440">
        <f>Table2[[#This Row],[Due_Amount]]-Table2[[#This Row],[Paid_Amount]]</f>
        <v>453</v>
      </c>
      <c r="F440" s="1">
        <v>45763</v>
      </c>
      <c r="G440">
        <v>15</v>
      </c>
      <c r="H440">
        <f>Table2[[#This Row],[Due_Amount]]*Table2[[#This Row],[Delay_Days]]</f>
        <v>43785</v>
      </c>
      <c r="I440" s="3" t="str">
        <f>IF(Table2[[#This Row],[Delay_Days]]=0,"On Time",IF(Table2[[#This Row],[Delay_Days]]&lt;=7,"Low Risk(1-7)",IF(Table2[[#This Row],[Delay_Days]]&lt;=15,"Medium Risk(8-15)",IF(Table2[[#This Row],[Delay_Days]]&lt;=30,"High Risk(16-30)","Severe Risk(30+)"))))</f>
        <v>Medium Risk(8-15)</v>
      </c>
      <c r="J440" s="5">
        <f>AVERAGE(Table2[Due_Amount])</f>
        <v>4635.1866666666665</v>
      </c>
      <c r="K440" s="5">
        <f>Table2[[#This Row],[Estimated_Market_Rent]]-Table2[[#This Row],[Due_Amount]]</f>
        <v>1716.1866666666665</v>
      </c>
      <c r="L440" s="6">
        <f>IF(Table2[[#This Row],[Current Rent Gap]]&gt;0,Table2[[#This Row],[Current Rent Gap]]/Table2[[#This Row],[Estimated_Market_Rent]],0)</f>
        <v>0.37025189924030383</v>
      </c>
      <c r="M440" s="3" t="str">
        <f>IF(Table2[[#This Row],[Under_Market %]]&gt;0.1,"Underpriced","OK")</f>
        <v>Underpriced</v>
      </c>
      <c r="N440" s="5">
        <f>SUMIFS(Table2[[#This Row],[Current Rent Gap]],Table2[[#This Row],[Current Rent Gap]],"&gt;0")</f>
        <v>1716.1866666666665</v>
      </c>
    </row>
    <row r="441" spans="1:14" x14ac:dyDescent="0.35">
      <c r="A441" t="s">
        <v>85</v>
      </c>
      <c r="B441" t="s">
        <v>744</v>
      </c>
      <c r="C441">
        <v>2234</v>
      </c>
      <c r="D441">
        <v>1661</v>
      </c>
      <c r="E441">
        <f>Table2[[#This Row],[Due_Amount]]-Table2[[#This Row],[Paid_Amount]]</f>
        <v>573</v>
      </c>
      <c r="F441" s="1">
        <v>45903</v>
      </c>
      <c r="G441">
        <v>23</v>
      </c>
      <c r="H441">
        <f>Table2[[#This Row],[Due_Amount]]*Table2[[#This Row],[Delay_Days]]</f>
        <v>51382</v>
      </c>
      <c r="I441" s="3" t="str">
        <f>IF(Table2[[#This Row],[Delay_Days]]=0,"On Time",IF(Table2[[#This Row],[Delay_Days]]&lt;=7,"Low Risk(1-7)",IF(Table2[[#This Row],[Delay_Days]]&lt;=15,"Medium Risk(8-15)",IF(Table2[[#This Row],[Delay_Days]]&lt;=30,"High Risk(16-30)","Severe Risk(30+)"))))</f>
        <v>High Risk(16-30)</v>
      </c>
      <c r="J441" s="5">
        <f>AVERAGE(Table2[Due_Amount])</f>
        <v>4635.1866666666665</v>
      </c>
      <c r="K441" s="5">
        <f>Table2[[#This Row],[Estimated_Market_Rent]]-Table2[[#This Row],[Due_Amount]]</f>
        <v>2401.1866666666665</v>
      </c>
      <c r="L441" s="6">
        <f>IF(Table2[[#This Row],[Current Rent Gap]]&gt;0,Table2[[#This Row],[Current Rent Gap]]/Table2[[#This Row],[Estimated_Market_Rent]],0)</f>
        <v>0.5180345128135796</v>
      </c>
      <c r="M441" s="3" t="str">
        <f>IF(Table2[[#This Row],[Under_Market %]]&gt;0.1,"Underpriced","OK")</f>
        <v>Underpriced</v>
      </c>
      <c r="N441" s="5">
        <f>SUMIFS(Table2[[#This Row],[Current Rent Gap]],Table2[[#This Row],[Current Rent Gap]],"&gt;0")</f>
        <v>2401.1866666666665</v>
      </c>
    </row>
    <row r="442" spans="1:14" x14ac:dyDescent="0.35">
      <c r="A442" t="s">
        <v>386</v>
      </c>
      <c r="B442" t="s">
        <v>750</v>
      </c>
      <c r="C442">
        <v>6649</v>
      </c>
      <c r="D442">
        <v>6649</v>
      </c>
      <c r="E442">
        <f>Table2[[#This Row],[Due_Amount]]-Table2[[#This Row],[Paid_Amount]]</f>
        <v>0</v>
      </c>
      <c r="F442" s="1">
        <v>45907</v>
      </c>
      <c r="G442">
        <v>0</v>
      </c>
      <c r="H442">
        <f>Table2[[#This Row],[Due_Amount]]*Table2[[#This Row],[Delay_Days]]</f>
        <v>0</v>
      </c>
      <c r="I442" s="3" t="str">
        <f>IF(Table2[[#This Row],[Delay_Days]]=0,"On Time",IF(Table2[[#This Row],[Delay_Days]]&lt;=7,"Low Risk(1-7)",IF(Table2[[#This Row],[Delay_Days]]&lt;=15,"Medium Risk(8-15)",IF(Table2[[#This Row],[Delay_Days]]&lt;=30,"High Risk(16-30)","Severe Risk(30+)"))))</f>
        <v>On Time</v>
      </c>
      <c r="J442" s="5">
        <f>AVERAGE(Table2[Due_Amount])</f>
        <v>4635.1866666666665</v>
      </c>
      <c r="K442" s="5">
        <f>Table2[[#This Row],[Estimated_Market_Rent]]-Table2[[#This Row],[Due_Amount]]</f>
        <v>-2013.8133333333335</v>
      </c>
      <c r="L442" s="6">
        <f>IF(Table2[[#This Row],[Current Rent Gap]]&gt;0,Table2[[#This Row],[Current Rent Gap]]/Table2[[#This Row],[Estimated_Market_Rent]],0)</f>
        <v>0</v>
      </c>
      <c r="M442" s="3" t="str">
        <f>IF(Table2[[#This Row],[Under_Market %]]&gt;0.1,"Underpriced","OK")</f>
        <v>OK</v>
      </c>
      <c r="N442" s="5">
        <f>SUMIFS(Table2[[#This Row],[Current Rent Gap]],Table2[[#This Row],[Current Rent Gap]],"&gt;0")</f>
        <v>0</v>
      </c>
    </row>
    <row r="443" spans="1:14" x14ac:dyDescent="0.35">
      <c r="A443" t="s">
        <v>35</v>
      </c>
      <c r="B443" t="s">
        <v>754</v>
      </c>
      <c r="C443">
        <v>4815</v>
      </c>
      <c r="D443">
        <v>4345</v>
      </c>
      <c r="E443">
        <f>Table2[[#This Row],[Due_Amount]]-Table2[[#This Row],[Paid_Amount]]</f>
        <v>470</v>
      </c>
      <c r="F443" s="1">
        <v>45765</v>
      </c>
      <c r="G443">
        <v>16</v>
      </c>
      <c r="H443">
        <f>Table2[[#This Row],[Due_Amount]]*Table2[[#This Row],[Delay_Days]]</f>
        <v>77040</v>
      </c>
      <c r="I443" s="3" t="str">
        <f>IF(Table2[[#This Row],[Delay_Days]]=0,"On Time",IF(Table2[[#This Row],[Delay_Days]]&lt;=7,"Low Risk(1-7)",IF(Table2[[#This Row],[Delay_Days]]&lt;=15,"Medium Risk(8-15)",IF(Table2[[#This Row],[Delay_Days]]&lt;=30,"High Risk(16-30)","Severe Risk(30+)"))))</f>
        <v>High Risk(16-30)</v>
      </c>
      <c r="J443" s="5">
        <f>AVERAGE(Table2[Due_Amount])</f>
        <v>4635.1866666666665</v>
      </c>
      <c r="K443" s="5">
        <f>Table2[[#This Row],[Estimated_Market_Rent]]-Table2[[#This Row],[Due_Amount]]</f>
        <v>-179.8133333333335</v>
      </c>
      <c r="L443" s="6">
        <f>IF(Table2[[#This Row],[Current Rent Gap]]&gt;0,Table2[[#This Row],[Current Rent Gap]]/Table2[[#This Row],[Estimated_Market_Rent]],0)</f>
        <v>0</v>
      </c>
      <c r="M443" s="3" t="str">
        <f>IF(Table2[[#This Row],[Under_Market %]]&gt;0.1,"Underpriced","OK")</f>
        <v>OK</v>
      </c>
      <c r="N443" s="5">
        <f>SUMIFS(Table2[[#This Row],[Current Rent Gap]],Table2[[#This Row],[Current Rent Gap]],"&gt;0")</f>
        <v>0</v>
      </c>
    </row>
    <row r="444" spans="1:14" x14ac:dyDescent="0.35">
      <c r="A444" t="s">
        <v>208</v>
      </c>
      <c r="B444" t="s">
        <v>744</v>
      </c>
      <c r="C444">
        <v>4788</v>
      </c>
      <c r="D444">
        <v>4788</v>
      </c>
      <c r="E444">
        <f>Table2[[#This Row],[Due_Amount]]-Table2[[#This Row],[Paid_Amount]]</f>
        <v>0</v>
      </c>
      <c r="F444" s="1">
        <v>45956</v>
      </c>
      <c r="G444">
        <v>8</v>
      </c>
      <c r="H444">
        <f>Table2[[#This Row],[Due_Amount]]*Table2[[#This Row],[Delay_Days]]</f>
        <v>38304</v>
      </c>
      <c r="I444" s="3" t="str">
        <f>IF(Table2[[#This Row],[Delay_Days]]=0,"On Time",IF(Table2[[#This Row],[Delay_Days]]&lt;=7,"Low Risk(1-7)",IF(Table2[[#This Row],[Delay_Days]]&lt;=15,"Medium Risk(8-15)",IF(Table2[[#This Row],[Delay_Days]]&lt;=30,"High Risk(16-30)","Severe Risk(30+)"))))</f>
        <v>Medium Risk(8-15)</v>
      </c>
      <c r="J444" s="5">
        <f>AVERAGE(Table2[Due_Amount])</f>
        <v>4635.1866666666665</v>
      </c>
      <c r="K444" s="5">
        <f>Table2[[#This Row],[Estimated_Market_Rent]]-Table2[[#This Row],[Due_Amount]]</f>
        <v>-152.8133333333335</v>
      </c>
      <c r="L444" s="6">
        <f>IF(Table2[[#This Row],[Current Rent Gap]]&gt;0,Table2[[#This Row],[Current Rent Gap]]/Table2[[#This Row],[Estimated_Market_Rent]],0)</f>
        <v>0</v>
      </c>
      <c r="M444" s="3" t="str">
        <f>IF(Table2[[#This Row],[Under_Market %]]&gt;0.1,"Underpriced","OK")</f>
        <v>OK</v>
      </c>
      <c r="N444" s="5">
        <f>SUMIFS(Table2[[#This Row],[Current Rent Gap]],Table2[[#This Row],[Current Rent Gap]],"&gt;0")</f>
        <v>0</v>
      </c>
    </row>
    <row r="445" spans="1:14" x14ac:dyDescent="0.35">
      <c r="A445" t="s">
        <v>75</v>
      </c>
      <c r="B445" t="s">
        <v>743</v>
      </c>
      <c r="C445">
        <v>2787</v>
      </c>
      <c r="D445">
        <v>2272</v>
      </c>
      <c r="E445">
        <f>Table2[[#This Row],[Due_Amount]]-Table2[[#This Row],[Paid_Amount]]</f>
        <v>515</v>
      </c>
      <c r="F445" s="1">
        <v>45679</v>
      </c>
      <c r="G445">
        <v>22</v>
      </c>
      <c r="H445">
        <f>Table2[[#This Row],[Due_Amount]]*Table2[[#This Row],[Delay_Days]]</f>
        <v>61314</v>
      </c>
      <c r="I445" s="3" t="str">
        <f>IF(Table2[[#This Row],[Delay_Days]]=0,"On Time",IF(Table2[[#This Row],[Delay_Days]]&lt;=7,"Low Risk(1-7)",IF(Table2[[#This Row],[Delay_Days]]&lt;=15,"Medium Risk(8-15)",IF(Table2[[#This Row],[Delay_Days]]&lt;=30,"High Risk(16-30)","Severe Risk(30+)"))))</f>
        <v>High Risk(16-30)</v>
      </c>
      <c r="J445" s="5">
        <f>AVERAGE(Table2[Due_Amount])</f>
        <v>4635.1866666666665</v>
      </c>
      <c r="K445" s="5">
        <f>Table2[[#This Row],[Estimated_Market_Rent]]-Table2[[#This Row],[Due_Amount]]</f>
        <v>1848.1866666666665</v>
      </c>
      <c r="L445" s="6">
        <f>IF(Table2[[#This Row],[Current Rent Gap]]&gt;0,Table2[[#This Row],[Current Rent Gap]]/Table2[[#This Row],[Estimated_Market_Rent]],0)</f>
        <v>0.39872971674639496</v>
      </c>
      <c r="M445" s="3" t="str">
        <f>IF(Table2[[#This Row],[Under_Market %]]&gt;0.1,"Underpriced","OK")</f>
        <v>Underpriced</v>
      </c>
      <c r="N445" s="5">
        <f>SUMIFS(Table2[[#This Row],[Current Rent Gap]],Table2[[#This Row],[Current Rent Gap]],"&gt;0")</f>
        <v>1848.1866666666665</v>
      </c>
    </row>
    <row r="446" spans="1:14" x14ac:dyDescent="0.35">
      <c r="A446" t="s">
        <v>161</v>
      </c>
      <c r="B446" t="s">
        <v>747</v>
      </c>
      <c r="C446">
        <v>4535</v>
      </c>
      <c r="D446">
        <v>4057</v>
      </c>
      <c r="E446">
        <f>Table2[[#This Row],[Due_Amount]]-Table2[[#This Row],[Paid_Amount]]</f>
        <v>478</v>
      </c>
      <c r="F446" s="1">
        <v>45957</v>
      </c>
      <c r="G446">
        <v>11</v>
      </c>
      <c r="H446">
        <f>Table2[[#This Row],[Due_Amount]]*Table2[[#This Row],[Delay_Days]]</f>
        <v>49885</v>
      </c>
      <c r="I446" s="3" t="str">
        <f>IF(Table2[[#This Row],[Delay_Days]]=0,"On Time",IF(Table2[[#This Row],[Delay_Days]]&lt;=7,"Low Risk(1-7)",IF(Table2[[#This Row],[Delay_Days]]&lt;=15,"Medium Risk(8-15)",IF(Table2[[#This Row],[Delay_Days]]&lt;=30,"High Risk(16-30)","Severe Risk(30+)"))))</f>
        <v>Medium Risk(8-15)</v>
      </c>
      <c r="J446" s="5">
        <f>AVERAGE(Table2[Due_Amount])</f>
        <v>4635.1866666666665</v>
      </c>
      <c r="K446" s="5">
        <f>Table2[[#This Row],[Estimated_Market_Rent]]-Table2[[#This Row],[Due_Amount]]</f>
        <v>100.1866666666665</v>
      </c>
      <c r="L446" s="6">
        <f>IF(Table2[[#This Row],[Current Rent Gap]]&gt;0,Table2[[#This Row],[Current Rent Gap]]/Table2[[#This Row],[Estimated_Market_Rent]],0)</f>
        <v>2.1614375832400817E-2</v>
      </c>
      <c r="M446" s="3" t="str">
        <f>IF(Table2[[#This Row],[Under_Market %]]&gt;0.1,"Underpriced","OK")</f>
        <v>OK</v>
      </c>
      <c r="N446" s="5">
        <f>SUMIFS(Table2[[#This Row],[Current Rent Gap]],Table2[[#This Row],[Current Rent Gap]],"&gt;0")</f>
        <v>100.1866666666665</v>
      </c>
    </row>
    <row r="447" spans="1:14" x14ac:dyDescent="0.35">
      <c r="A447" t="s">
        <v>529</v>
      </c>
      <c r="B447" t="s">
        <v>749</v>
      </c>
      <c r="C447">
        <v>5674</v>
      </c>
      <c r="D447">
        <v>5216</v>
      </c>
      <c r="E447">
        <f>Table2[[#This Row],[Due_Amount]]-Table2[[#This Row],[Paid_Amount]]</f>
        <v>458</v>
      </c>
      <c r="F447" s="1">
        <v>45713</v>
      </c>
      <c r="G447">
        <v>20</v>
      </c>
      <c r="H447">
        <f>Table2[[#This Row],[Due_Amount]]*Table2[[#This Row],[Delay_Days]]</f>
        <v>113480</v>
      </c>
      <c r="I447" s="3" t="str">
        <f>IF(Table2[[#This Row],[Delay_Days]]=0,"On Time",IF(Table2[[#This Row],[Delay_Days]]&lt;=7,"Low Risk(1-7)",IF(Table2[[#This Row],[Delay_Days]]&lt;=15,"Medium Risk(8-15)",IF(Table2[[#This Row],[Delay_Days]]&lt;=30,"High Risk(16-30)","Severe Risk(30+)"))))</f>
        <v>High Risk(16-30)</v>
      </c>
      <c r="J447" s="5">
        <f>AVERAGE(Table2[Due_Amount])</f>
        <v>4635.1866666666665</v>
      </c>
      <c r="K447" s="5">
        <f>Table2[[#This Row],[Estimated_Market_Rent]]-Table2[[#This Row],[Due_Amount]]</f>
        <v>-1038.8133333333335</v>
      </c>
      <c r="L447" s="6">
        <f>IF(Table2[[#This Row],[Current Rent Gap]]&gt;0,Table2[[#This Row],[Current Rent Gap]]/Table2[[#This Row],[Estimated_Market_Rent]],0)</f>
        <v>0</v>
      </c>
      <c r="M447" s="3" t="str">
        <f>IF(Table2[[#This Row],[Under_Market %]]&gt;0.1,"Underpriced","OK")</f>
        <v>OK</v>
      </c>
      <c r="N447" s="5">
        <f>SUMIFS(Table2[[#This Row],[Current Rent Gap]],Table2[[#This Row],[Current Rent Gap]],"&gt;0")</f>
        <v>0</v>
      </c>
    </row>
    <row r="448" spans="1:14" x14ac:dyDescent="0.35">
      <c r="A448" t="s">
        <v>732</v>
      </c>
      <c r="B448" t="s">
        <v>748</v>
      </c>
      <c r="C448">
        <v>6269</v>
      </c>
      <c r="D448">
        <v>6269</v>
      </c>
      <c r="E448">
        <f>Table2[[#This Row],[Due_Amount]]-Table2[[#This Row],[Paid_Amount]]</f>
        <v>0</v>
      </c>
      <c r="F448" s="1">
        <v>45985</v>
      </c>
      <c r="G448">
        <v>0</v>
      </c>
      <c r="H448">
        <f>Table2[[#This Row],[Due_Amount]]*Table2[[#This Row],[Delay_Days]]</f>
        <v>0</v>
      </c>
      <c r="I448" s="3" t="str">
        <f>IF(Table2[[#This Row],[Delay_Days]]=0,"On Time",IF(Table2[[#This Row],[Delay_Days]]&lt;=7,"Low Risk(1-7)",IF(Table2[[#This Row],[Delay_Days]]&lt;=15,"Medium Risk(8-15)",IF(Table2[[#This Row],[Delay_Days]]&lt;=30,"High Risk(16-30)","Severe Risk(30+)"))))</f>
        <v>On Time</v>
      </c>
      <c r="J448" s="5">
        <f>AVERAGE(Table2[Due_Amount])</f>
        <v>4635.1866666666665</v>
      </c>
      <c r="K448" s="5">
        <f>Table2[[#This Row],[Estimated_Market_Rent]]-Table2[[#This Row],[Due_Amount]]</f>
        <v>-1633.8133333333335</v>
      </c>
      <c r="L448" s="6">
        <f>IF(Table2[[#This Row],[Current Rent Gap]]&gt;0,Table2[[#This Row],[Current Rent Gap]]/Table2[[#This Row],[Estimated_Market_Rent]],0)</f>
        <v>0</v>
      </c>
      <c r="M448" s="3" t="str">
        <f>IF(Table2[[#This Row],[Under_Market %]]&gt;0.1,"Underpriced","OK")</f>
        <v>OK</v>
      </c>
      <c r="N448" s="5">
        <f>SUMIFS(Table2[[#This Row],[Current Rent Gap]],Table2[[#This Row],[Current Rent Gap]],"&gt;0")</f>
        <v>0</v>
      </c>
    </row>
    <row r="449" spans="1:14" x14ac:dyDescent="0.35">
      <c r="A449" t="s">
        <v>461</v>
      </c>
      <c r="B449" t="s">
        <v>744</v>
      </c>
      <c r="C449">
        <v>3248</v>
      </c>
      <c r="D449">
        <v>3248</v>
      </c>
      <c r="E449">
        <f>Table2[[#This Row],[Due_Amount]]-Table2[[#This Row],[Paid_Amount]]</f>
        <v>0</v>
      </c>
      <c r="F449" s="1">
        <v>45888</v>
      </c>
      <c r="G449">
        <v>1</v>
      </c>
      <c r="H449">
        <f>Table2[[#This Row],[Due_Amount]]*Table2[[#This Row],[Delay_Days]]</f>
        <v>3248</v>
      </c>
      <c r="I449" s="3" t="str">
        <f>IF(Table2[[#This Row],[Delay_Days]]=0,"On Time",IF(Table2[[#This Row],[Delay_Days]]&lt;=7,"Low Risk(1-7)",IF(Table2[[#This Row],[Delay_Days]]&lt;=15,"Medium Risk(8-15)",IF(Table2[[#This Row],[Delay_Days]]&lt;=30,"High Risk(16-30)","Severe Risk(30+)"))))</f>
        <v>Low Risk(1-7)</v>
      </c>
      <c r="J449" s="5">
        <f>AVERAGE(Table2[Due_Amount])</f>
        <v>4635.1866666666665</v>
      </c>
      <c r="K449" s="5">
        <f>Table2[[#This Row],[Estimated_Market_Rent]]-Table2[[#This Row],[Due_Amount]]</f>
        <v>1387.1866666666665</v>
      </c>
      <c r="L449" s="6">
        <f>IF(Table2[[#This Row],[Current Rent Gap]]&gt;0,Table2[[#This Row],[Current Rent Gap]]/Table2[[#This Row],[Estimated_Market_Rent]],0)</f>
        <v>0.29927309651678896</v>
      </c>
      <c r="M449" s="3" t="str">
        <f>IF(Table2[[#This Row],[Under_Market %]]&gt;0.1,"Underpriced","OK")</f>
        <v>Underpriced</v>
      </c>
      <c r="N449" s="5">
        <f>SUMIFS(Table2[[#This Row],[Current Rent Gap]],Table2[[#This Row],[Current Rent Gap]],"&gt;0")</f>
        <v>1387.1866666666665</v>
      </c>
    </row>
    <row r="450" spans="1:14" x14ac:dyDescent="0.35">
      <c r="A450" t="s">
        <v>133</v>
      </c>
      <c r="B450" t="s">
        <v>749</v>
      </c>
      <c r="C450">
        <v>3651</v>
      </c>
      <c r="D450">
        <v>3651</v>
      </c>
      <c r="E450">
        <f>Table2[[#This Row],[Due_Amount]]-Table2[[#This Row],[Paid_Amount]]</f>
        <v>0</v>
      </c>
      <c r="F450" s="1">
        <v>45726</v>
      </c>
      <c r="G450">
        <v>7</v>
      </c>
      <c r="H450">
        <f>Table2[[#This Row],[Due_Amount]]*Table2[[#This Row],[Delay_Days]]</f>
        <v>25557</v>
      </c>
      <c r="I450" s="3" t="str">
        <f>IF(Table2[[#This Row],[Delay_Days]]=0,"On Time",IF(Table2[[#This Row],[Delay_Days]]&lt;=7,"Low Risk(1-7)",IF(Table2[[#This Row],[Delay_Days]]&lt;=15,"Medium Risk(8-15)",IF(Table2[[#This Row],[Delay_Days]]&lt;=30,"High Risk(16-30)","Severe Risk(30+)"))))</f>
        <v>Low Risk(1-7)</v>
      </c>
      <c r="J450" s="5">
        <f>AVERAGE(Table2[Due_Amount])</f>
        <v>4635.1866666666665</v>
      </c>
      <c r="K450" s="5">
        <f>Table2[[#This Row],[Estimated_Market_Rent]]-Table2[[#This Row],[Due_Amount]]</f>
        <v>984.1866666666665</v>
      </c>
      <c r="L450" s="6">
        <f>IF(Table2[[#This Row],[Current Rent Gap]]&gt;0,Table2[[#This Row],[Current Rent Gap]]/Table2[[#This Row],[Estimated_Market_Rent]],0)</f>
        <v>0.212329456706526</v>
      </c>
      <c r="M450" s="3" t="str">
        <f>IF(Table2[[#This Row],[Under_Market %]]&gt;0.1,"Underpriced","OK")</f>
        <v>Underpriced</v>
      </c>
      <c r="N450" s="5">
        <f>SUMIFS(Table2[[#This Row],[Current Rent Gap]],Table2[[#This Row],[Current Rent Gap]],"&gt;0")</f>
        <v>984.1866666666665</v>
      </c>
    </row>
    <row r="451" spans="1:14" x14ac:dyDescent="0.35">
      <c r="A451" t="s">
        <v>591</v>
      </c>
      <c r="B451" t="s">
        <v>747</v>
      </c>
      <c r="C451">
        <v>2941</v>
      </c>
      <c r="D451">
        <v>2552</v>
      </c>
      <c r="E451">
        <f>Table2[[#This Row],[Due_Amount]]-Table2[[#This Row],[Paid_Amount]]</f>
        <v>389</v>
      </c>
      <c r="F451" s="1">
        <v>45816</v>
      </c>
      <c r="G451">
        <v>10</v>
      </c>
      <c r="H451">
        <f>Table2[[#This Row],[Due_Amount]]*Table2[[#This Row],[Delay_Days]]</f>
        <v>29410</v>
      </c>
      <c r="I451" s="3" t="str">
        <f>IF(Table2[[#This Row],[Delay_Days]]=0,"On Time",IF(Table2[[#This Row],[Delay_Days]]&lt;=7,"Low Risk(1-7)",IF(Table2[[#This Row],[Delay_Days]]&lt;=15,"Medium Risk(8-15)",IF(Table2[[#This Row],[Delay_Days]]&lt;=30,"High Risk(16-30)","Severe Risk(30+)"))))</f>
        <v>Medium Risk(8-15)</v>
      </c>
      <c r="J451" s="5">
        <f>AVERAGE(Table2[Due_Amount])</f>
        <v>4635.1866666666665</v>
      </c>
      <c r="K451" s="5">
        <f>Table2[[#This Row],[Estimated_Market_Rent]]-Table2[[#This Row],[Due_Amount]]</f>
        <v>1694.1866666666665</v>
      </c>
      <c r="L451" s="6">
        <f>IF(Table2[[#This Row],[Current Rent Gap]]&gt;0,Table2[[#This Row],[Current Rent Gap]]/Table2[[#This Row],[Estimated_Market_Rent]],0)</f>
        <v>0.36550559632262203</v>
      </c>
      <c r="M451" s="3" t="str">
        <f>IF(Table2[[#This Row],[Under_Market %]]&gt;0.1,"Underpriced","OK")</f>
        <v>Underpriced</v>
      </c>
      <c r="N451" s="5">
        <f>SUMIFS(Table2[[#This Row],[Current Rent Gap]],Table2[[#This Row],[Current Rent Gap]],"&gt;0")</f>
        <v>1694.1866666666665</v>
      </c>
    </row>
    <row r="452" spans="1:14" x14ac:dyDescent="0.35">
      <c r="A452" t="s">
        <v>552</v>
      </c>
      <c r="B452" t="s">
        <v>746</v>
      </c>
      <c r="C452">
        <v>6310</v>
      </c>
      <c r="D452">
        <v>5818</v>
      </c>
      <c r="E452">
        <f>Table2[[#This Row],[Due_Amount]]-Table2[[#This Row],[Paid_Amount]]</f>
        <v>492</v>
      </c>
      <c r="F452" s="1">
        <v>45668</v>
      </c>
      <c r="G452">
        <v>15</v>
      </c>
      <c r="H452">
        <f>Table2[[#This Row],[Due_Amount]]*Table2[[#This Row],[Delay_Days]]</f>
        <v>94650</v>
      </c>
      <c r="I452" s="3" t="str">
        <f>IF(Table2[[#This Row],[Delay_Days]]=0,"On Time",IF(Table2[[#This Row],[Delay_Days]]&lt;=7,"Low Risk(1-7)",IF(Table2[[#This Row],[Delay_Days]]&lt;=15,"Medium Risk(8-15)",IF(Table2[[#This Row],[Delay_Days]]&lt;=30,"High Risk(16-30)","Severe Risk(30+)"))))</f>
        <v>Medium Risk(8-15)</v>
      </c>
      <c r="J452" s="5">
        <f>AVERAGE(Table2[Due_Amount])</f>
        <v>4635.1866666666665</v>
      </c>
      <c r="K452" s="5">
        <f>Table2[[#This Row],[Estimated_Market_Rent]]-Table2[[#This Row],[Due_Amount]]</f>
        <v>-1674.8133333333335</v>
      </c>
      <c r="L452" s="6">
        <f>IF(Table2[[#This Row],[Current Rent Gap]]&gt;0,Table2[[#This Row],[Current Rent Gap]]/Table2[[#This Row],[Estimated_Market_Rent]],0)</f>
        <v>0</v>
      </c>
      <c r="M452" s="3" t="str">
        <f>IF(Table2[[#This Row],[Under_Market %]]&gt;0.1,"Underpriced","OK")</f>
        <v>OK</v>
      </c>
      <c r="N452" s="5">
        <f>SUMIFS(Table2[[#This Row],[Current Rent Gap]],Table2[[#This Row],[Current Rent Gap]],"&gt;0")</f>
        <v>0</v>
      </c>
    </row>
    <row r="453" spans="1:14" x14ac:dyDescent="0.35">
      <c r="A453" t="s">
        <v>279</v>
      </c>
      <c r="B453" t="s">
        <v>747</v>
      </c>
      <c r="C453">
        <v>6761</v>
      </c>
      <c r="D453">
        <v>6162</v>
      </c>
      <c r="E453">
        <f>Table2[[#This Row],[Due_Amount]]-Table2[[#This Row],[Paid_Amount]]</f>
        <v>599</v>
      </c>
      <c r="F453" s="1">
        <v>45952</v>
      </c>
      <c r="G453">
        <v>20</v>
      </c>
      <c r="H453">
        <f>Table2[[#This Row],[Due_Amount]]*Table2[[#This Row],[Delay_Days]]</f>
        <v>135220</v>
      </c>
      <c r="I453" s="3" t="str">
        <f>IF(Table2[[#This Row],[Delay_Days]]=0,"On Time",IF(Table2[[#This Row],[Delay_Days]]&lt;=7,"Low Risk(1-7)",IF(Table2[[#This Row],[Delay_Days]]&lt;=15,"Medium Risk(8-15)",IF(Table2[[#This Row],[Delay_Days]]&lt;=30,"High Risk(16-30)","Severe Risk(30+)"))))</f>
        <v>High Risk(16-30)</v>
      </c>
      <c r="J453" s="5">
        <f>AVERAGE(Table2[Due_Amount])</f>
        <v>4635.1866666666665</v>
      </c>
      <c r="K453" s="5">
        <f>Table2[[#This Row],[Estimated_Market_Rent]]-Table2[[#This Row],[Due_Amount]]</f>
        <v>-2125.8133333333335</v>
      </c>
      <c r="L453" s="6">
        <f>IF(Table2[[#This Row],[Current Rent Gap]]&gt;0,Table2[[#This Row],[Current Rent Gap]]/Table2[[#This Row],[Estimated_Market_Rent]],0)</f>
        <v>0</v>
      </c>
      <c r="M453" s="3" t="str">
        <f>IF(Table2[[#This Row],[Under_Market %]]&gt;0.1,"Underpriced","OK")</f>
        <v>OK</v>
      </c>
      <c r="N453" s="5">
        <f>SUMIFS(Table2[[#This Row],[Current Rent Gap]],Table2[[#This Row],[Current Rent Gap]],"&gt;0")</f>
        <v>0</v>
      </c>
    </row>
    <row r="454" spans="1:14" x14ac:dyDescent="0.35">
      <c r="A454" t="s">
        <v>339</v>
      </c>
      <c r="B454" t="s">
        <v>747</v>
      </c>
      <c r="C454">
        <v>6701</v>
      </c>
      <c r="D454">
        <v>6701</v>
      </c>
      <c r="E454">
        <f>Table2[[#This Row],[Due_Amount]]-Table2[[#This Row],[Paid_Amount]]</f>
        <v>0</v>
      </c>
      <c r="F454" s="1">
        <v>45842</v>
      </c>
      <c r="G454">
        <v>0</v>
      </c>
      <c r="H454">
        <f>Table2[[#This Row],[Due_Amount]]*Table2[[#This Row],[Delay_Days]]</f>
        <v>0</v>
      </c>
      <c r="I454" s="3" t="str">
        <f>IF(Table2[[#This Row],[Delay_Days]]=0,"On Time",IF(Table2[[#This Row],[Delay_Days]]&lt;=7,"Low Risk(1-7)",IF(Table2[[#This Row],[Delay_Days]]&lt;=15,"Medium Risk(8-15)",IF(Table2[[#This Row],[Delay_Days]]&lt;=30,"High Risk(16-30)","Severe Risk(30+)"))))</f>
        <v>On Time</v>
      </c>
      <c r="J454" s="5">
        <f>AVERAGE(Table2[Due_Amount])</f>
        <v>4635.1866666666665</v>
      </c>
      <c r="K454" s="5">
        <f>Table2[[#This Row],[Estimated_Market_Rent]]-Table2[[#This Row],[Due_Amount]]</f>
        <v>-2065.8133333333335</v>
      </c>
      <c r="L454" s="6">
        <f>IF(Table2[[#This Row],[Current Rent Gap]]&gt;0,Table2[[#This Row],[Current Rent Gap]]/Table2[[#This Row],[Estimated_Market_Rent]],0)</f>
        <v>0</v>
      </c>
      <c r="M454" s="3" t="str">
        <f>IF(Table2[[#This Row],[Under_Market %]]&gt;0.1,"Underpriced","OK")</f>
        <v>OK</v>
      </c>
      <c r="N454" s="5">
        <f>SUMIFS(Table2[[#This Row],[Current Rent Gap]],Table2[[#This Row],[Current Rent Gap]],"&gt;0")</f>
        <v>0</v>
      </c>
    </row>
    <row r="455" spans="1:14" x14ac:dyDescent="0.35">
      <c r="A455" t="s">
        <v>11</v>
      </c>
      <c r="B455" t="s">
        <v>751</v>
      </c>
      <c r="C455">
        <v>2268</v>
      </c>
      <c r="D455">
        <v>2193</v>
      </c>
      <c r="E455">
        <f>Table2[[#This Row],[Due_Amount]]-Table2[[#This Row],[Paid_Amount]]</f>
        <v>75</v>
      </c>
      <c r="F455" s="1">
        <v>45997</v>
      </c>
      <c r="G455">
        <v>21</v>
      </c>
      <c r="H455">
        <f>Table2[[#This Row],[Due_Amount]]*Table2[[#This Row],[Delay_Days]]</f>
        <v>47628</v>
      </c>
      <c r="I455" s="3" t="str">
        <f>IF(Table2[[#This Row],[Delay_Days]]=0,"On Time",IF(Table2[[#This Row],[Delay_Days]]&lt;=7,"Low Risk(1-7)",IF(Table2[[#This Row],[Delay_Days]]&lt;=15,"Medium Risk(8-15)",IF(Table2[[#This Row],[Delay_Days]]&lt;=30,"High Risk(16-30)","Severe Risk(30+)"))))</f>
        <v>High Risk(16-30)</v>
      </c>
      <c r="J455" s="5">
        <f>AVERAGE(Table2[Due_Amount])</f>
        <v>4635.1866666666665</v>
      </c>
      <c r="K455" s="5">
        <f>Table2[[#This Row],[Estimated_Market_Rent]]-Table2[[#This Row],[Due_Amount]]</f>
        <v>2367.1866666666665</v>
      </c>
      <c r="L455" s="6">
        <f>IF(Table2[[#This Row],[Current Rent Gap]]&gt;0,Table2[[#This Row],[Current Rent Gap]]/Table2[[#This Row],[Estimated_Market_Rent]],0)</f>
        <v>0.51069931739534402</v>
      </c>
      <c r="M455" s="3" t="str">
        <f>IF(Table2[[#This Row],[Under_Market %]]&gt;0.1,"Underpriced","OK")</f>
        <v>Underpriced</v>
      </c>
      <c r="N455" s="5">
        <f>SUMIFS(Table2[[#This Row],[Current Rent Gap]],Table2[[#This Row],[Current Rent Gap]],"&gt;0")</f>
        <v>2367.1866666666665</v>
      </c>
    </row>
    <row r="456" spans="1:14" x14ac:dyDescent="0.35">
      <c r="A456" t="s">
        <v>485</v>
      </c>
      <c r="B456" t="s">
        <v>747</v>
      </c>
      <c r="C456">
        <v>3996</v>
      </c>
      <c r="D456">
        <v>3996</v>
      </c>
      <c r="E456">
        <f>Table2[[#This Row],[Due_Amount]]-Table2[[#This Row],[Paid_Amount]]</f>
        <v>0</v>
      </c>
      <c r="F456" s="1">
        <v>45805</v>
      </c>
      <c r="G456">
        <v>7</v>
      </c>
      <c r="H456">
        <f>Table2[[#This Row],[Due_Amount]]*Table2[[#This Row],[Delay_Days]]</f>
        <v>27972</v>
      </c>
      <c r="I456" s="3" t="str">
        <f>IF(Table2[[#This Row],[Delay_Days]]=0,"On Time",IF(Table2[[#This Row],[Delay_Days]]&lt;=7,"Low Risk(1-7)",IF(Table2[[#This Row],[Delay_Days]]&lt;=15,"Medium Risk(8-15)",IF(Table2[[#This Row],[Delay_Days]]&lt;=30,"High Risk(16-30)","Severe Risk(30+)"))))</f>
        <v>Low Risk(1-7)</v>
      </c>
      <c r="J456" s="5">
        <f>AVERAGE(Table2[Due_Amount])</f>
        <v>4635.1866666666665</v>
      </c>
      <c r="K456" s="5">
        <f>Table2[[#This Row],[Estimated_Market_Rent]]-Table2[[#This Row],[Due_Amount]]</f>
        <v>639.1866666666665</v>
      </c>
      <c r="L456" s="6">
        <f>IF(Table2[[#This Row],[Current Rent Gap]]&gt;0,Table2[[#This Row],[Current Rent Gap]]/Table2[[#This Row],[Estimated_Market_Rent]],0)</f>
        <v>0.13789879731560609</v>
      </c>
      <c r="M456" s="3" t="str">
        <f>IF(Table2[[#This Row],[Under_Market %]]&gt;0.1,"Underpriced","OK")</f>
        <v>Underpriced</v>
      </c>
      <c r="N456" s="5">
        <f>SUMIFS(Table2[[#This Row],[Current Rent Gap]],Table2[[#This Row],[Current Rent Gap]],"&gt;0")</f>
        <v>639.1866666666665</v>
      </c>
    </row>
    <row r="457" spans="1:14" x14ac:dyDescent="0.35">
      <c r="A457" t="s">
        <v>529</v>
      </c>
      <c r="B457" t="s">
        <v>744</v>
      </c>
      <c r="C457">
        <v>5404</v>
      </c>
      <c r="D457">
        <v>5299</v>
      </c>
      <c r="E457">
        <f>Table2[[#This Row],[Due_Amount]]-Table2[[#This Row],[Paid_Amount]]</f>
        <v>105</v>
      </c>
      <c r="F457" s="1">
        <v>45675</v>
      </c>
      <c r="G457">
        <v>11</v>
      </c>
      <c r="H457">
        <f>Table2[[#This Row],[Due_Amount]]*Table2[[#This Row],[Delay_Days]]</f>
        <v>59444</v>
      </c>
      <c r="I457" s="3" t="str">
        <f>IF(Table2[[#This Row],[Delay_Days]]=0,"On Time",IF(Table2[[#This Row],[Delay_Days]]&lt;=7,"Low Risk(1-7)",IF(Table2[[#This Row],[Delay_Days]]&lt;=15,"Medium Risk(8-15)",IF(Table2[[#This Row],[Delay_Days]]&lt;=30,"High Risk(16-30)","Severe Risk(30+)"))))</f>
        <v>Medium Risk(8-15)</v>
      </c>
      <c r="J457" s="5">
        <f>AVERAGE(Table2[Due_Amount])</f>
        <v>4635.1866666666665</v>
      </c>
      <c r="K457" s="5">
        <f>Table2[[#This Row],[Estimated_Market_Rent]]-Table2[[#This Row],[Due_Amount]]</f>
        <v>-768.8133333333335</v>
      </c>
      <c r="L457" s="6">
        <f>IF(Table2[[#This Row],[Current Rent Gap]]&gt;0,Table2[[#This Row],[Current Rent Gap]]/Table2[[#This Row],[Estimated_Market_Rent]],0)</f>
        <v>0</v>
      </c>
      <c r="M457" s="3" t="str">
        <f>IF(Table2[[#This Row],[Under_Market %]]&gt;0.1,"Underpriced","OK")</f>
        <v>OK</v>
      </c>
      <c r="N457" s="5">
        <f>SUMIFS(Table2[[#This Row],[Current Rent Gap]],Table2[[#This Row],[Current Rent Gap]],"&gt;0")</f>
        <v>0</v>
      </c>
    </row>
    <row r="458" spans="1:14" x14ac:dyDescent="0.35">
      <c r="A458" t="s">
        <v>644</v>
      </c>
      <c r="B458" t="s">
        <v>751</v>
      </c>
      <c r="C458">
        <v>5485</v>
      </c>
      <c r="D458">
        <v>4623</v>
      </c>
      <c r="E458">
        <f>Table2[[#This Row],[Due_Amount]]-Table2[[#This Row],[Paid_Amount]]</f>
        <v>862</v>
      </c>
      <c r="F458" s="1">
        <v>45886</v>
      </c>
      <c r="G458">
        <v>20</v>
      </c>
      <c r="H458">
        <f>Table2[[#This Row],[Due_Amount]]*Table2[[#This Row],[Delay_Days]]</f>
        <v>109700</v>
      </c>
      <c r="I458" s="3" t="str">
        <f>IF(Table2[[#This Row],[Delay_Days]]=0,"On Time",IF(Table2[[#This Row],[Delay_Days]]&lt;=7,"Low Risk(1-7)",IF(Table2[[#This Row],[Delay_Days]]&lt;=15,"Medium Risk(8-15)",IF(Table2[[#This Row],[Delay_Days]]&lt;=30,"High Risk(16-30)","Severe Risk(30+)"))))</f>
        <v>High Risk(16-30)</v>
      </c>
      <c r="J458" s="5">
        <f>AVERAGE(Table2[Due_Amount])</f>
        <v>4635.1866666666665</v>
      </c>
      <c r="K458" s="5">
        <f>Table2[[#This Row],[Estimated_Market_Rent]]-Table2[[#This Row],[Due_Amount]]</f>
        <v>-849.8133333333335</v>
      </c>
      <c r="L458" s="6">
        <f>IF(Table2[[#This Row],[Current Rent Gap]]&gt;0,Table2[[#This Row],[Current Rent Gap]]/Table2[[#This Row],[Estimated_Market_Rent]],0)</f>
        <v>0</v>
      </c>
      <c r="M458" s="3" t="str">
        <f>IF(Table2[[#This Row],[Under_Market %]]&gt;0.1,"Underpriced","OK")</f>
        <v>OK</v>
      </c>
      <c r="N458" s="5">
        <f>SUMIFS(Table2[[#This Row],[Current Rent Gap]],Table2[[#This Row],[Current Rent Gap]],"&gt;0")</f>
        <v>0</v>
      </c>
    </row>
    <row r="459" spans="1:14" x14ac:dyDescent="0.35">
      <c r="A459" t="s">
        <v>352</v>
      </c>
      <c r="B459" t="s">
        <v>751</v>
      </c>
      <c r="C459">
        <v>2981</v>
      </c>
      <c r="D459">
        <v>2981</v>
      </c>
      <c r="E459">
        <f>Table2[[#This Row],[Due_Amount]]-Table2[[#This Row],[Paid_Amount]]</f>
        <v>0</v>
      </c>
      <c r="F459" s="1">
        <v>46006</v>
      </c>
      <c r="G459">
        <v>2</v>
      </c>
      <c r="H459">
        <f>Table2[[#This Row],[Due_Amount]]*Table2[[#This Row],[Delay_Days]]</f>
        <v>5962</v>
      </c>
      <c r="I459" s="3" t="str">
        <f>IF(Table2[[#This Row],[Delay_Days]]=0,"On Time",IF(Table2[[#This Row],[Delay_Days]]&lt;=7,"Low Risk(1-7)",IF(Table2[[#This Row],[Delay_Days]]&lt;=15,"Medium Risk(8-15)",IF(Table2[[#This Row],[Delay_Days]]&lt;=30,"High Risk(16-30)","Severe Risk(30+)"))))</f>
        <v>Low Risk(1-7)</v>
      </c>
      <c r="J459" s="5">
        <f>AVERAGE(Table2[Due_Amount])</f>
        <v>4635.1866666666665</v>
      </c>
      <c r="K459" s="5">
        <f>Table2[[#This Row],[Estimated_Market_Rent]]-Table2[[#This Row],[Due_Amount]]</f>
        <v>1654.1866666666665</v>
      </c>
      <c r="L459" s="6">
        <f>IF(Table2[[#This Row],[Current Rent Gap]]&gt;0,Table2[[#This Row],[Current Rent Gap]]/Table2[[#This Row],[Estimated_Market_Rent]],0)</f>
        <v>0.35687595465410954</v>
      </c>
      <c r="M459" s="3" t="str">
        <f>IF(Table2[[#This Row],[Under_Market %]]&gt;0.1,"Underpriced","OK")</f>
        <v>Underpriced</v>
      </c>
      <c r="N459" s="5">
        <f>SUMIFS(Table2[[#This Row],[Current Rent Gap]],Table2[[#This Row],[Current Rent Gap]],"&gt;0")</f>
        <v>1654.1866666666665</v>
      </c>
    </row>
    <row r="460" spans="1:14" x14ac:dyDescent="0.35">
      <c r="A460" t="s">
        <v>706</v>
      </c>
      <c r="B460" t="s">
        <v>749</v>
      </c>
      <c r="C460">
        <v>6114</v>
      </c>
      <c r="D460">
        <v>5180</v>
      </c>
      <c r="E460">
        <f>Table2[[#This Row],[Due_Amount]]-Table2[[#This Row],[Paid_Amount]]</f>
        <v>934</v>
      </c>
      <c r="F460" s="1">
        <v>45816</v>
      </c>
      <c r="G460">
        <v>10</v>
      </c>
      <c r="H460">
        <f>Table2[[#This Row],[Due_Amount]]*Table2[[#This Row],[Delay_Days]]</f>
        <v>61140</v>
      </c>
      <c r="I460" s="3" t="str">
        <f>IF(Table2[[#This Row],[Delay_Days]]=0,"On Time",IF(Table2[[#This Row],[Delay_Days]]&lt;=7,"Low Risk(1-7)",IF(Table2[[#This Row],[Delay_Days]]&lt;=15,"Medium Risk(8-15)",IF(Table2[[#This Row],[Delay_Days]]&lt;=30,"High Risk(16-30)","Severe Risk(30+)"))))</f>
        <v>Medium Risk(8-15)</v>
      </c>
      <c r="J460" s="5">
        <f>AVERAGE(Table2[Due_Amount])</f>
        <v>4635.1866666666665</v>
      </c>
      <c r="K460" s="5">
        <f>Table2[[#This Row],[Estimated_Market_Rent]]-Table2[[#This Row],[Due_Amount]]</f>
        <v>-1478.8133333333335</v>
      </c>
      <c r="L460" s="6">
        <f>IF(Table2[[#This Row],[Current Rent Gap]]&gt;0,Table2[[#This Row],[Current Rent Gap]]/Table2[[#This Row],[Estimated_Market_Rent]],0)</f>
        <v>0</v>
      </c>
      <c r="M460" s="3" t="str">
        <f>IF(Table2[[#This Row],[Under_Market %]]&gt;0.1,"Underpriced","OK")</f>
        <v>OK</v>
      </c>
      <c r="N460" s="5">
        <f>SUMIFS(Table2[[#This Row],[Current Rent Gap]],Table2[[#This Row],[Current Rent Gap]],"&gt;0")</f>
        <v>0</v>
      </c>
    </row>
    <row r="461" spans="1:14" x14ac:dyDescent="0.35">
      <c r="A461" t="s">
        <v>600</v>
      </c>
      <c r="B461" t="s">
        <v>747</v>
      </c>
      <c r="C461">
        <v>2254</v>
      </c>
      <c r="D461">
        <v>2251</v>
      </c>
      <c r="E461">
        <f>Table2[[#This Row],[Due_Amount]]-Table2[[#This Row],[Paid_Amount]]</f>
        <v>3</v>
      </c>
      <c r="F461" s="1">
        <v>45917</v>
      </c>
      <c r="G461">
        <v>25</v>
      </c>
      <c r="H461">
        <f>Table2[[#This Row],[Due_Amount]]*Table2[[#This Row],[Delay_Days]]</f>
        <v>56350</v>
      </c>
      <c r="I461" s="3" t="str">
        <f>IF(Table2[[#This Row],[Delay_Days]]=0,"On Time",IF(Table2[[#This Row],[Delay_Days]]&lt;=7,"Low Risk(1-7)",IF(Table2[[#This Row],[Delay_Days]]&lt;=15,"Medium Risk(8-15)",IF(Table2[[#This Row],[Delay_Days]]&lt;=30,"High Risk(16-30)","Severe Risk(30+)"))))</f>
        <v>High Risk(16-30)</v>
      </c>
      <c r="J461" s="5">
        <f>AVERAGE(Table2[Due_Amount])</f>
        <v>4635.1866666666665</v>
      </c>
      <c r="K461" s="5">
        <f>Table2[[#This Row],[Estimated_Market_Rent]]-Table2[[#This Row],[Due_Amount]]</f>
        <v>2381.1866666666665</v>
      </c>
      <c r="L461" s="6">
        <f>IF(Table2[[#This Row],[Current Rent Gap]]&gt;0,Table2[[#This Row],[Current Rent Gap]]/Table2[[#This Row],[Estimated_Market_Rent]],0)</f>
        <v>0.51371969197932332</v>
      </c>
      <c r="M461" s="3" t="str">
        <f>IF(Table2[[#This Row],[Under_Market %]]&gt;0.1,"Underpriced","OK")</f>
        <v>Underpriced</v>
      </c>
      <c r="N461" s="5">
        <f>SUMIFS(Table2[[#This Row],[Current Rent Gap]],Table2[[#This Row],[Current Rent Gap]],"&gt;0")</f>
        <v>2381.1866666666665</v>
      </c>
    </row>
    <row r="462" spans="1:14" x14ac:dyDescent="0.35">
      <c r="A462" t="s">
        <v>545</v>
      </c>
      <c r="B462" t="s">
        <v>753</v>
      </c>
      <c r="C462">
        <v>2553</v>
      </c>
      <c r="D462">
        <v>2553</v>
      </c>
      <c r="E462">
        <f>Table2[[#This Row],[Due_Amount]]-Table2[[#This Row],[Paid_Amount]]</f>
        <v>0</v>
      </c>
      <c r="F462" s="1">
        <v>45926</v>
      </c>
      <c r="G462">
        <v>6</v>
      </c>
      <c r="H462">
        <f>Table2[[#This Row],[Due_Amount]]*Table2[[#This Row],[Delay_Days]]</f>
        <v>15318</v>
      </c>
      <c r="I462" s="3" t="str">
        <f>IF(Table2[[#This Row],[Delay_Days]]=0,"On Time",IF(Table2[[#This Row],[Delay_Days]]&lt;=7,"Low Risk(1-7)",IF(Table2[[#This Row],[Delay_Days]]&lt;=15,"Medium Risk(8-15)",IF(Table2[[#This Row],[Delay_Days]]&lt;=30,"High Risk(16-30)","Severe Risk(30+)"))))</f>
        <v>Low Risk(1-7)</v>
      </c>
      <c r="J462" s="5">
        <f>AVERAGE(Table2[Due_Amount])</f>
        <v>4635.1866666666665</v>
      </c>
      <c r="K462" s="5">
        <f>Table2[[#This Row],[Estimated_Market_Rent]]-Table2[[#This Row],[Due_Amount]]</f>
        <v>2082.1866666666665</v>
      </c>
      <c r="L462" s="6">
        <f>IF(Table2[[#This Row],[Current Rent Gap]]&gt;0,Table2[[#This Row],[Current Rent Gap]]/Table2[[#This Row],[Estimated_Market_Rent]],0)</f>
        <v>0.44921312050719281</v>
      </c>
      <c r="M462" s="3" t="str">
        <f>IF(Table2[[#This Row],[Under_Market %]]&gt;0.1,"Underpriced","OK")</f>
        <v>Underpriced</v>
      </c>
      <c r="N462" s="5">
        <f>SUMIFS(Table2[[#This Row],[Current Rent Gap]],Table2[[#This Row],[Current Rent Gap]],"&gt;0")</f>
        <v>2082.1866666666665</v>
      </c>
    </row>
    <row r="463" spans="1:14" x14ac:dyDescent="0.35">
      <c r="A463" t="s">
        <v>476</v>
      </c>
      <c r="B463" t="s">
        <v>746</v>
      </c>
      <c r="C463">
        <v>5936</v>
      </c>
      <c r="D463">
        <v>5936</v>
      </c>
      <c r="E463">
        <f>Table2[[#This Row],[Due_Amount]]-Table2[[#This Row],[Paid_Amount]]</f>
        <v>0</v>
      </c>
      <c r="F463" s="1">
        <v>45723</v>
      </c>
      <c r="G463">
        <v>4</v>
      </c>
      <c r="H463">
        <f>Table2[[#This Row],[Due_Amount]]*Table2[[#This Row],[Delay_Days]]</f>
        <v>23744</v>
      </c>
      <c r="I463" s="3" t="str">
        <f>IF(Table2[[#This Row],[Delay_Days]]=0,"On Time",IF(Table2[[#This Row],[Delay_Days]]&lt;=7,"Low Risk(1-7)",IF(Table2[[#This Row],[Delay_Days]]&lt;=15,"Medium Risk(8-15)",IF(Table2[[#This Row],[Delay_Days]]&lt;=30,"High Risk(16-30)","Severe Risk(30+)"))))</f>
        <v>Low Risk(1-7)</v>
      </c>
      <c r="J463" s="5">
        <f>AVERAGE(Table2[Due_Amount])</f>
        <v>4635.1866666666665</v>
      </c>
      <c r="K463" s="5">
        <f>Table2[[#This Row],[Estimated_Market_Rent]]-Table2[[#This Row],[Due_Amount]]</f>
        <v>-1300.8133333333335</v>
      </c>
      <c r="L463" s="6">
        <f>IF(Table2[[#This Row],[Current Rent Gap]]&gt;0,Table2[[#This Row],[Current Rent Gap]]/Table2[[#This Row],[Estimated_Market_Rent]],0)</f>
        <v>0</v>
      </c>
      <c r="M463" s="3" t="str">
        <f>IF(Table2[[#This Row],[Under_Market %]]&gt;0.1,"Underpriced","OK")</f>
        <v>OK</v>
      </c>
      <c r="N463" s="5">
        <f>SUMIFS(Table2[[#This Row],[Current Rent Gap]],Table2[[#This Row],[Current Rent Gap]],"&gt;0")</f>
        <v>0</v>
      </c>
    </row>
    <row r="464" spans="1:14" x14ac:dyDescent="0.35">
      <c r="A464" t="s">
        <v>701</v>
      </c>
      <c r="B464" t="s">
        <v>745</v>
      </c>
      <c r="C464">
        <v>4071</v>
      </c>
      <c r="D464">
        <v>3552</v>
      </c>
      <c r="E464">
        <f>Table2[[#This Row],[Due_Amount]]-Table2[[#This Row],[Paid_Amount]]</f>
        <v>519</v>
      </c>
      <c r="F464" s="1">
        <v>45923</v>
      </c>
      <c r="G464">
        <v>11</v>
      </c>
      <c r="H464">
        <f>Table2[[#This Row],[Due_Amount]]*Table2[[#This Row],[Delay_Days]]</f>
        <v>44781</v>
      </c>
      <c r="I464" s="3" t="str">
        <f>IF(Table2[[#This Row],[Delay_Days]]=0,"On Time",IF(Table2[[#This Row],[Delay_Days]]&lt;=7,"Low Risk(1-7)",IF(Table2[[#This Row],[Delay_Days]]&lt;=15,"Medium Risk(8-15)",IF(Table2[[#This Row],[Delay_Days]]&lt;=30,"High Risk(16-30)","Severe Risk(30+)"))))</f>
        <v>Medium Risk(8-15)</v>
      </c>
      <c r="J464" s="5">
        <f>AVERAGE(Table2[Due_Amount])</f>
        <v>4635.1866666666665</v>
      </c>
      <c r="K464" s="5">
        <f>Table2[[#This Row],[Estimated_Market_Rent]]-Table2[[#This Row],[Due_Amount]]</f>
        <v>564.1866666666665</v>
      </c>
      <c r="L464" s="6">
        <f>IF(Table2[[#This Row],[Current Rent Gap]]&gt;0,Table2[[#This Row],[Current Rent Gap]]/Table2[[#This Row],[Estimated_Market_Rent]],0)</f>
        <v>0.12171821918714526</v>
      </c>
      <c r="M464" s="3" t="str">
        <f>IF(Table2[[#This Row],[Under_Market %]]&gt;0.1,"Underpriced","OK")</f>
        <v>Underpriced</v>
      </c>
      <c r="N464" s="5">
        <f>SUMIFS(Table2[[#This Row],[Current Rent Gap]],Table2[[#This Row],[Current Rent Gap]],"&gt;0")</f>
        <v>564.1866666666665</v>
      </c>
    </row>
    <row r="465" spans="1:14" x14ac:dyDescent="0.35">
      <c r="A465" t="s">
        <v>476</v>
      </c>
      <c r="B465" t="s">
        <v>752</v>
      </c>
      <c r="C465">
        <v>2511</v>
      </c>
      <c r="D465">
        <v>2491</v>
      </c>
      <c r="E465">
        <f>Table2[[#This Row],[Due_Amount]]-Table2[[#This Row],[Paid_Amount]]</f>
        <v>20</v>
      </c>
      <c r="F465" s="1">
        <v>45672</v>
      </c>
      <c r="G465">
        <v>20</v>
      </c>
      <c r="H465">
        <f>Table2[[#This Row],[Due_Amount]]*Table2[[#This Row],[Delay_Days]]</f>
        <v>50220</v>
      </c>
      <c r="I465" s="3" t="str">
        <f>IF(Table2[[#This Row],[Delay_Days]]=0,"On Time",IF(Table2[[#This Row],[Delay_Days]]&lt;=7,"Low Risk(1-7)",IF(Table2[[#This Row],[Delay_Days]]&lt;=15,"Medium Risk(8-15)",IF(Table2[[#This Row],[Delay_Days]]&lt;=30,"High Risk(16-30)","Severe Risk(30+)"))))</f>
        <v>High Risk(16-30)</v>
      </c>
      <c r="J465" s="5">
        <f>AVERAGE(Table2[Due_Amount])</f>
        <v>4635.1866666666665</v>
      </c>
      <c r="K465" s="5">
        <f>Table2[[#This Row],[Estimated_Market_Rent]]-Table2[[#This Row],[Due_Amount]]</f>
        <v>2124.1866666666665</v>
      </c>
      <c r="L465" s="6">
        <f>IF(Table2[[#This Row],[Current Rent Gap]]&gt;0,Table2[[#This Row],[Current Rent Gap]]/Table2[[#This Row],[Estimated_Market_Rent]],0)</f>
        <v>0.45827424425913088</v>
      </c>
      <c r="M465" s="3" t="str">
        <f>IF(Table2[[#This Row],[Under_Market %]]&gt;0.1,"Underpriced","OK")</f>
        <v>Underpriced</v>
      </c>
      <c r="N465" s="5">
        <f>SUMIFS(Table2[[#This Row],[Current Rent Gap]],Table2[[#This Row],[Current Rent Gap]],"&gt;0")</f>
        <v>2124.1866666666665</v>
      </c>
    </row>
    <row r="466" spans="1:14" x14ac:dyDescent="0.35">
      <c r="A466" t="s">
        <v>32</v>
      </c>
      <c r="B466" t="s">
        <v>751</v>
      </c>
      <c r="C466">
        <v>3139</v>
      </c>
      <c r="D466">
        <v>3109</v>
      </c>
      <c r="E466">
        <f>Table2[[#This Row],[Due_Amount]]-Table2[[#This Row],[Paid_Amount]]</f>
        <v>30</v>
      </c>
      <c r="F466" s="1">
        <v>45887</v>
      </c>
      <c r="G466">
        <v>25</v>
      </c>
      <c r="H466">
        <f>Table2[[#This Row],[Due_Amount]]*Table2[[#This Row],[Delay_Days]]</f>
        <v>78475</v>
      </c>
      <c r="I466" s="3" t="str">
        <f>IF(Table2[[#This Row],[Delay_Days]]=0,"On Time",IF(Table2[[#This Row],[Delay_Days]]&lt;=7,"Low Risk(1-7)",IF(Table2[[#This Row],[Delay_Days]]&lt;=15,"Medium Risk(8-15)",IF(Table2[[#This Row],[Delay_Days]]&lt;=30,"High Risk(16-30)","Severe Risk(30+)"))))</f>
        <v>High Risk(16-30)</v>
      </c>
      <c r="J466" s="5">
        <f>AVERAGE(Table2[Due_Amount])</f>
        <v>4635.1866666666665</v>
      </c>
      <c r="K466" s="5">
        <f>Table2[[#This Row],[Estimated_Market_Rent]]-Table2[[#This Row],[Due_Amount]]</f>
        <v>1496.1866666666665</v>
      </c>
      <c r="L466" s="6">
        <f>IF(Table2[[#This Row],[Current Rent Gap]]&gt;0,Table2[[#This Row],[Current Rent Gap]]/Table2[[#This Row],[Estimated_Market_Rent]],0)</f>
        <v>0.32278887006348539</v>
      </c>
      <c r="M466" s="3" t="str">
        <f>IF(Table2[[#This Row],[Under_Market %]]&gt;0.1,"Underpriced","OK")</f>
        <v>Underpriced</v>
      </c>
      <c r="N466" s="5">
        <f>SUMIFS(Table2[[#This Row],[Current Rent Gap]],Table2[[#This Row],[Current Rent Gap]],"&gt;0")</f>
        <v>1496.1866666666665</v>
      </c>
    </row>
    <row r="467" spans="1:14" x14ac:dyDescent="0.35">
      <c r="A467" t="s">
        <v>568</v>
      </c>
      <c r="B467" t="s">
        <v>749</v>
      </c>
      <c r="C467">
        <v>2699</v>
      </c>
      <c r="D467">
        <v>2025</v>
      </c>
      <c r="E467">
        <f>Table2[[#This Row],[Due_Amount]]-Table2[[#This Row],[Paid_Amount]]</f>
        <v>674</v>
      </c>
      <c r="F467" s="1">
        <v>45916</v>
      </c>
      <c r="G467">
        <v>22</v>
      </c>
      <c r="H467">
        <f>Table2[[#This Row],[Due_Amount]]*Table2[[#This Row],[Delay_Days]]</f>
        <v>59378</v>
      </c>
      <c r="I467" s="3" t="str">
        <f>IF(Table2[[#This Row],[Delay_Days]]=0,"On Time",IF(Table2[[#This Row],[Delay_Days]]&lt;=7,"Low Risk(1-7)",IF(Table2[[#This Row],[Delay_Days]]&lt;=15,"Medium Risk(8-15)",IF(Table2[[#This Row],[Delay_Days]]&lt;=30,"High Risk(16-30)","Severe Risk(30+)"))))</f>
        <v>High Risk(16-30)</v>
      </c>
      <c r="J467" s="5">
        <f>AVERAGE(Table2[Due_Amount])</f>
        <v>4635.1866666666665</v>
      </c>
      <c r="K467" s="5">
        <f>Table2[[#This Row],[Estimated_Market_Rent]]-Table2[[#This Row],[Due_Amount]]</f>
        <v>1936.1866666666665</v>
      </c>
      <c r="L467" s="6">
        <f>IF(Table2[[#This Row],[Current Rent Gap]]&gt;0,Table2[[#This Row],[Current Rent Gap]]/Table2[[#This Row],[Estimated_Market_Rent]],0)</f>
        <v>0.41771492841712232</v>
      </c>
      <c r="M467" s="3" t="str">
        <f>IF(Table2[[#This Row],[Under_Market %]]&gt;0.1,"Underpriced","OK")</f>
        <v>Underpriced</v>
      </c>
      <c r="N467" s="5">
        <f>SUMIFS(Table2[[#This Row],[Current Rent Gap]],Table2[[#This Row],[Current Rent Gap]],"&gt;0")</f>
        <v>1936.1866666666665</v>
      </c>
    </row>
    <row r="468" spans="1:14" x14ac:dyDescent="0.35">
      <c r="A468" t="s">
        <v>306</v>
      </c>
      <c r="B468" t="s">
        <v>749</v>
      </c>
      <c r="C468">
        <v>5588</v>
      </c>
      <c r="D468">
        <v>5202</v>
      </c>
      <c r="E468">
        <f>Table2[[#This Row],[Due_Amount]]-Table2[[#This Row],[Paid_Amount]]</f>
        <v>386</v>
      </c>
      <c r="F468" s="1">
        <v>45936</v>
      </c>
      <c r="G468">
        <v>25</v>
      </c>
      <c r="H468">
        <f>Table2[[#This Row],[Due_Amount]]*Table2[[#This Row],[Delay_Days]]</f>
        <v>139700</v>
      </c>
      <c r="I468" s="3" t="str">
        <f>IF(Table2[[#This Row],[Delay_Days]]=0,"On Time",IF(Table2[[#This Row],[Delay_Days]]&lt;=7,"Low Risk(1-7)",IF(Table2[[#This Row],[Delay_Days]]&lt;=15,"Medium Risk(8-15)",IF(Table2[[#This Row],[Delay_Days]]&lt;=30,"High Risk(16-30)","Severe Risk(30+)"))))</f>
        <v>High Risk(16-30)</v>
      </c>
      <c r="J468" s="5">
        <f>AVERAGE(Table2[Due_Amount])</f>
        <v>4635.1866666666665</v>
      </c>
      <c r="K468" s="5">
        <f>Table2[[#This Row],[Estimated_Market_Rent]]-Table2[[#This Row],[Due_Amount]]</f>
        <v>-952.8133333333335</v>
      </c>
      <c r="L468" s="6">
        <f>IF(Table2[[#This Row],[Current Rent Gap]]&gt;0,Table2[[#This Row],[Current Rent Gap]]/Table2[[#This Row],[Estimated_Market_Rent]],0)</f>
        <v>0</v>
      </c>
      <c r="M468" s="3" t="str">
        <f>IF(Table2[[#This Row],[Under_Market %]]&gt;0.1,"Underpriced","OK")</f>
        <v>OK</v>
      </c>
      <c r="N468" s="5">
        <f>SUMIFS(Table2[[#This Row],[Current Rent Gap]],Table2[[#This Row],[Current Rent Gap]],"&gt;0")</f>
        <v>0</v>
      </c>
    </row>
    <row r="469" spans="1:14" x14ac:dyDescent="0.35">
      <c r="A469" t="s">
        <v>674</v>
      </c>
      <c r="B469" t="s">
        <v>751</v>
      </c>
      <c r="C469">
        <v>3609</v>
      </c>
      <c r="D469">
        <v>2796</v>
      </c>
      <c r="E469">
        <f>Table2[[#This Row],[Due_Amount]]-Table2[[#This Row],[Paid_Amount]]</f>
        <v>813</v>
      </c>
      <c r="F469" s="1">
        <v>45826</v>
      </c>
      <c r="G469">
        <v>14</v>
      </c>
      <c r="H469">
        <f>Table2[[#This Row],[Due_Amount]]*Table2[[#This Row],[Delay_Days]]</f>
        <v>50526</v>
      </c>
      <c r="I469" s="3" t="str">
        <f>IF(Table2[[#This Row],[Delay_Days]]=0,"On Time",IF(Table2[[#This Row],[Delay_Days]]&lt;=7,"Low Risk(1-7)",IF(Table2[[#This Row],[Delay_Days]]&lt;=15,"Medium Risk(8-15)",IF(Table2[[#This Row],[Delay_Days]]&lt;=30,"High Risk(16-30)","Severe Risk(30+)"))))</f>
        <v>Medium Risk(8-15)</v>
      </c>
      <c r="J469" s="5">
        <f>AVERAGE(Table2[Due_Amount])</f>
        <v>4635.1866666666665</v>
      </c>
      <c r="K469" s="5">
        <f>Table2[[#This Row],[Estimated_Market_Rent]]-Table2[[#This Row],[Due_Amount]]</f>
        <v>1026.1866666666665</v>
      </c>
      <c r="L469" s="6">
        <f>IF(Table2[[#This Row],[Current Rent Gap]]&gt;0,Table2[[#This Row],[Current Rent Gap]]/Table2[[#This Row],[Estimated_Market_Rent]],0)</f>
        <v>0.22139058045846408</v>
      </c>
      <c r="M469" s="3" t="str">
        <f>IF(Table2[[#This Row],[Under_Market %]]&gt;0.1,"Underpriced","OK")</f>
        <v>Underpriced</v>
      </c>
      <c r="N469" s="5">
        <f>SUMIFS(Table2[[#This Row],[Current Rent Gap]],Table2[[#This Row],[Current Rent Gap]],"&gt;0")</f>
        <v>1026.1866666666665</v>
      </c>
    </row>
    <row r="470" spans="1:14" x14ac:dyDescent="0.35">
      <c r="A470" t="s">
        <v>504</v>
      </c>
      <c r="B470" t="s">
        <v>754</v>
      </c>
      <c r="C470">
        <v>5631</v>
      </c>
      <c r="D470">
        <v>5373</v>
      </c>
      <c r="E470">
        <f>Table2[[#This Row],[Due_Amount]]-Table2[[#This Row],[Paid_Amount]]</f>
        <v>258</v>
      </c>
      <c r="F470" s="1">
        <v>45670</v>
      </c>
      <c r="G470">
        <v>19</v>
      </c>
      <c r="H470">
        <f>Table2[[#This Row],[Due_Amount]]*Table2[[#This Row],[Delay_Days]]</f>
        <v>106989</v>
      </c>
      <c r="I470" s="3" t="str">
        <f>IF(Table2[[#This Row],[Delay_Days]]=0,"On Time",IF(Table2[[#This Row],[Delay_Days]]&lt;=7,"Low Risk(1-7)",IF(Table2[[#This Row],[Delay_Days]]&lt;=15,"Medium Risk(8-15)",IF(Table2[[#This Row],[Delay_Days]]&lt;=30,"High Risk(16-30)","Severe Risk(30+)"))))</f>
        <v>High Risk(16-30)</v>
      </c>
      <c r="J470" s="5">
        <f>AVERAGE(Table2[Due_Amount])</f>
        <v>4635.1866666666665</v>
      </c>
      <c r="K470" s="5">
        <f>Table2[[#This Row],[Estimated_Market_Rent]]-Table2[[#This Row],[Due_Amount]]</f>
        <v>-995.8133333333335</v>
      </c>
      <c r="L470" s="6">
        <f>IF(Table2[[#This Row],[Current Rent Gap]]&gt;0,Table2[[#This Row],[Current Rent Gap]]/Table2[[#This Row],[Estimated_Market_Rent]],0)</f>
        <v>0</v>
      </c>
      <c r="M470" s="3" t="str">
        <f>IF(Table2[[#This Row],[Under_Market %]]&gt;0.1,"Underpriced","OK")</f>
        <v>OK</v>
      </c>
      <c r="N470" s="5">
        <f>SUMIFS(Table2[[#This Row],[Current Rent Gap]],Table2[[#This Row],[Current Rent Gap]],"&gt;0")</f>
        <v>0</v>
      </c>
    </row>
    <row r="471" spans="1:14" x14ac:dyDescent="0.35">
      <c r="A471" t="s">
        <v>613</v>
      </c>
      <c r="B471" t="s">
        <v>753</v>
      </c>
      <c r="C471">
        <v>5709</v>
      </c>
      <c r="D471">
        <v>4953</v>
      </c>
      <c r="E471">
        <f>Table2[[#This Row],[Due_Amount]]-Table2[[#This Row],[Paid_Amount]]</f>
        <v>756</v>
      </c>
      <c r="F471" s="1">
        <v>45908</v>
      </c>
      <c r="G471">
        <v>14</v>
      </c>
      <c r="H471">
        <f>Table2[[#This Row],[Due_Amount]]*Table2[[#This Row],[Delay_Days]]</f>
        <v>79926</v>
      </c>
      <c r="I471" s="3" t="str">
        <f>IF(Table2[[#This Row],[Delay_Days]]=0,"On Time",IF(Table2[[#This Row],[Delay_Days]]&lt;=7,"Low Risk(1-7)",IF(Table2[[#This Row],[Delay_Days]]&lt;=15,"Medium Risk(8-15)",IF(Table2[[#This Row],[Delay_Days]]&lt;=30,"High Risk(16-30)","Severe Risk(30+)"))))</f>
        <v>Medium Risk(8-15)</v>
      </c>
      <c r="J471" s="5">
        <f>AVERAGE(Table2[Due_Amount])</f>
        <v>4635.1866666666665</v>
      </c>
      <c r="K471" s="5">
        <f>Table2[[#This Row],[Estimated_Market_Rent]]-Table2[[#This Row],[Due_Amount]]</f>
        <v>-1073.8133333333335</v>
      </c>
      <c r="L471" s="6">
        <f>IF(Table2[[#This Row],[Current Rent Gap]]&gt;0,Table2[[#This Row],[Current Rent Gap]]/Table2[[#This Row],[Estimated_Market_Rent]],0)</f>
        <v>0</v>
      </c>
      <c r="M471" s="3" t="str">
        <f>IF(Table2[[#This Row],[Under_Market %]]&gt;0.1,"Underpriced","OK")</f>
        <v>OK</v>
      </c>
      <c r="N471" s="5">
        <f>SUMIFS(Table2[[#This Row],[Current Rent Gap]],Table2[[#This Row],[Current Rent Gap]],"&gt;0")</f>
        <v>0</v>
      </c>
    </row>
    <row r="472" spans="1:14" x14ac:dyDescent="0.35">
      <c r="A472" t="s">
        <v>533</v>
      </c>
      <c r="B472" t="s">
        <v>749</v>
      </c>
      <c r="C472">
        <v>5979</v>
      </c>
      <c r="D472">
        <v>5702</v>
      </c>
      <c r="E472">
        <f>Table2[[#This Row],[Due_Amount]]-Table2[[#This Row],[Paid_Amount]]</f>
        <v>277</v>
      </c>
      <c r="F472" s="1">
        <v>45713</v>
      </c>
      <c r="G472">
        <v>17</v>
      </c>
      <c r="H472">
        <f>Table2[[#This Row],[Due_Amount]]*Table2[[#This Row],[Delay_Days]]</f>
        <v>101643</v>
      </c>
      <c r="I472" s="3" t="str">
        <f>IF(Table2[[#This Row],[Delay_Days]]=0,"On Time",IF(Table2[[#This Row],[Delay_Days]]&lt;=7,"Low Risk(1-7)",IF(Table2[[#This Row],[Delay_Days]]&lt;=15,"Medium Risk(8-15)",IF(Table2[[#This Row],[Delay_Days]]&lt;=30,"High Risk(16-30)","Severe Risk(30+)"))))</f>
        <v>High Risk(16-30)</v>
      </c>
      <c r="J472" s="5">
        <f>AVERAGE(Table2[Due_Amount])</f>
        <v>4635.1866666666665</v>
      </c>
      <c r="K472" s="5">
        <f>Table2[[#This Row],[Estimated_Market_Rent]]-Table2[[#This Row],[Due_Amount]]</f>
        <v>-1343.8133333333335</v>
      </c>
      <c r="L472" s="6">
        <f>IF(Table2[[#This Row],[Current Rent Gap]]&gt;0,Table2[[#This Row],[Current Rent Gap]]/Table2[[#This Row],[Estimated_Market_Rent]],0)</f>
        <v>0</v>
      </c>
      <c r="M472" s="3" t="str">
        <f>IF(Table2[[#This Row],[Under_Market %]]&gt;0.1,"Underpriced","OK")</f>
        <v>OK</v>
      </c>
      <c r="N472" s="5">
        <f>SUMIFS(Table2[[#This Row],[Current Rent Gap]],Table2[[#This Row],[Current Rent Gap]],"&gt;0")</f>
        <v>0</v>
      </c>
    </row>
    <row r="473" spans="1:14" x14ac:dyDescent="0.35">
      <c r="A473" t="s">
        <v>435</v>
      </c>
      <c r="B473" t="s">
        <v>753</v>
      </c>
      <c r="C473">
        <v>5348</v>
      </c>
      <c r="D473">
        <v>5242</v>
      </c>
      <c r="E473">
        <f>Table2[[#This Row],[Due_Amount]]-Table2[[#This Row],[Paid_Amount]]</f>
        <v>106</v>
      </c>
      <c r="F473" s="1">
        <v>45707</v>
      </c>
      <c r="G473">
        <v>22</v>
      </c>
      <c r="H473">
        <f>Table2[[#This Row],[Due_Amount]]*Table2[[#This Row],[Delay_Days]]</f>
        <v>117656</v>
      </c>
      <c r="I473" s="3" t="str">
        <f>IF(Table2[[#This Row],[Delay_Days]]=0,"On Time",IF(Table2[[#This Row],[Delay_Days]]&lt;=7,"Low Risk(1-7)",IF(Table2[[#This Row],[Delay_Days]]&lt;=15,"Medium Risk(8-15)",IF(Table2[[#This Row],[Delay_Days]]&lt;=30,"High Risk(16-30)","Severe Risk(30+)"))))</f>
        <v>High Risk(16-30)</v>
      </c>
      <c r="J473" s="5">
        <f>AVERAGE(Table2[Due_Amount])</f>
        <v>4635.1866666666665</v>
      </c>
      <c r="K473" s="5">
        <f>Table2[[#This Row],[Estimated_Market_Rent]]-Table2[[#This Row],[Due_Amount]]</f>
        <v>-712.8133333333335</v>
      </c>
      <c r="L473" s="6">
        <f>IF(Table2[[#This Row],[Current Rent Gap]]&gt;0,Table2[[#This Row],[Current Rent Gap]]/Table2[[#This Row],[Estimated_Market_Rent]],0)</f>
        <v>0</v>
      </c>
      <c r="M473" s="3" t="str">
        <f>IF(Table2[[#This Row],[Under_Market %]]&gt;0.1,"Underpriced","OK")</f>
        <v>OK</v>
      </c>
      <c r="N473" s="5">
        <f>SUMIFS(Table2[[#This Row],[Current Rent Gap]],Table2[[#This Row],[Current Rent Gap]],"&gt;0")</f>
        <v>0</v>
      </c>
    </row>
    <row r="474" spans="1:14" x14ac:dyDescent="0.35">
      <c r="A474" t="s">
        <v>255</v>
      </c>
      <c r="B474" t="s">
        <v>747</v>
      </c>
      <c r="C474">
        <v>4705</v>
      </c>
      <c r="D474">
        <v>4252</v>
      </c>
      <c r="E474">
        <f>Table2[[#This Row],[Due_Amount]]-Table2[[#This Row],[Paid_Amount]]</f>
        <v>453</v>
      </c>
      <c r="F474" s="1">
        <v>45680</v>
      </c>
      <c r="G474">
        <v>21</v>
      </c>
      <c r="H474">
        <f>Table2[[#This Row],[Due_Amount]]*Table2[[#This Row],[Delay_Days]]</f>
        <v>98805</v>
      </c>
      <c r="I474" s="3" t="str">
        <f>IF(Table2[[#This Row],[Delay_Days]]=0,"On Time",IF(Table2[[#This Row],[Delay_Days]]&lt;=7,"Low Risk(1-7)",IF(Table2[[#This Row],[Delay_Days]]&lt;=15,"Medium Risk(8-15)",IF(Table2[[#This Row],[Delay_Days]]&lt;=30,"High Risk(16-30)","Severe Risk(30+)"))))</f>
        <v>High Risk(16-30)</v>
      </c>
      <c r="J474" s="5">
        <f>AVERAGE(Table2[Due_Amount])</f>
        <v>4635.1866666666665</v>
      </c>
      <c r="K474" s="5">
        <f>Table2[[#This Row],[Estimated_Market_Rent]]-Table2[[#This Row],[Due_Amount]]</f>
        <v>-69.813333333333503</v>
      </c>
      <c r="L474" s="6">
        <f>IF(Table2[[#This Row],[Current Rent Gap]]&gt;0,Table2[[#This Row],[Current Rent Gap]]/Table2[[#This Row],[Estimated_Market_Rent]],0)</f>
        <v>0</v>
      </c>
      <c r="M474" s="3" t="str">
        <f>IF(Table2[[#This Row],[Under_Market %]]&gt;0.1,"Underpriced","OK")</f>
        <v>OK</v>
      </c>
      <c r="N474" s="5">
        <f>SUMIFS(Table2[[#This Row],[Current Rent Gap]],Table2[[#This Row],[Current Rent Gap]],"&gt;0")</f>
        <v>0</v>
      </c>
    </row>
    <row r="475" spans="1:14" x14ac:dyDescent="0.35">
      <c r="A475" t="s">
        <v>284</v>
      </c>
      <c r="B475" t="s">
        <v>754</v>
      </c>
      <c r="C475">
        <v>4519</v>
      </c>
      <c r="D475">
        <v>3780</v>
      </c>
      <c r="E475">
        <f>Table2[[#This Row],[Due_Amount]]-Table2[[#This Row],[Paid_Amount]]</f>
        <v>739</v>
      </c>
      <c r="F475" s="1">
        <v>45860</v>
      </c>
      <c r="G475">
        <v>24</v>
      </c>
      <c r="H475">
        <f>Table2[[#This Row],[Due_Amount]]*Table2[[#This Row],[Delay_Days]]</f>
        <v>108456</v>
      </c>
      <c r="I475" s="3" t="str">
        <f>IF(Table2[[#This Row],[Delay_Days]]=0,"On Time",IF(Table2[[#This Row],[Delay_Days]]&lt;=7,"Low Risk(1-7)",IF(Table2[[#This Row],[Delay_Days]]&lt;=15,"Medium Risk(8-15)",IF(Table2[[#This Row],[Delay_Days]]&lt;=30,"High Risk(16-30)","Severe Risk(30+)"))))</f>
        <v>High Risk(16-30)</v>
      </c>
      <c r="J475" s="5">
        <f>AVERAGE(Table2[Due_Amount])</f>
        <v>4635.1866666666665</v>
      </c>
      <c r="K475" s="5">
        <f>Table2[[#This Row],[Estimated_Market_Rent]]-Table2[[#This Row],[Due_Amount]]</f>
        <v>116.1866666666665</v>
      </c>
      <c r="L475" s="6">
        <f>IF(Table2[[#This Row],[Current Rent Gap]]&gt;0,Table2[[#This Row],[Current Rent Gap]]/Table2[[#This Row],[Estimated_Market_Rent]],0)</f>
        <v>2.5066232499805798E-2</v>
      </c>
      <c r="M475" s="3" t="str">
        <f>IF(Table2[[#This Row],[Under_Market %]]&gt;0.1,"Underpriced","OK")</f>
        <v>OK</v>
      </c>
      <c r="N475" s="5">
        <f>SUMIFS(Table2[[#This Row],[Current Rent Gap]],Table2[[#This Row],[Current Rent Gap]],"&gt;0")</f>
        <v>116.1866666666665</v>
      </c>
    </row>
    <row r="476" spans="1:14" x14ac:dyDescent="0.35">
      <c r="A476" t="s">
        <v>439</v>
      </c>
      <c r="B476" t="s">
        <v>750</v>
      </c>
      <c r="C476">
        <v>3169</v>
      </c>
      <c r="D476">
        <v>3043</v>
      </c>
      <c r="E476">
        <f>Table2[[#This Row],[Due_Amount]]-Table2[[#This Row],[Paid_Amount]]</f>
        <v>126</v>
      </c>
      <c r="F476" s="1">
        <v>45896</v>
      </c>
      <c r="G476">
        <v>10</v>
      </c>
      <c r="H476">
        <f>Table2[[#This Row],[Due_Amount]]*Table2[[#This Row],[Delay_Days]]</f>
        <v>31690</v>
      </c>
      <c r="I476" s="3" t="str">
        <f>IF(Table2[[#This Row],[Delay_Days]]=0,"On Time",IF(Table2[[#This Row],[Delay_Days]]&lt;=7,"Low Risk(1-7)",IF(Table2[[#This Row],[Delay_Days]]&lt;=15,"Medium Risk(8-15)",IF(Table2[[#This Row],[Delay_Days]]&lt;=30,"High Risk(16-30)","Severe Risk(30+)"))))</f>
        <v>Medium Risk(8-15)</v>
      </c>
      <c r="J476" s="5">
        <f>AVERAGE(Table2[Due_Amount])</f>
        <v>4635.1866666666665</v>
      </c>
      <c r="K476" s="5">
        <f>Table2[[#This Row],[Estimated_Market_Rent]]-Table2[[#This Row],[Due_Amount]]</f>
        <v>1466.1866666666665</v>
      </c>
      <c r="L476" s="6">
        <f>IF(Table2[[#This Row],[Current Rent Gap]]&gt;0,Table2[[#This Row],[Current Rent Gap]]/Table2[[#This Row],[Estimated_Market_Rent]],0)</f>
        <v>0.31631663881210104</v>
      </c>
      <c r="M476" s="3" t="str">
        <f>IF(Table2[[#This Row],[Under_Market %]]&gt;0.1,"Underpriced","OK")</f>
        <v>Underpriced</v>
      </c>
      <c r="N476" s="5">
        <f>SUMIFS(Table2[[#This Row],[Current Rent Gap]],Table2[[#This Row],[Current Rent Gap]],"&gt;0")</f>
        <v>1466.1866666666665</v>
      </c>
    </row>
    <row r="477" spans="1:14" x14ac:dyDescent="0.35">
      <c r="A477" t="s">
        <v>457</v>
      </c>
      <c r="B477" t="s">
        <v>746</v>
      </c>
      <c r="C477">
        <v>4909</v>
      </c>
      <c r="D477">
        <v>4909</v>
      </c>
      <c r="E477">
        <f>Table2[[#This Row],[Due_Amount]]-Table2[[#This Row],[Paid_Amount]]</f>
        <v>0</v>
      </c>
      <c r="F477" s="1">
        <v>45953</v>
      </c>
      <c r="G477">
        <v>4</v>
      </c>
      <c r="H477">
        <f>Table2[[#This Row],[Due_Amount]]*Table2[[#This Row],[Delay_Days]]</f>
        <v>19636</v>
      </c>
      <c r="I477" s="3" t="str">
        <f>IF(Table2[[#This Row],[Delay_Days]]=0,"On Time",IF(Table2[[#This Row],[Delay_Days]]&lt;=7,"Low Risk(1-7)",IF(Table2[[#This Row],[Delay_Days]]&lt;=15,"Medium Risk(8-15)",IF(Table2[[#This Row],[Delay_Days]]&lt;=30,"High Risk(16-30)","Severe Risk(30+)"))))</f>
        <v>Low Risk(1-7)</v>
      </c>
      <c r="J477" s="5">
        <f>AVERAGE(Table2[Due_Amount])</f>
        <v>4635.1866666666665</v>
      </c>
      <c r="K477" s="5">
        <f>Table2[[#This Row],[Estimated_Market_Rent]]-Table2[[#This Row],[Due_Amount]]</f>
        <v>-273.8133333333335</v>
      </c>
      <c r="L477" s="6">
        <f>IF(Table2[[#This Row],[Current Rent Gap]]&gt;0,Table2[[#This Row],[Current Rent Gap]]/Table2[[#This Row],[Estimated_Market_Rent]],0)</f>
        <v>0</v>
      </c>
      <c r="M477" s="3" t="str">
        <f>IF(Table2[[#This Row],[Under_Market %]]&gt;0.1,"Underpriced","OK")</f>
        <v>OK</v>
      </c>
      <c r="N477" s="5">
        <f>SUMIFS(Table2[[#This Row],[Current Rent Gap]],Table2[[#This Row],[Current Rent Gap]],"&gt;0")</f>
        <v>0</v>
      </c>
    </row>
    <row r="478" spans="1:14" x14ac:dyDescent="0.35">
      <c r="A478" t="s">
        <v>573</v>
      </c>
      <c r="B478" t="s">
        <v>743</v>
      </c>
      <c r="C478">
        <v>6981</v>
      </c>
      <c r="D478">
        <v>6981</v>
      </c>
      <c r="E478">
        <f>Table2[[#This Row],[Due_Amount]]-Table2[[#This Row],[Paid_Amount]]</f>
        <v>0</v>
      </c>
      <c r="F478" s="1">
        <v>45754</v>
      </c>
      <c r="G478">
        <v>2</v>
      </c>
      <c r="H478">
        <f>Table2[[#This Row],[Due_Amount]]*Table2[[#This Row],[Delay_Days]]</f>
        <v>13962</v>
      </c>
      <c r="I478" s="3" t="str">
        <f>IF(Table2[[#This Row],[Delay_Days]]=0,"On Time",IF(Table2[[#This Row],[Delay_Days]]&lt;=7,"Low Risk(1-7)",IF(Table2[[#This Row],[Delay_Days]]&lt;=15,"Medium Risk(8-15)",IF(Table2[[#This Row],[Delay_Days]]&lt;=30,"High Risk(16-30)","Severe Risk(30+)"))))</f>
        <v>Low Risk(1-7)</v>
      </c>
      <c r="J478" s="5">
        <f>AVERAGE(Table2[Due_Amount])</f>
        <v>4635.1866666666665</v>
      </c>
      <c r="K478" s="5">
        <f>Table2[[#This Row],[Estimated_Market_Rent]]-Table2[[#This Row],[Due_Amount]]</f>
        <v>-2345.8133333333335</v>
      </c>
      <c r="L478" s="6">
        <f>IF(Table2[[#This Row],[Current Rent Gap]]&gt;0,Table2[[#This Row],[Current Rent Gap]]/Table2[[#This Row],[Estimated_Market_Rent]],0)</f>
        <v>0</v>
      </c>
      <c r="M478" s="3" t="str">
        <f>IF(Table2[[#This Row],[Under_Market %]]&gt;0.1,"Underpriced","OK")</f>
        <v>OK</v>
      </c>
      <c r="N478" s="5">
        <f>SUMIFS(Table2[[#This Row],[Current Rent Gap]],Table2[[#This Row],[Current Rent Gap]],"&gt;0")</f>
        <v>0</v>
      </c>
    </row>
    <row r="479" spans="1:14" x14ac:dyDescent="0.35">
      <c r="A479" t="s">
        <v>148</v>
      </c>
      <c r="B479" t="s">
        <v>750</v>
      </c>
      <c r="C479">
        <v>5896</v>
      </c>
      <c r="D479">
        <v>5896</v>
      </c>
      <c r="E479">
        <f>Table2[[#This Row],[Due_Amount]]-Table2[[#This Row],[Paid_Amount]]</f>
        <v>0</v>
      </c>
      <c r="F479" s="1">
        <v>45659</v>
      </c>
      <c r="G479">
        <v>1</v>
      </c>
      <c r="H479">
        <f>Table2[[#This Row],[Due_Amount]]*Table2[[#This Row],[Delay_Days]]</f>
        <v>5896</v>
      </c>
      <c r="I479" s="3" t="str">
        <f>IF(Table2[[#This Row],[Delay_Days]]=0,"On Time",IF(Table2[[#This Row],[Delay_Days]]&lt;=7,"Low Risk(1-7)",IF(Table2[[#This Row],[Delay_Days]]&lt;=15,"Medium Risk(8-15)",IF(Table2[[#This Row],[Delay_Days]]&lt;=30,"High Risk(16-30)","Severe Risk(30+)"))))</f>
        <v>Low Risk(1-7)</v>
      </c>
      <c r="J479" s="5">
        <f>AVERAGE(Table2[Due_Amount])</f>
        <v>4635.1866666666665</v>
      </c>
      <c r="K479" s="5">
        <f>Table2[[#This Row],[Estimated_Market_Rent]]-Table2[[#This Row],[Due_Amount]]</f>
        <v>-1260.8133333333335</v>
      </c>
      <c r="L479" s="6">
        <f>IF(Table2[[#This Row],[Current Rent Gap]]&gt;0,Table2[[#This Row],[Current Rent Gap]]/Table2[[#This Row],[Estimated_Market_Rent]],0)</f>
        <v>0</v>
      </c>
      <c r="M479" s="3" t="str">
        <f>IF(Table2[[#This Row],[Under_Market %]]&gt;0.1,"Underpriced","OK")</f>
        <v>OK</v>
      </c>
      <c r="N479" s="5">
        <f>SUMIFS(Table2[[#This Row],[Current Rent Gap]],Table2[[#This Row],[Current Rent Gap]],"&gt;0")</f>
        <v>0</v>
      </c>
    </row>
    <row r="480" spans="1:14" x14ac:dyDescent="0.35">
      <c r="A480" t="s">
        <v>508</v>
      </c>
      <c r="B480" t="s">
        <v>747</v>
      </c>
      <c r="C480">
        <v>5778</v>
      </c>
      <c r="D480">
        <v>5378</v>
      </c>
      <c r="E480">
        <f>Table2[[#This Row],[Due_Amount]]-Table2[[#This Row],[Paid_Amount]]</f>
        <v>400</v>
      </c>
      <c r="F480" s="1">
        <v>45798</v>
      </c>
      <c r="G480">
        <v>15</v>
      </c>
      <c r="H480">
        <f>Table2[[#This Row],[Due_Amount]]*Table2[[#This Row],[Delay_Days]]</f>
        <v>86670</v>
      </c>
      <c r="I480" s="3" t="str">
        <f>IF(Table2[[#This Row],[Delay_Days]]=0,"On Time",IF(Table2[[#This Row],[Delay_Days]]&lt;=7,"Low Risk(1-7)",IF(Table2[[#This Row],[Delay_Days]]&lt;=15,"Medium Risk(8-15)",IF(Table2[[#This Row],[Delay_Days]]&lt;=30,"High Risk(16-30)","Severe Risk(30+)"))))</f>
        <v>Medium Risk(8-15)</v>
      </c>
      <c r="J480" s="5">
        <f>AVERAGE(Table2[Due_Amount])</f>
        <v>4635.1866666666665</v>
      </c>
      <c r="K480" s="5">
        <f>Table2[[#This Row],[Estimated_Market_Rent]]-Table2[[#This Row],[Due_Amount]]</f>
        <v>-1142.8133333333335</v>
      </c>
      <c r="L480" s="6">
        <f>IF(Table2[[#This Row],[Current Rent Gap]]&gt;0,Table2[[#This Row],[Current Rent Gap]]/Table2[[#This Row],[Estimated_Market_Rent]],0)</f>
        <v>0</v>
      </c>
      <c r="M480" s="3" t="str">
        <f>IF(Table2[[#This Row],[Under_Market %]]&gt;0.1,"Underpriced","OK")</f>
        <v>OK</v>
      </c>
      <c r="N480" s="5">
        <f>SUMIFS(Table2[[#This Row],[Current Rent Gap]],Table2[[#This Row],[Current Rent Gap]],"&gt;0")</f>
        <v>0</v>
      </c>
    </row>
    <row r="481" spans="1:14" x14ac:dyDescent="0.35">
      <c r="A481" t="s">
        <v>380</v>
      </c>
      <c r="B481" t="s">
        <v>751</v>
      </c>
      <c r="C481">
        <v>3595</v>
      </c>
      <c r="D481">
        <v>2738</v>
      </c>
      <c r="E481">
        <f>Table2[[#This Row],[Due_Amount]]-Table2[[#This Row],[Paid_Amount]]</f>
        <v>857</v>
      </c>
      <c r="F481" s="1">
        <v>46010</v>
      </c>
      <c r="G481">
        <v>21</v>
      </c>
      <c r="H481">
        <f>Table2[[#This Row],[Due_Amount]]*Table2[[#This Row],[Delay_Days]]</f>
        <v>75495</v>
      </c>
      <c r="I481" s="3" t="str">
        <f>IF(Table2[[#This Row],[Delay_Days]]=0,"On Time",IF(Table2[[#This Row],[Delay_Days]]&lt;=7,"Low Risk(1-7)",IF(Table2[[#This Row],[Delay_Days]]&lt;=15,"Medium Risk(8-15)",IF(Table2[[#This Row],[Delay_Days]]&lt;=30,"High Risk(16-30)","Severe Risk(30+)"))))</f>
        <v>High Risk(16-30)</v>
      </c>
      <c r="J481" s="5">
        <f>AVERAGE(Table2[Due_Amount])</f>
        <v>4635.1866666666665</v>
      </c>
      <c r="K481" s="5">
        <f>Table2[[#This Row],[Estimated_Market_Rent]]-Table2[[#This Row],[Due_Amount]]</f>
        <v>1040.1866666666665</v>
      </c>
      <c r="L481" s="6">
        <f>IF(Table2[[#This Row],[Current Rent Gap]]&gt;0,Table2[[#This Row],[Current Rent Gap]]/Table2[[#This Row],[Estimated_Market_Rent]],0)</f>
        <v>0.22441095504244343</v>
      </c>
      <c r="M481" s="3" t="str">
        <f>IF(Table2[[#This Row],[Under_Market %]]&gt;0.1,"Underpriced","OK")</f>
        <v>Underpriced</v>
      </c>
      <c r="N481" s="5">
        <f>SUMIFS(Table2[[#This Row],[Current Rent Gap]],Table2[[#This Row],[Current Rent Gap]],"&gt;0")</f>
        <v>1040.1866666666665</v>
      </c>
    </row>
    <row r="482" spans="1:14" x14ac:dyDescent="0.35">
      <c r="A482" t="s">
        <v>474</v>
      </c>
      <c r="B482" t="s">
        <v>747</v>
      </c>
      <c r="C482">
        <v>5519</v>
      </c>
      <c r="D482">
        <v>4672</v>
      </c>
      <c r="E482">
        <f>Table2[[#This Row],[Due_Amount]]-Table2[[#This Row],[Paid_Amount]]</f>
        <v>847</v>
      </c>
      <c r="F482" s="1">
        <v>45861</v>
      </c>
      <c r="G482">
        <v>12</v>
      </c>
      <c r="H482">
        <f>Table2[[#This Row],[Due_Amount]]*Table2[[#This Row],[Delay_Days]]</f>
        <v>66228</v>
      </c>
      <c r="I482" s="3" t="str">
        <f>IF(Table2[[#This Row],[Delay_Days]]=0,"On Time",IF(Table2[[#This Row],[Delay_Days]]&lt;=7,"Low Risk(1-7)",IF(Table2[[#This Row],[Delay_Days]]&lt;=15,"Medium Risk(8-15)",IF(Table2[[#This Row],[Delay_Days]]&lt;=30,"High Risk(16-30)","Severe Risk(30+)"))))</f>
        <v>Medium Risk(8-15)</v>
      </c>
      <c r="J482" s="5">
        <f>AVERAGE(Table2[Due_Amount])</f>
        <v>4635.1866666666665</v>
      </c>
      <c r="K482" s="5">
        <f>Table2[[#This Row],[Estimated_Market_Rent]]-Table2[[#This Row],[Due_Amount]]</f>
        <v>-883.8133333333335</v>
      </c>
      <c r="L482" s="6">
        <f>IF(Table2[[#This Row],[Current Rent Gap]]&gt;0,Table2[[#This Row],[Current Rent Gap]]/Table2[[#This Row],[Estimated_Market_Rent]],0)</f>
        <v>0</v>
      </c>
      <c r="M482" s="3" t="str">
        <f>IF(Table2[[#This Row],[Under_Market %]]&gt;0.1,"Underpriced","OK")</f>
        <v>OK</v>
      </c>
      <c r="N482" s="5">
        <f>SUMIFS(Table2[[#This Row],[Current Rent Gap]],Table2[[#This Row],[Current Rent Gap]],"&gt;0")</f>
        <v>0</v>
      </c>
    </row>
    <row r="483" spans="1:14" x14ac:dyDescent="0.35">
      <c r="A483" t="s">
        <v>459</v>
      </c>
      <c r="B483" t="s">
        <v>746</v>
      </c>
      <c r="C483">
        <v>5281</v>
      </c>
      <c r="D483">
        <v>5281</v>
      </c>
      <c r="E483">
        <f>Table2[[#This Row],[Due_Amount]]-Table2[[#This Row],[Paid_Amount]]</f>
        <v>0</v>
      </c>
      <c r="F483" s="1">
        <v>45793</v>
      </c>
      <c r="G483">
        <v>1</v>
      </c>
      <c r="H483">
        <f>Table2[[#This Row],[Due_Amount]]*Table2[[#This Row],[Delay_Days]]</f>
        <v>5281</v>
      </c>
      <c r="I483" s="3" t="str">
        <f>IF(Table2[[#This Row],[Delay_Days]]=0,"On Time",IF(Table2[[#This Row],[Delay_Days]]&lt;=7,"Low Risk(1-7)",IF(Table2[[#This Row],[Delay_Days]]&lt;=15,"Medium Risk(8-15)",IF(Table2[[#This Row],[Delay_Days]]&lt;=30,"High Risk(16-30)","Severe Risk(30+)"))))</f>
        <v>Low Risk(1-7)</v>
      </c>
      <c r="J483" s="5">
        <f>AVERAGE(Table2[Due_Amount])</f>
        <v>4635.1866666666665</v>
      </c>
      <c r="K483" s="5">
        <f>Table2[[#This Row],[Estimated_Market_Rent]]-Table2[[#This Row],[Due_Amount]]</f>
        <v>-645.8133333333335</v>
      </c>
      <c r="L483" s="6">
        <f>IF(Table2[[#This Row],[Current Rent Gap]]&gt;0,Table2[[#This Row],[Current Rent Gap]]/Table2[[#This Row],[Estimated_Market_Rent]],0)</f>
        <v>0</v>
      </c>
      <c r="M483" s="3" t="str">
        <f>IF(Table2[[#This Row],[Under_Market %]]&gt;0.1,"Underpriced","OK")</f>
        <v>OK</v>
      </c>
      <c r="N483" s="5">
        <f>SUMIFS(Table2[[#This Row],[Current Rent Gap]],Table2[[#This Row],[Current Rent Gap]],"&gt;0")</f>
        <v>0</v>
      </c>
    </row>
    <row r="484" spans="1:14" x14ac:dyDescent="0.35">
      <c r="A484" t="s">
        <v>598</v>
      </c>
      <c r="B484" t="s">
        <v>752</v>
      </c>
      <c r="C484">
        <v>2784</v>
      </c>
      <c r="D484">
        <v>2418</v>
      </c>
      <c r="E484">
        <f>Table2[[#This Row],[Due_Amount]]-Table2[[#This Row],[Paid_Amount]]</f>
        <v>366</v>
      </c>
      <c r="F484" s="1">
        <v>45949</v>
      </c>
      <c r="G484">
        <v>13</v>
      </c>
      <c r="H484">
        <f>Table2[[#This Row],[Due_Amount]]*Table2[[#This Row],[Delay_Days]]</f>
        <v>36192</v>
      </c>
      <c r="I484" s="3" t="str">
        <f>IF(Table2[[#This Row],[Delay_Days]]=0,"On Time",IF(Table2[[#This Row],[Delay_Days]]&lt;=7,"Low Risk(1-7)",IF(Table2[[#This Row],[Delay_Days]]&lt;=15,"Medium Risk(8-15)",IF(Table2[[#This Row],[Delay_Days]]&lt;=30,"High Risk(16-30)","Severe Risk(30+)"))))</f>
        <v>Medium Risk(8-15)</v>
      </c>
      <c r="J484" s="5">
        <f>AVERAGE(Table2[Due_Amount])</f>
        <v>4635.1866666666665</v>
      </c>
      <c r="K484" s="5">
        <f>Table2[[#This Row],[Estimated_Market_Rent]]-Table2[[#This Row],[Due_Amount]]</f>
        <v>1851.1866666666665</v>
      </c>
      <c r="L484" s="6">
        <f>IF(Table2[[#This Row],[Current Rent Gap]]&gt;0,Table2[[#This Row],[Current Rent Gap]]/Table2[[#This Row],[Estimated_Market_Rent]],0)</f>
        <v>0.39937693987153339</v>
      </c>
      <c r="M484" s="3" t="str">
        <f>IF(Table2[[#This Row],[Under_Market %]]&gt;0.1,"Underpriced","OK")</f>
        <v>Underpriced</v>
      </c>
      <c r="N484" s="5">
        <f>SUMIFS(Table2[[#This Row],[Current Rent Gap]],Table2[[#This Row],[Current Rent Gap]],"&gt;0")</f>
        <v>1851.1866666666665</v>
      </c>
    </row>
    <row r="485" spans="1:14" x14ac:dyDescent="0.35">
      <c r="A485" t="s">
        <v>634</v>
      </c>
      <c r="B485" t="s">
        <v>745</v>
      </c>
      <c r="C485">
        <v>4747</v>
      </c>
      <c r="D485">
        <v>4747</v>
      </c>
      <c r="E485">
        <f>Table2[[#This Row],[Due_Amount]]-Table2[[#This Row],[Paid_Amount]]</f>
        <v>0</v>
      </c>
      <c r="F485" s="1">
        <v>45997</v>
      </c>
      <c r="G485">
        <v>18</v>
      </c>
      <c r="H485">
        <f>Table2[[#This Row],[Due_Amount]]*Table2[[#This Row],[Delay_Days]]</f>
        <v>85446</v>
      </c>
      <c r="I485" s="3" t="str">
        <f>IF(Table2[[#This Row],[Delay_Days]]=0,"On Time",IF(Table2[[#This Row],[Delay_Days]]&lt;=7,"Low Risk(1-7)",IF(Table2[[#This Row],[Delay_Days]]&lt;=15,"Medium Risk(8-15)",IF(Table2[[#This Row],[Delay_Days]]&lt;=30,"High Risk(16-30)","Severe Risk(30+)"))))</f>
        <v>High Risk(16-30)</v>
      </c>
      <c r="J485" s="5">
        <f>AVERAGE(Table2[Due_Amount])</f>
        <v>4635.1866666666665</v>
      </c>
      <c r="K485" s="5">
        <f>Table2[[#This Row],[Estimated_Market_Rent]]-Table2[[#This Row],[Due_Amount]]</f>
        <v>-111.8133333333335</v>
      </c>
      <c r="L485" s="6">
        <f>IF(Table2[[#This Row],[Current Rent Gap]]&gt;0,Table2[[#This Row],[Current Rent Gap]]/Table2[[#This Row],[Estimated_Market_Rent]],0)</f>
        <v>0</v>
      </c>
      <c r="M485" s="3" t="str">
        <f>IF(Table2[[#This Row],[Under_Market %]]&gt;0.1,"Underpriced","OK")</f>
        <v>OK</v>
      </c>
      <c r="N485" s="5">
        <f>SUMIFS(Table2[[#This Row],[Current Rent Gap]],Table2[[#This Row],[Current Rent Gap]],"&gt;0")</f>
        <v>0</v>
      </c>
    </row>
    <row r="486" spans="1:14" x14ac:dyDescent="0.35">
      <c r="A486" t="s">
        <v>315</v>
      </c>
      <c r="B486" t="s">
        <v>744</v>
      </c>
      <c r="C486">
        <v>4735</v>
      </c>
      <c r="D486">
        <v>4623</v>
      </c>
      <c r="E486">
        <f>Table2[[#This Row],[Due_Amount]]-Table2[[#This Row],[Paid_Amount]]</f>
        <v>112</v>
      </c>
      <c r="F486" s="1">
        <v>45877</v>
      </c>
      <c r="G486">
        <v>22</v>
      </c>
      <c r="H486">
        <f>Table2[[#This Row],[Due_Amount]]*Table2[[#This Row],[Delay_Days]]</f>
        <v>104170</v>
      </c>
      <c r="I486" s="3" t="str">
        <f>IF(Table2[[#This Row],[Delay_Days]]=0,"On Time",IF(Table2[[#This Row],[Delay_Days]]&lt;=7,"Low Risk(1-7)",IF(Table2[[#This Row],[Delay_Days]]&lt;=15,"Medium Risk(8-15)",IF(Table2[[#This Row],[Delay_Days]]&lt;=30,"High Risk(16-30)","Severe Risk(30+)"))))</f>
        <v>High Risk(16-30)</v>
      </c>
      <c r="J486" s="5">
        <f>AVERAGE(Table2[Due_Amount])</f>
        <v>4635.1866666666665</v>
      </c>
      <c r="K486" s="5">
        <f>Table2[[#This Row],[Estimated_Market_Rent]]-Table2[[#This Row],[Due_Amount]]</f>
        <v>-99.813333333333503</v>
      </c>
      <c r="L486" s="6">
        <f>IF(Table2[[#This Row],[Current Rent Gap]]&gt;0,Table2[[#This Row],[Current Rent Gap]]/Table2[[#This Row],[Estimated_Market_Rent]],0)</f>
        <v>0</v>
      </c>
      <c r="M486" s="3" t="str">
        <f>IF(Table2[[#This Row],[Under_Market %]]&gt;0.1,"Underpriced","OK")</f>
        <v>OK</v>
      </c>
      <c r="N486" s="5">
        <f>SUMIFS(Table2[[#This Row],[Current Rent Gap]],Table2[[#This Row],[Current Rent Gap]],"&gt;0")</f>
        <v>0</v>
      </c>
    </row>
    <row r="487" spans="1:14" x14ac:dyDescent="0.35">
      <c r="A487" t="s">
        <v>718</v>
      </c>
      <c r="B487" t="s">
        <v>746</v>
      </c>
      <c r="C487">
        <v>6295</v>
      </c>
      <c r="D487">
        <v>6295</v>
      </c>
      <c r="E487">
        <f>Table2[[#This Row],[Due_Amount]]-Table2[[#This Row],[Paid_Amount]]</f>
        <v>0</v>
      </c>
      <c r="F487" s="1">
        <v>45773</v>
      </c>
      <c r="G487">
        <v>2</v>
      </c>
      <c r="H487">
        <f>Table2[[#This Row],[Due_Amount]]*Table2[[#This Row],[Delay_Days]]</f>
        <v>12590</v>
      </c>
      <c r="I487" s="3" t="str">
        <f>IF(Table2[[#This Row],[Delay_Days]]=0,"On Time",IF(Table2[[#This Row],[Delay_Days]]&lt;=7,"Low Risk(1-7)",IF(Table2[[#This Row],[Delay_Days]]&lt;=15,"Medium Risk(8-15)",IF(Table2[[#This Row],[Delay_Days]]&lt;=30,"High Risk(16-30)","Severe Risk(30+)"))))</f>
        <v>Low Risk(1-7)</v>
      </c>
      <c r="J487" s="5">
        <f>AVERAGE(Table2[Due_Amount])</f>
        <v>4635.1866666666665</v>
      </c>
      <c r="K487" s="5">
        <f>Table2[[#This Row],[Estimated_Market_Rent]]-Table2[[#This Row],[Due_Amount]]</f>
        <v>-1659.8133333333335</v>
      </c>
      <c r="L487" s="6">
        <f>IF(Table2[[#This Row],[Current Rent Gap]]&gt;0,Table2[[#This Row],[Current Rent Gap]]/Table2[[#This Row],[Estimated_Market_Rent]],0)</f>
        <v>0</v>
      </c>
      <c r="M487" s="3" t="str">
        <f>IF(Table2[[#This Row],[Under_Market %]]&gt;0.1,"Underpriced","OK")</f>
        <v>OK</v>
      </c>
      <c r="N487" s="5">
        <f>SUMIFS(Table2[[#This Row],[Current Rent Gap]],Table2[[#This Row],[Current Rent Gap]],"&gt;0")</f>
        <v>0</v>
      </c>
    </row>
    <row r="488" spans="1:14" x14ac:dyDescent="0.35">
      <c r="A488" t="s">
        <v>582</v>
      </c>
      <c r="B488" t="s">
        <v>745</v>
      </c>
      <c r="C488">
        <v>4527</v>
      </c>
      <c r="D488">
        <v>3719</v>
      </c>
      <c r="E488">
        <f>Table2[[#This Row],[Due_Amount]]-Table2[[#This Row],[Paid_Amount]]</f>
        <v>808</v>
      </c>
      <c r="F488" s="1">
        <v>45816</v>
      </c>
      <c r="G488">
        <v>10</v>
      </c>
      <c r="H488">
        <f>Table2[[#This Row],[Due_Amount]]*Table2[[#This Row],[Delay_Days]]</f>
        <v>45270</v>
      </c>
      <c r="I488" s="3" t="str">
        <f>IF(Table2[[#This Row],[Delay_Days]]=0,"On Time",IF(Table2[[#This Row],[Delay_Days]]&lt;=7,"Low Risk(1-7)",IF(Table2[[#This Row],[Delay_Days]]&lt;=15,"Medium Risk(8-15)",IF(Table2[[#This Row],[Delay_Days]]&lt;=30,"High Risk(16-30)","Severe Risk(30+)"))))</f>
        <v>Medium Risk(8-15)</v>
      </c>
      <c r="J488" s="5">
        <f>AVERAGE(Table2[Due_Amount])</f>
        <v>4635.1866666666665</v>
      </c>
      <c r="K488" s="5">
        <f>Table2[[#This Row],[Estimated_Market_Rent]]-Table2[[#This Row],[Due_Amount]]</f>
        <v>108.1866666666665</v>
      </c>
      <c r="L488" s="6">
        <f>IF(Table2[[#This Row],[Current Rent Gap]]&gt;0,Table2[[#This Row],[Current Rent Gap]]/Table2[[#This Row],[Estimated_Market_Rent]],0)</f>
        <v>2.3340304166103307E-2</v>
      </c>
      <c r="M488" s="3" t="str">
        <f>IF(Table2[[#This Row],[Under_Market %]]&gt;0.1,"Underpriced","OK")</f>
        <v>OK</v>
      </c>
      <c r="N488" s="5">
        <f>SUMIFS(Table2[[#This Row],[Current Rent Gap]],Table2[[#This Row],[Current Rent Gap]],"&gt;0")</f>
        <v>108.1866666666665</v>
      </c>
    </row>
    <row r="489" spans="1:14" x14ac:dyDescent="0.35">
      <c r="A489" t="s">
        <v>585</v>
      </c>
      <c r="B489" t="s">
        <v>753</v>
      </c>
      <c r="C489">
        <v>2642</v>
      </c>
      <c r="D489">
        <v>2043</v>
      </c>
      <c r="E489">
        <f>Table2[[#This Row],[Due_Amount]]-Table2[[#This Row],[Paid_Amount]]</f>
        <v>599</v>
      </c>
      <c r="F489" s="1">
        <v>45805</v>
      </c>
      <c r="G489">
        <v>11</v>
      </c>
      <c r="H489">
        <f>Table2[[#This Row],[Due_Amount]]*Table2[[#This Row],[Delay_Days]]</f>
        <v>29062</v>
      </c>
      <c r="I489" s="3" t="str">
        <f>IF(Table2[[#This Row],[Delay_Days]]=0,"On Time",IF(Table2[[#This Row],[Delay_Days]]&lt;=7,"Low Risk(1-7)",IF(Table2[[#This Row],[Delay_Days]]&lt;=15,"Medium Risk(8-15)",IF(Table2[[#This Row],[Delay_Days]]&lt;=30,"High Risk(16-30)","Severe Risk(30+)"))))</f>
        <v>Medium Risk(8-15)</v>
      </c>
      <c r="J489" s="5">
        <f>AVERAGE(Table2[Due_Amount])</f>
        <v>4635.1866666666665</v>
      </c>
      <c r="K489" s="5">
        <f>Table2[[#This Row],[Estimated_Market_Rent]]-Table2[[#This Row],[Due_Amount]]</f>
        <v>1993.1866666666665</v>
      </c>
      <c r="L489" s="6">
        <f>IF(Table2[[#This Row],[Current Rent Gap]]&gt;0,Table2[[#This Row],[Current Rent Gap]]/Table2[[#This Row],[Estimated_Market_Rent]],0)</f>
        <v>0.4300121677947526</v>
      </c>
      <c r="M489" s="3" t="str">
        <f>IF(Table2[[#This Row],[Under_Market %]]&gt;0.1,"Underpriced","OK")</f>
        <v>Underpriced</v>
      </c>
      <c r="N489" s="5">
        <f>SUMIFS(Table2[[#This Row],[Current Rent Gap]],Table2[[#This Row],[Current Rent Gap]],"&gt;0")</f>
        <v>1993.1866666666665</v>
      </c>
    </row>
    <row r="490" spans="1:14" x14ac:dyDescent="0.35">
      <c r="A490" t="s">
        <v>287</v>
      </c>
      <c r="B490" t="s">
        <v>754</v>
      </c>
      <c r="C490">
        <v>2059</v>
      </c>
      <c r="D490">
        <v>2059</v>
      </c>
      <c r="E490">
        <f>Table2[[#This Row],[Due_Amount]]-Table2[[#This Row],[Paid_Amount]]</f>
        <v>0</v>
      </c>
      <c r="F490" s="1">
        <v>45878</v>
      </c>
      <c r="G490">
        <v>4</v>
      </c>
      <c r="H490">
        <f>Table2[[#This Row],[Due_Amount]]*Table2[[#This Row],[Delay_Days]]</f>
        <v>8236</v>
      </c>
      <c r="I490" s="3" t="str">
        <f>IF(Table2[[#This Row],[Delay_Days]]=0,"On Time",IF(Table2[[#This Row],[Delay_Days]]&lt;=7,"Low Risk(1-7)",IF(Table2[[#This Row],[Delay_Days]]&lt;=15,"Medium Risk(8-15)",IF(Table2[[#This Row],[Delay_Days]]&lt;=30,"High Risk(16-30)","Severe Risk(30+)"))))</f>
        <v>Low Risk(1-7)</v>
      </c>
      <c r="J490" s="5">
        <f>AVERAGE(Table2[Due_Amount])</f>
        <v>4635.1866666666665</v>
      </c>
      <c r="K490" s="5">
        <f>Table2[[#This Row],[Estimated_Market_Rent]]-Table2[[#This Row],[Due_Amount]]</f>
        <v>2576.1866666666665</v>
      </c>
      <c r="L490" s="6">
        <f>IF(Table2[[#This Row],[Current Rent Gap]]&gt;0,Table2[[#This Row],[Current Rent Gap]]/Table2[[#This Row],[Estimated_Market_Rent]],0)</f>
        <v>0.55578919511332159</v>
      </c>
      <c r="M490" s="3" t="str">
        <f>IF(Table2[[#This Row],[Under_Market %]]&gt;0.1,"Underpriced","OK")</f>
        <v>Underpriced</v>
      </c>
      <c r="N490" s="5">
        <f>SUMIFS(Table2[[#This Row],[Current Rent Gap]],Table2[[#This Row],[Current Rent Gap]],"&gt;0")</f>
        <v>2576.1866666666665</v>
      </c>
    </row>
    <row r="491" spans="1:14" x14ac:dyDescent="0.35">
      <c r="A491" t="s">
        <v>180</v>
      </c>
      <c r="B491" t="s">
        <v>752</v>
      </c>
      <c r="C491">
        <v>6022</v>
      </c>
      <c r="D491">
        <v>5595</v>
      </c>
      <c r="E491">
        <f>Table2[[#This Row],[Due_Amount]]-Table2[[#This Row],[Paid_Amount]]</f>
        <v>427</v>
      </c>
      <c r="F491" s="1">
        <v>45957</v>
      </c>
      <c r="G491">
        <v>13</v>
      </c>
      <c r="H491">
        <f>Table2[[#This Row],[Due_Amount]]*Table2[[#This Row],[Delay_Days]]</f>
        <v>78286</v>
      </c>
      <c r="I491" s="3" t="str">
        <f>IF(Table2[[#This Row],[Delay_Days]]=0,"On Time",IF(Table2[[#This Row],[Delay_Days]]&lt;=7,"Low Risk(1-7)",IF(Table2[[#This Row],[Delay_Days]]&lt;=15,"Medium Risk(8-15)",IF(Table2[[#This Row],[Delay_Days]]&lt;=30,"High Risk(16-30)","Severe Risk(30+)"))))</f>
        <v>Medium Risk(8-15)</v>
      </c>
      <c r="J491" s="5">
        <f>AVERAGE(Table2[Due_Amount])</f>
        <v>4635.1866666666665</v>
      </c>
      <c r="K491" s="5">
        <f>Table2[[#This Row],[Estimated_Market_Rent]]-Table2[[#This Row],[Due_Amount]]</f>
        <v>-1386.8133333333335</v>
      </c>
      <c r="L491" s="6">
        <f>IF(Table2[[#This Row],[Current Rent Gap]]&gt;0,Table2[[#This Row],[Current Rent Gap]]/Table2[[#This Row],[Estimated_Market_Rent]],0)</f>
        <v>0</v>
      </c>
      <c r="M491" s="3" t="str">
        <f>IF(Table2[[#This Row],[Under_Market %]]&gt;0.1,"Underpriced","OK")</f>
        <v>OK</v>
      </c>
      <c r="N491" s="5">
        <f>SUMIFS(Table2[[#This Row],[Current Rent Gap]],Table2[[#This Row],[Current Rent Gap]],"&gt;0")</f>
        <v>0</v>
      </c>
    </row>
    <row r="492" spans="1:14" x14ac:dyDescent="0.35">
      <c r="A492" t="s">
        <v>243</v>
      </c>
      <c r="B492" t="s">
        <v>750</v>
      </c>
      <c r="C492">
        <v>4258</v>
      </c>
      <c r="D492">
        <v>4258</v>
      </c>
      <c r="E492">
        <f>Table2[[#This Row],[Due_Amount]]-Table2[[#This Row],[Paid_Amount]]</f>
        <v>0</v>
      </c>
      <c r="F492" s="1">
        <v>45741</v>
      </c>
      <c r="G492">
        <v>3</v>
      </c>
      <c r="H492">
        <f>Table2[[#This Row],[Due_Amount]]*Table2[[#This Row],[Delay_Days]]</f>
        <v>12774</v>
      </c>
      <c r="I492" s="3" t="str">
        <f>IF(Table2[[#This Row],[Delay_Days]]=0,"On Time",IF(Table2[[#This Row],[Delay_Days]]&lt;=7,"Low Risk(1-7)",IF(Table2[[#This Row],[Delay_Days]]&lt;=15,"Medium Risk(8-15)",IF(Table2[[#This Row],[Delay_Days]]&lt;=30,"High Risk(16-30)","Severe Risk(30+)"))))</f>
        <v>Low Risk(1-7)</v>
      </c>
      <c r="J492" s="5">
        <f>AVERAGE(Table2[Due_Amount])</f>
        <v>4635.1866666666665</v>
      </c>
      <c r="K492" s="5">
        <f>Table2[[#This Row],[Estimated_Market_Rent]]-Table2[[#This Row],[Due_Amount]]</f>
        <v>377.1866666666665</v>
      </c>
      <c r="L492" s="6">
        <f>IF(Table2[[#This Row],[Current Rent Gap]]&gt;0,Table2[[#This Row],[Current Rent Gap]]/Table2[[#This Row],[Estimated_Market_Rent]],0)</f>
        <v>8.1374644386849548E-2</v>
      </c>
      <c r="M492" s="3" t="str">
        <f>IF(Table2[[#This Row],[Under_Market %]]&gt;0.1,"Underpriced","OK")</f>
        <v>OK</v>
      </c>
      <c r="N492" s="5">
        <f>SUMIFS(Table2[[#This Row],[Current Rent Gap]],Table2[[#This Row],[Current Rent Gap]],"&gt;0")</f>
        <v>377.1866666666665</v>
      </c>
    </row>
    <row r="493" spans="1:14" x14ac:dyDescent="0.35">
      <c r="A493" t="s">
        <v>497</v>
      </c>
      <c r="B493" t="s">
        <v>745</v>
      </c>
      <c r="C493">
        <v>4708</v>
      </c>
      <c r="D493">
        <v>4459</v>
      </c>
      <c r="E493">
        <f>Table2[[#This Row],[Due_Amount]]-Table2[[#This Row],[Paid_Amount]]</f>
        <v>249</v>
      </c>
      <c r="F493" s="1">
        <v>45725</v>
      </c>
      <c r="G493">
        <v>18</v>
      </c>
      <c r="H493">
        <f>Table2[[#This Row],[Due_Amount]]*Table2[[#This Row],[Delay_Days]]</f>
        <v>84744</v>
      </c>
      <c r="I493" s="3" t="str">
        <f>IF(Table2[[#This Row],[Delay_Days]]=0,"On Time",IF(Table2[[#This Row],[Delay_Days]]&lt;=7,"Low Risk(1-7)",IF(Table2[[#This Row],[Delay_Days]]&lt;=15,"Medium Risk(8-15)",IF(Table2[[#This Row],[Delay_Days]]&lt;=30,"High Risk(16-30)","Severe Risk(30+)"))))</f>
        <v>High Risk(16-30)</v>
      </c>
      <c r="J493" s="5">
        <f>AVERAGE(Table2[Due_Amount])</f>
        <v>4635.1866666666665</v>
      </c>
      <c r="K493" s="5">
        <f>Table2[[#This Row],[Estimated_Market_Rent]]-Table2[[#This Row],[Due_Amount]]</f>
        <v>-72.813333333333503</v>
      </c>
      <c r="L493" s="6">
        <f>IF(Table2[[#This Row],[Current Rent Gap]]&gt;0,Table2[[#This Row],[Current Rent Gap]]/Table2[[#This Row],[Estimated_Market_Rent]],0)</f>
        <v>0</v>
      </c>
      <c r="M493" s="3" t="str">
        <f>IF(Table2[[#This Row],[Under_Market %]]&gt;0.1,"Underpriced","OK")</f>
        <v>OK</v>
      </c>
      <c r="N493" s="5">
        <f>SUMIFS(Table2[[#This Row],[Current Rent Gap]],Table2[[#This Row],[Current Rent Gap]],"&gt;0")</f>
        <v>0</v>
      </c>
    </row>
    <row r="494" spans="1:14" x14ac:dyDescent="0.35">
      <c r="A494" t="s">
        <v>249</v>
      </c>
      <c r="B494" t="s">
        <v>752</v>
      </c>
      <c r="C494">
        <v>5444</v>
      </c>
      <c r="D494">
        <v>5370</v>
      </c>
      <c r="E494">
        <f>Table2[[#This Row],[Due_Amount]]-Table2[[#This Row],[Paid_Amount]]</f>
        <v>74</v>
      </c>
      <c r="F494" s="1">
        <v>45685</v>
      </c>
      <c r="G494">
        <v>11</v>
      </c>
      <c r="H494">
        <f>Table2[[#This Row],[Due_Amount]]*Table2[[#This Row],[Delay_Days]]</f>
        <v>59884</v>
      </c>
      <c r="I494" s="3" t="str">
        <f>IF(Table2[[#This Row],[Delay_Days]]=0,"On Time",IF(Table2[[#This Row],[Delay_Days]]&lt;=7,"Low Risk(1-7)",IF(Table2[[#This Row],[Delay_Days]]&lt;=15,"Medium Risk(8-15)",IF(Table2[[#This Row],[Delay_Days]]&lt;=30,"High Risk(16-30)","Severe Risk(30+)"))))</f>
        <v>Medium Risk(8-15)</v>
      </c>
      <c r="J494" s="5">
        <f>AVERAGE(Table2[Due_Amount])</f>
        <v>4635.1866666666665</v>
      </c>
      <c r="K494" s="5">
        <f>Table2[[#This Row],[Estimated_Market_Rent]]-Table2[[#This Row],[Due_Amount]]</f>
        <v>-808.8133333333335</v>
      </c>
      <c r="L494" s="6">
        <f>IF(Table2[[#This Row],[Current Rent Gap]]&gt;0,Table2[[#This Row],[Current Rent Gap]]/Table2[[#This Row],[Estimated_Market_Rent]],0)</f>
        <v>0</v>
      </c>
      <c r="M494" s="3" t="str">
        <f>IF(Table2[[#This Row],[Under_Market %]]&gt;0.1,"Underpriced","OK")</f>
        <v>OK</v>
      </c>
      <c r="N494" s="5">
        <f>SUMIFS(Table2[[#This Row],[Current Rent Gap]],Table2[[#This Row],[Current Rent Gap]],"&gt;0")</f>
        <v>0</v>
      </c>
    </row>
    <row r="495" spans="1:14" x14ac:dyDescent="0.35">
      <c r="A495" t="s">
        <v>674</v>
      </c>
      <c r="B495" t="s">
        <v>749</v>
      </c>
      <c r="C495">
        <v>2737</v>
      </c>
      <c r="D495">
        <v>2737</v>
      </c>
      <c r="E495">
        <f>Table2[[#This Row],[Due_Amount]]-Table2[[#This Row],[Paid_Amount]]</f>
        <v>0</v>
      </c>
      <c r="F495" s="1">
        <v>45923</v>
      </c>
      <c r="G495">
        <v>8</v>
      </c>
      <c r="H495">
        <f>Table2[[#This Row],[Due_Amount]]*Table2[[#This Row],[Delay_Days]]</f>
        <v>21896</v>
      </c>
      <c r="I495" s="3" t="str">
        <f>IF(Table2[[#This Row],[Delay_Days]]=0,"On Time",IF(Table2[[#This Row],[Delay_Days]]&lt;=7,"Low Risk(1-7)",IF(Table2[[#This Row],[Delay_Days]]&lt;=15,"Medium Risk(8-15)",IF(Table2[[#This Row],[Delay_Days]]&lt;=30,"High Risk(16-30)","Severe Risk(30+)"))))</f>
        <v>Medium Risk(8-15)</v>
      </c>
      <c r="J495" s="5">
        <f>AVERAGE(Table2[Due_Amount])</f>
        <v>4635.1866666666665</v>
      </c>
      <c r="K495" s="5">
        <f>Table2[[#This Row],[Estimated_Market_Rent]]-Table2[[#This Row],[Due_Amount]]</f>
        <v>1898.1866666666665</v>
      </c>
      <c r="L495" s="6">
        <f>IF(Table2[[#This Row],[Current Rent Gap]]&gt;0,Table2[[#This Row],[Current Rent Gap]]/Table2[[#This Row],[Estimated_Market_Rent]],0)</f>
        <v>0.40951676883203553</v>
      </c>
      <c r="M495" s="3" t="str">
        <f>IF(Table2[[#This Row],[Under_Market %]]&gt;0.1,"Underpriced","OK")</f>
        <v>Underpriced</v>
      </c>
      <c r="N495" s="5">
        <f>SUMIFS(Table2[[#This Row],[Current Rent Gap]],Table2[[#This Row],[Current Rent Gap]],"&gt;0")</f>
        <v>1898.1866666666665</v>
      </c>
    </row>
    <row r="496" spans="1:14" x14ac:dyDescent="0.35">
      <c r="A496" t="s">
        <v>41</v>
      </c>
      <c r="B496" t="s">
        <v>749</v>
      </c>
      <c r="C496">
        <v>5659</v>
      </c>
      <c r="D496">
        <v>5659</v>
      </c>
      <c r="E496">
        <f>Table2[[#This Row],[Due_Amount]]-Table2[[#This Row],[Paid_Amount]]</f>
        <v>0</v>
      </c>
      <c r="F496" s="1">
        <v>45954</v>
      </c>
      <c r="G496">
        <v>0</v>
      </c>
      <c r="H496">
        <f>Table2[[#This Row],[Due_Amount]]*Table2[[#This Row],[Delay_Days]]</f>
        <v>0</v>
      </c>
      <c r="I496" s="3" t="str">
        <f>IF(Table2[[#This Row],[Delay_Days]]=0,"On Time",IF(Table2[[#This Row],[Delay_Days]]&lt;=7,"Low Risk(1-7)",IF(Table2[[#This Row],[Delay_Days]]&lt;=15,"Medium Risk(8-15)",IF(Table2[[#This Row],[Delay_Days]]&lt;=30,"High Risk(16-30)","Severe Risk(30+)"))))</f>
        <v>On Time</v>
      </c>
      <c r="J496" s="5">
        <f>AVERAGE(Table2[Due_Amount])</f>
        <v>4635.1866666666665</v>
      </c>
      <c r="K496" s="5">
        <f>Table2[[#This Row],[Estimated_Market_Rent]]-Table2[[#This Row],[Due_Amount]]</f>
        <v>-1023.8133333333335</v>
      </c>
      <c r="L496" s="6">
        <f>IF(Table2[[#This Row],[Current Rent Gap]]&gt;0,Table2[[#This Row],[Current Rent Gap]]/Table2[[#This Row],[Estimated_Market_Rent]],0)</f>
        <v>0</v>
      </c>
      <c r="M496" s="3" t="str">
        <f>IF(Table2[[#This Row],[Under_Market %]]&gt;0.1,"Underpriced","OK")</f>
        <v>OK</v>
      </c>
      <c r="N496" s="5">
        <f>SUMIFS(Table2[[#This Row],[Current Rent Gap]],Table2[[#This Row],[Current Rent Gap]],"&gt;0")</f>
        <v>0</v>
      </c>
    </row>
    <row r="497" spans="1:14" x14ac:dyDescent="0.35">
      <c r="A497" t="s">
        <v>52</v>
      </c>
      <c r="B497" t="s">
        <v>743</v>
      </c>
      <c r="C497">
        <v>3418</v>
      </c>
      <c r="D497">
        <v>3008</v>
      </c>
      <c r="E497">
        <f>Table2[[#This Row],[Due_Amount]]-Table2[[#This Row],[Paid_Amount]]</f>
        <v>410</v>
      </c>
      <c r="F497" s="1">
        <v>45995</v>
      </c>
      <c r="G497">
        <v>20</v>
      </c>
      <c r="H497">
        <f>Table2[[#This Row],[Due_Amount]]*Table2[[#This Row],[Delay_Days]]</f>
        <v>68360</v>
      </c>
      <c r="I497" s="3" t="str">
        <f>IF(Table2[[#This Row],[Delay_Days]]=0,"On Time",IF(Table2[[#This Row],[Delay_Days]]&lt;=7,"Low Risk(1-7)",IF(Table2[[#This Row],[Delay_Days]]&lt;=15,"Medium Risk(8-15)",IF(Table2[[#This Row],[Delay_Days]]&lt;=30,"High Risk(16-30)","Severe Risk(30+)"))))</f>
        <v>High Risk(16-30)</v>
      </c>
      <c r="J497" s="5">
        <f>AVERAGE(Table2[Due_Amount])</f>
        <v>4635.1866666666665</v>
      </c>
      <c r="K497" s="5">
        <f>Table2[[#This Row],[Estimated_Market_Rent]]-Table2[[#This Row],[Due_Amount]]</f>
        <v>1217.1866666666665</v>
      </c>
      <c r="L497" s="6">
        <f>IF(Table2[[#This Row],[Current Rent Gap]]&gt;0,Table2[[#This Row],[Current Rent Gap]]/Table2[[#This Row],[Estimated_Market_Rent]],0)</f>
        <v>0.26259711942561104</v>
      </c>
      <c r="M497" s="3" t="str">
        <f>IF(Table2[[#This Row],[Under_Market %]]&gt;0.1,"Underpriced","OK")</f>
        <v>Underpriced</v>
      </c>
      <c r="N497" s="5">
        <f>SUMIFS(Table2[[#This Row],[Current Rent Gap]],Table2[[#This Row],[Current Rent Gap]],"&gt;0")</f>
        <v>1217.1866666666665</v>
      </c>
    </row>
    <row r="498" spans="1:14" x14ac:dyDescent="0.35">
      <c r="A498" t="s">
        <v>626</v>
      </c>
      <c r="B498" t="s">
        <v>752</v>
      </c>
      <c r="C498">
        <v>5945</v>
      </c>
      <c r="D498">
        <v>5926</v>
      </c>
      <c r="E498">
        <f>Table2[[#This Row],[Due_Amount]]-Table2[[#This Row],[Paid_Amount]]</f>
        <v>19</v>
      </c>
      <c r="F498" s="1">
        <v>45846</v>
      </c>
      <c r="G498">
        <v>17</v>
      </c>
      <c r="H498">
        <f>Table2[[#This Row],[Due_Amount]]*Table2[[#This Row],[Delay_Days]]</f>
        <v>101065</v>
      </c>
      <c r="I498" s="3" t="str">
        <f>IF(Table2[[#This Row],[Delay_Days]]=0,"On Time",IF(Table2[[#This Row],[Delay_Days]]&lt;=7,"Low Risk(1-7)",IF(Table2[[#This Row],[Delay_Days]]&lt;=15,"Medium Risk(8-15)",IF(Table2[[#This Row],[Delay_Days]]&lt;=30,"High Risk(16-30)","Severe Risk(30+)"))))</f>
        <v>High Risk(16-30)</v>
      </c>
      <c r="J498" s="5">
        <f>AVERAGE(Table2[Due_Amount])</f>
        <v>4635.1866666666665</v>
      </c>
      <c r="K498" s="5">
        <f>Table2[[#This Row],[Estimated_Market_Rent]]-Table2[[#This Row],[Due_Amount]]</f>
        <v>-1309.8133333333335</v>
      </c>
      <c r="L498" s="6">
        <f>IF(Table2[[#This Row],[Current Rent Gap]]&gt;0,Table2[[#This Row],[Current Rent Gap]]/Table2[[#This Row],[Estimated_Market_Rent]],0)</f>
        <v>0</v>
      </c>
      <c r="M498" s="3" t="str">
        <f>IF(Table2[[#This Row],[Under_Market %]]&gt;0.1,"Underpriced","OK")</f>
        <v>OK</v>
      </c>
      <c r="N498" s="5">
        <f>SUMIFS(Table2[[#This Row],[Current Rent Gap]],Table2[[#This Row],[Current Rent Gap]],"&gt;0")</f>
        <v>0</v>
      </c>
    </row>
    <row r="499" spans="1:14" x14ac:dyDescent="0.35">
      <c r="A499" t="s">
        <v>255</v>
      </c>
      <c r="B499" t="s">
        <v>748</v>
      </c>
      <c r="C499">
        <v>4537</v>
      </c>
      <c r="D499">
        <v>4537</v>
      </c>
      <c r="E499">
        <f>Table2[[#This Row],[Due_Amount]]-Table2[[#This Row],[Paid_Amount]]</f>
        <v>0</v>
      </c>
      <c r="F499" s="1">
        <v>45895</v>
      </c>
      <c r="G499">
        <v>3</v>
      </c>
      <c r="H499">
        <f>Table2[[#This Row],[Due_Amount]]*Table2[[#This Row],[Delay_Days]]</f>
        <v>13611</v>
      </c>
      <c r="I499" s="3" t="str">
        <f>IF(Table2[[#This Row],[Delay_Days]]=0,"On Time",IF(Table2[[#This Row],[Delay_Days]]&lt;=7,"Low Risk(1-7)",IF(Table2[[#This Row],[Delay_Days]]&lt;=15,"Medium Risk(8-15)",IF(Table2[[#This Row],[Delay_Days]]&lt;=30,"High Risk(16-30)","Severe Risk(30+)"))))</f>
        <v>Low Risk(1-7)</v>
      </c>
      <c r="J499" s="5">
        <f>AVERAGE(Table2[Due_Amount])</f>
        <v>4635.1866666666665</v>
      </c>
      <c r="K499" s="5">
        <f>Table2[[#This Row],[Estimated_Market_Rent]]-Table2[[#This Row],[Due_Amount]]</f>
        <v>98.186666666666497</v>
      </c>
      <c r="L499" s="6">
        <f>IF(Table2[[#This Row],[Current Rent Gap]]&gt;0,Table2[[#This Row],[Current Rent Gap]]/Table2[[#This Row],[Estimated_Market_Rent]],0)</f>
        <v>2.1182893748975196E-2</v>
      </c>
      <c r="M499" s="3" t="str">
        <f>IF(Table2[[#This Row],[Under_Market %]]&gt;0.1,"Underpriced","OK")</f>
        <v>OK</v>
      </c>
      <c r="N499" s="5">
        <f>SUMIFS(Table2[[#This Row],[Current Rent Gap]],Table2[[#This Row],[Current Rent Gap]],"&gt;0")</f>
        <v>98.186666666666497</v>
      </c>
    </row>
    <row r="500" spans="1:14" x14ac:dyDescent="0.35">
      <c r="A500" t="s">
        <v>308</v>
      </c>
      <c r="B500" t="s">
        <v>750</v>
      </c>
      <c r="C500">
        <v>2695</v>
      </c>
      <c r="D500">
        <v>2695</v>
      </c>
      <c r="E500">
        <f>Table2[[#This Row],[Due_Amount]]-Table2[[#This Row],[Paid_Amount]]</f>
        <v>0</v>
      </c>
      <c r="F500" s="1">
        <v>45780</v>
      </c>
      <c r="G500">
        <v>7</v>
      </c>
      <c r="H500">
        <f>Table2[[#This Row],[Due_Amount]]*Table2[[#This Row],[Delay_Days]]</f>
        <v>18865</v>
      </c>
      <c r="I500" s="3" t="str">
        <f>IF(Table2[[#This Row],[Delay_Days]]=0,"On Time",IF(Table2[[#This Row],[Delay_Days]]&lt;=7,"Low Risk(1-7)",IF(Table2[[#This Row],[Delay_Days]]&lt;=15,"Medium Risk(8-15)",IF(Table2[[#This Row],[Delay_Days]]&lt;=30,"High Risk(16-30)","Severe Risk(30+)"))))</f>
        <v>Low Risk(1-7)</v>
      </c>
      <c r="J500" s="5">
        <f>AVERAGE(Table2[Due_Amount])</f>
        <v>4635.1866666666665</v>
      </c>
      <c r="K500" s="5">
        <f>Table2[[#This Row],[Estimated_Market_Rent]]-Table2[[#This Row],[Due_Amount]]</f>
        <v>1940.1866666666665</v>
      </c>
      <c r="L500" s="6">
        <f>IF(Table2[[#This Row],[Current Rent Gap]]&gt;0,Table2[[#This Row],[Current Rent Gap]]/Table2[[#This Row],[Estimated_Market_Rent]],0)</f>
        <v>0.4185778925839736</v>
      </c>
      <c r="M500" s="3" t="str">
        <f>IF(Table2[[#This Row],[Under_Market %]]&gt;0.1,"Underpriced","OK")</f>
        <v>Underpriced</v>
      </c>
      <c r="N500" s="5">
        <f>SUMIFS(Table2[[#This Row],[Current Rent Gap]],Table2[[#This Row],[Current Rent Gap]],"&gt;0")</f>
        <v>1940.1866666666665</v>
      </c>
    </row>
    <row r="501" spans="1:14" x14ac:dyDescent="0.35">
      <c r="A501" t="s">
        <v>623</v>
      </c>
      <c r="B501" t="s">
        <v>751</v>
      </c>
      <c r="C501">
        <v>2681</v>
      </c>
      <c r="D501">
        <v>2448</v>
      </c>
      <c r="E501">
        <f>Table2[[#This Row],[Due_Amount]]-Table2[[#This Row],[Paid_Amount]]</f>
        <v>233</v>
      </c>
      <c r="F501" s="1">
        <v>45866</v>
      </c>
      <c r="G501">
        <v>16</v>
      </c>
      <c r="H501">
        <f>Table2[[#This Row],[Due_Amount]]*Table2[[#This Row],[Delay_Days]]</f>
        <v>42896</v>
      </c>
      <c r="I501" s="3" t="str">
        <f>IF(Table2[[#This Row],[Delay_Days]]=0,"On Time",IF(Table2[[#This Row],[Delay_Days]]&lt;=7,"Low Risk(1-7)",IF(Table2[[#This Row],[Delay_Days]]&lt;=15,"Medium Risk(8-15)",IF(Table2[[#This Row],[Delay_Days]]&lt;=30,"High Risk(16-30)","Severe Risk(30+)"))))</f>
        <v>High Risk(16-30)</v>
      </c>
      <c r="J501" s="5">
        <f>AVERAGE(Table2[Due_Amount])</f>
        <v>4635.1866666666665</v>
      </c>
      <c r="K501" s="5">
        <f>Table2[[#This Row],[Estimated_Market_Rent]]-Table2[[#This Row],[Due_Amount]]</f>
        <v>1954.1866666666665</v>
      </c>
      <c r="L501" s="6">
        <f>IF(Table2[[#This Row],[Current Rent Gap]]&gt;0,Table2[[#This Row],[Current Rent Gap]]/Table2[[#This Row],[Estimated_Market_Rent]],0)</f>
        <v>0.42159826716795296</v>
      </c>
      <c r="M501" s="3" t="str">
        <f>IF(Table2[[#This Row],[Under_Market %]]&gt;0.1,"Underpriced","OK")</f>
        <v>Underpriced</v>
      </c>
      <c r="N501" s="5">
        <f>SUMIFS(Table2[[#This Row],[Current Rent Gap]],Table2[[#This Row],[Current Rent Gap]],"&gt;0")</f>
        <v>1954.1866666666665</v>
      </c>
    </row>
    <row r="502" spans="1:14" x14ac:dyDescent="0.35">
      <c r="A502" t="s">
        <v>63</v>
      </c>
      <c r="B502" t="s">
        <v>753</v>
      </c>
      <c r="C502">
        <v>4969</v>
      </c>
      <c r="D502">
        <v>4586</v>
      </c>
      <c r="E502">
        <f>Table2[[#This Row],[Due_Amount]]-Table2[[#This Row],[Paid_Amount]]</f>
        <v>383</v>
      </c>
      <c r="F502" s="1">
        <v>45964</v>
      </c>
      <c r="G502">
        <v>15</v>
      </c>
      <c r="H502">
        <f>Table2[[#This Row],[Due_Amount]]*Table2[[#This Row],[Delay_Days]]</f>
        <v>74535</v>
      </c>
      <c r="I502" s="3" t="str">
        <f>IF(Table2[[#This Row],[Delay_Days]]=0,"On Time",IF(Table2[[#This Row],[Delay_Days]]&lt;=7,"Low Risk(1-7)",IF(Table2[[#This Row],[Delay_Days]]&lt;=15,"Medium Risk(8-15)",IF(Table2[[#This Row],[Delay_Days]]&lt;=30,"High Risk(16-30)","Severe Risk(30+)"))))</f>
        <v>Medium Risk(8-15)</v>
      </c>
      <c r="J502" s="5">
        <f>AVERAGE(Table2[Due_Amount])</f>
        <v>4635.1866666666665</v>
      </c>
      <c r="K502" s="5">
        <f>Table2[[#This Row],[Estimated_Market_Rent]]-Table2[[#This Row],[Due_Amount]]</f>
        <v>-333.8133333333335</v>
      </c>
      <c r="L502" s="6">
        <f>IF(Table2[[#This Row],[Current Rent Gap]]&gt;0,Table2[[#This Row],[Current Rent Gap]]/Table2[[#This Row],[Estimated_Market_Rent]],0)</f>
        <v>0</v>
      </c>
      <c r="M502" s="3" t="str">
        <f>IF(Table2[[#This Row],[Under_Market %]]&gt;0.1,"Underpriced","OK")</f>
        <v>OK</v>
      </c>
      <c r="N502" s="5">
        <f>SUMIFS(Table2[[#This Row],[Current Rent Gap]],Table2[[#This Row],[Current Rent Gap]],"&gt;0")</f>
        <v>0</v>
      </c>
    </row>
    <row r="503" spans="1:14" x14ac:dyDescent="0.35">
      <c r="A503" t="s">
        <v>52</v>
      </c>
      <c r="B503" t="s">
        <v>752</v>
      </c>
      <c r="C503">
        <v>6397</v>
      </c>
      <c r="D503">
        <v>5785</v>
      </c>
      <c r="E503">
        <f>Table2[[#This Row],[Due_Amount]]-Table2[[#This Row],[Paid_Amount]]</f>
        <v>612</v>
      </c>
      <c r="F503" s="1">
        <v>45773</v>
      </c>
      <c r="G503">
        <v>17</v>
      </c>
      <c r="H503">
        <f>Table2[[#This Row],[Due_Amount]]*Table2[[#This Row],[Delay_Days]]</f>
        <v>108749</v>
      </c>
      <c r="I503" s="3" t="str">
        <f>IF(Table2[[#This Row],[Delay_Days]]=0,"On Time",IF(Table2[[#This Row],[Delay_Days]]&lt;=7,"Low Risk(1-7)",IF(Table2[[#This Row],[Delay_Days]]&lt;=15,"Medium Risk(8-15)",IF(Table2[[#This Row],[Delay_Days]]&lt;=30,"High Risk(16-30)","Severe Risk(30+)"))))</f>
        <v>High Risk(16-30)</v>
      </c>
      <c r="J503" s="5">
        <f>AVERAGE(Table2[Due_Amount])</f>
        <v>4635.1866666666665</v>
      </c>
      <c r="K503" s="5">
        <f>Table2[[#This Row],[Estimated_Market_Rent]]-Table2[[#This Row],[Due_Amount]]</f>
        <v>-1761.8133333333335</v>
      </c>
      <c r="L503" s="6">
        <f>IF(Table2[[#This Row],[Current Rent Gap]]&gt;0,Table2[[#This Row],[Current Rent Gap]]/Table2[[#This Row],[Estimated_Market_Rent]],0)</f>
        <v>0</v>
      </c>
      <c r="M503" s="3" t="str">
        <f>IF(Table2[[#This Row],[Under_Market %]]&gt;0.1,"Underpriced","OK")</f>
        <v>OK</v>
      </c>
      <c r="N503" s="5">
        <f>SUMIFS(Table2[[#This Row],[Current Rent Gap]],Table2[[#This Row],[Current Rent Gap]],"&gt;0")</f>
        <v>0</v>
      </c>
    </row>
    <row r="504" spans="1:14" x14ac:dyDescent="0.35">
      <c r="A504" t="s">
        <v>371</v>
      </c>
      <c r="B504" t="s">
        <v>746</v>
      </c>
      <c r="C504">
        <v>5705</v>
      </c>
      <c r="D504">
        <v>5346</v>
      </c>
      <c r="E504">
        <f>Table2[[#This Row],[Due_Amount]]-Table2[[#This Row],[Paid_Amount]]</f>
        <v>359</v>
      </c>
      <c r="F504" s="1">
        <v>45803</v>
      </c>
      <c r="G504">
        <v>21</v>
      </c>
      <c r="H504">
        <f>Table2[[#This Row],[Due_Amount]]*Table2[[#This Row],[Delay_Days]]</f>
        <v>119805</v>
      </c>
      <c r="I504" s="3" t="str">
        <f>IF(Table2[[#This Row],[Delay_Days]]=0,"On Time",IF(Table2[[#This Row],[Delay_Days]]&lt;=7,"Low Risk(1-7)",IF(Table2[[#This Row],[Delay_Days]]&lt;=15,"Medium Risk(8-15)",IF(Table2[[#This Row],[Delay_Days]]&lt;=30,"High Risk(16-30)","Severe Risk(30+)"))))</f>
        <v>High Risk(16-30)</v>
      </c>
      <c r="J504" s="5">
        <f>AVERAGE(Table2[Due_Amount])</f>
        <v>4635.1866666666665</v>
      </c>
      <c r="K504" s="5">
        <f>Table2[[#This Row],[Estimated_Market_Rent]]-Table2[[#This Row],[Due_Amount]]</f>
        <v>-1069.8133333333335</v>
      </c>
      <c r="L504" s="6">
        <f>IF(Table2[[#This Row],[Current Rent Gap]]&gt;0,Table2[[#This Row],[Current Rent Gap]]/Table2[[#This Row],[Estimated_Market_Rent]],0)</f>
        <v>0</v>
      </c>
      <c r="M504" s="3" t="str">
        <f>IF(Table2[[#This Row],[Under_Market %]]&gt;0.1,"Underpriced","OK")</f>
        <v>OK</v>
      </c>
      <c r="N504" s="5">
        <f>SUMIFS(Table2[[#This Row],[Current Rent Gap]],Table2[[#This Row],[Current Rent Gap]],"&gt;0")</f>
        <v>0</v>
      </c>
    </row>
    <row r="505" spans="1:14" x14ac:dyDescent="0.35">
      <c r="A505" t="s">
        <v>485</v>
      </c>
      <c r="B505" t="s">
        <v>751</v>
      </c>
      <c r="C505">
        <v>3780</v>
      </c>
      <c r="D505">
        <v>3780</v>
      </c>
      <c r="E505">
        <f>Table2[[#This Row],[Due_Amount]]-Table2[[#This Row],[Paid_Amount]]</f>
        <v>0</v>
      </c>
      <c r="F505" s="1">
        <v>45950</v>
      </c>
      <c r="G505">
        <v>3</v>
      </c>
      <c r="H505">
        <f>Table2[[#This Row],[Due_Amount]]*Table2[[#This Row],[Delay_Days]]</f>
        <v>11340</v>
      </c>
      <c r="I505" s="3" t="str">
        <f>IF(Table2[[#This Row],[Delay_Days]]=0,"On Time",IF(Table2[[#This Row],[Delay_Days]]&lt;=7,"Low Risk(1-7)",IF(Table2[[#This Row],[Delay_Days]]&lt;=15,"Medium Risk(8-15)",IF(Table2[[#This Row],[Delay_Days]]&lt;=30,"High Risk(16-30)","Severe Risk(30+)"))))</f>
        <v>Low Risk(1-7)</v>
      </c>
      <c r="J505" s="5">
        <f>AVERAGE(Table2[Due_Amount])</f>
        <v>4635.1866666666665</v>
      </c>
      <c r="K505" s="5">
        <f>Table2[[#This Row],[Estimated_Market_Rent]]-Table2[[#This Row],[Due_Amount]]</f>
        <v>855.1866666666665</v>
      </c>
      <c r="L505" s="6">
        <f>IF(Table2[[#This Row],[Current Rent Gap]]&gt;0,Table2[[#This Row],[Current Rent Gap]]/Table2[[#This Row],[Estimated_Market_Rent]],0)</f>
        <v>0.18449886232557333</v>
      </c>
      <c r="M505" s="3" t="str">
        <f>IF(Table2[[#This Row],[Under_Market %]]&gt;0.1,"Underpriced","OK")</f>
        <v>Underpriced</v>
      </c>
      <c r="N505" s="5">
        <f>SUMIFS(Table2[[#This Row],[Current Rent Gap]],Table2[[#This Row],[Current Rent Gap]],"&gt;0")</f>
        <v>855.1866666666665</v>
      </c>
    </row>
    <row r="506" spans="1:14" x14ac:dyDescent="0.35">
      <c r="A506" t="s">
        <v>512</v>
      </c>
      <c r="B506" t="s">
        <v>749</v>
      </c>
      <c r="C506">
        <v>3427</v>
      </c>
      <c r="D506">
        <v>3427</v>
      </c>
      <c r="E506">
        <f>Table2[[#This Row],[Due_Amount]]-Table2[[#This Row],[Paid_Amount]]</f>
        <v>0</v>
      </c>
      <c r="F506" s="1">
        <v>45815</v>
      </c>
      <c r="G506">
        <v>5</v>
      </c>
      <c r="H506">
        <f>Table2[[#This Row],[Due_Amount]]*Table2[[#This Row],[Delay_Days]]</f>
        <v>17135</v>
      </c>
      <c r="I506" s="3" t="str">
        <f>IF(Table2[[#This Row],[Delay_Days]]=0,"On Time",IF(Table2[[#This Row],[Delay_Days]]&lt;=7,"Low Risk(1-7)",IF(Table2[[#This Row],[Delay_Days]]&lt;=15,"Medium Risk(8-15)",IF(Table2[[#This Row],[Delay_Days]]&lt;=30,"High Risk(16-30)","Severe Risk(30+)"))))</f>
        <v>Low Risk(1-7)</v>
      </c>
      <c r="J506" s="5">
        <f>AVERAGE(Table2[Due_Amount])</f>
        <v>4635.1866666666665</v>
      </c>
      <c r="K506" s="5">
        <f>Table2[[#This Row],[Estimated_Market_Rent]]-Table2[[#This Row],[Due_Amount]]</f>
        <v>1208.1866666666665</v>
      </c>
      <c r="L506" s="6">
        <f>IF(Table2[[#This Row],[Current Rent Gap]]&gt;0,Table2[[#This Row],[Current Rent Gap]]/Table2[[#This Row],[Estimated_Market_Rent]],0)</f>
        <v>0.26065545005019575</v>
      </c>
      <c r="M506" s="3" t="str">
        <f>IF(Table2[[#This Row],[Under_Market %]]&gt;0.1,"Underpriced","OK")</f>
        <v>Underpriced</v>
      </c>
      <c r="N506" s="5">
        <f>SUMIFS(Table2[[#This Row],[Current Rent Gap]],Table2[[#This Row],[Current Rent Gap]],"&gt;0")</f>
        <v>1208.1866666666665</v>
      </c>
    </row>
    <row r="507" spans="1:14" x14ac:dyDescent="0.35">
      <c r="A507" t="s">
        <v>78</v>
      </c>
      <c r="B507" t="s">
        <v>754</v>
      </c>
      <c r="C507">
        <v>2567</v>
      </c>
      <c r="D507">
        <v>2567</v>
      </c>
      <c r="E507">
        <f>Table2[[#This Row],[Due_Amount]]-Table2[[#This Row],[Paid_Amount]]</f>
        <v>0</v>
      </c>
      <c r="F507" s="1">
        <v>45945</v>
      </c>
      <c r="G507">
        <v>3</v>
      </c>
      <c r="H507">
        <f>Table2[[#This Row],[Due_Amount]]*Table2[[#This Row],[Delay_Days]]</f>
        <v>7701</v>
      </c>
      <c r="I507" s="3" t="str">
        <f>IF(Table2[[#This Row],[Delay_Days]]=0,"On Time",IF(Table2[[#This Row],[Delay_Days]]&lt;=7,"Low Risk(1-7)",IF(Table2[[#This Row],[Delay_Days]]&lt;=15,"Medium Risk(8-15)",IF(Table2[[#This Row],[Delay_Days]]&lt;=30,"High Risk(16-30)","Severe Risk(30+)"))))</f>
        <v>Low Risk(1-7)</v>
      </c>
      <c r="J507" s="5">
        <f>AVERAGE(Table2[Due_Amount])</f>
        <v>4635.1866666666665</v>
      </c>
      <c r="K507" s="5">
        <f>Table2[[#This Row],[Estimated_Market_Rent]]-Table2[[#This Row],[Due_Amount]]</f>
        <v>2068.1866666666665</v>
      </c>
      <c r="L507" s="6">
        <f>IF(Table2[[#This Row],[Current Rent Gap]]&gt;0,Table2[[#This Row],[Current Rent Gap]]/Table2[[#This Row],[Estimated_Market_Rent]],0)</f>
        <v>0.44619274592321345</v>
      </c>
      <c r="M507" s="3" t="str">
        <f>IF(Table2[[#This Row],[Under_Market %]]&gt;0.1,"Underpriced","OK")</f>
        <v>Underpriced</v>
      </c>
      <c r="N507" s="5">
        <f>SUMIFS(Table2[[#This Row],[Current Rent Gap]],Table2[[#This Row],[Current Rent Gap]],"&gt;0")</f>
        <v>2068.1866666666665</v>
      </c>
    </row>
    <row r="508" spans="1:14" x14ac:dyDescent="0.35">
      <c r="A508" t="s">
        <v>699</v>
      </c>
      <c r="B508" t="s">
        <v>747</v>
      </c>
      <c r="C508">
        <v>6934</v>
      </c>
      <c r="D508">
        <v>6385</v>
      </c>
      <c r="E508">
        <f>Table2[[#This Row],[Due_Amount]]-Table2[[#This Row],[Paid_Amount]]</f>
        <v>549</v>
      </c>
      <c r="F508" s="1">
        <v>45820</v>
      </c>
      <c r="G508">
        <v>10</v>
      </c>
      <c r="H508">
        <f>Table2[[#This Row],[Due_Amount]]*Table2[[#This Row],[Delay_Days]]</f>
        <v>69340</v>
      </c>
      <c r="I508" s="3" t="str">
        <f>IF(Table2[[#This Row],[Delay_Days]]=0,"On Time",IF(Table2[[#This Row],[Delay_Days]]&lt;=7,"Low Risk(1-7)",IF(Table2[[#This Row],[Delay_Days]]&lt;=15,"Medium Risk(8-15)",IF(Table2[[#This Row],[Delay_Days]]&lt;=30,"High Risk(16-30)","Severe Risk(30+)"))))</f>
        <v>Medium Risk(8-15)</v>
      </c>
      <c r="J508" s="5">
        <f>AVERAGE(Table2[Due_Amount])</f>
        <v>4635.1866666666665</v>
      </c>
      <c r="K508" s="5">
        <f>Table2[[#This Row],[Estimated_Market_Rent]]-Table2[[#This Row],[Due_Amount]]</f>
        <v>-2298.8133333333335</v>
      </c>
      <c r="L508" s="6">
        <f>IF(Table2[[#This Row],[Current Rent Gap]]&gt;0,Table2[[#This Row],[Current Rent Gap]]/Table2[[#This Row],[Estimated_Market_Rent]],0)</f>
        <v>0</v>
      </c>
      <c r="M508" s="3" t="str">
        <f>IF(Table2[[#This Row],[Under_Market %]]&gt;0.1,"Underpriced","OK")</f>
        <v>OK</v>
      </c>
      <c r="N508" s="5">
        <f>SUMIFS(Table2[[#This Row],[Current Rent Gap]],Table2[[#This Row],[Current Rent Gap]],"&gt;0")</f>
        <v>0</v>
      </c>
    </row>
    <row r="509" spans="1:14" x14ac:dyDescent="0.35">
      <c r="A509" t="s">
        <v>418</v>
      </c>
      <c r="B509" t="s">
        <v>749</v>
      </c>
      <c r="C509">
        <v>6350</v>
      </c>
      <c r="D509">
        <v>5508</v>
      </c>
      <c r="E509">
        <f>Table2[[#This Row],[Due_Amount]]-Table2[[#This Row],[Paid_Amount]]</f>
        <v>842</v>
      </c>
      <c r="F509" s="1">
        <v>45903</v>
      </c>
      <c r="G509">
        <v>16</v>
      </c>
      <c r="H509">
        <f>Table2[[#This Row],[Due_Amount]]*Table2[[#This Row],[Delay_Days]]</f>
        <v>101600</v>
      </c>
      <c r="I509" s="3" t="str">
        <f>IF(Table2[[#This Row],[Delay_Days]]=0,"On Time",IF(Table2[[#This Row],[Delay_Days]]&lt;=7,"Low Risk(1-7)",IF(Table2[[#This Row],[Delay_Days]]&lt;=15,"Medium Risk(8-15)",IF(Table2[[#This Row],[Delay_Days]]&lt;=30,"High Risk(16-30)","Severe Risk(30+)"))))</f>
        <v>High Risk(16-30)</v>
      </c>
      <c r="J509" s="5">
        <f>AVERAGE(Table2[Due_Amount])</f>
        <v>4635.1866666666665</v>
      </c>
      <c r="K509" s="5">
        <f>Table2[[#This Row],[Estimated_Market_Rent]]-Table2[[#This Row],[Due_Amount]]</f>
        <v>-1714.8133333333335</v>
      </c>
      <c r="L509" s="6">
        <f>IF(Table2[[#This Row],[Current Rent Gap]]&gt;0,Table2[[#This Row],[Current Rent Gap]]/Table2[[#This Row],[Estimated_Market_Rent]],0)</f>
        <v>0</v>
      </c>
      <c r="M509" s="3" t="str">
        <f>IF(Table2[[#This Row],[Under_Market %]]&gt;0.1,"Underpriced","OK")</f>
        <v>OK</v>
      </c>
      <c r="N509" s="5">
        <f>SUMIFS(Table2[[#This Row],[Current Rent Gap]],Table2[[#This Row],[Current Rent Gap]],"&gt;0")</f>
        <v>0</v>
      </c>
    </row>
    <row r="510" spans="1:14" x14ac:dyDescent="0.35">
      <c r="A510" t="s">
        <v>75</v>
      </c>
      <c r="B510" t="s">
        <v>746</v>
      </c>
      <c r="C510">
        <v>3567</v>
      </c>
      <c r="D510">
        <v>3488</v>
      </c>
      <c r="E510">
        <f>Table2[[#This Row],[Due_Amount]]-Table2[[#This Row],[Paid_Amount]]</f>
        <v>79</v>
      </c>
      <c r="F510" s="1">
        <v>45749</v>
      </c>
      <c r="G510">
        <v>18</v>
      </c>
      <c r="H510">
        <f>Table2[[#This Row],[Due_Amount]]*Table2[[#This Row],[Delay_Days]]</f>
        <v>64206</v>
      </c>
      <c r="I510" s="3" t="str">
        <f>IF(Table2[[#This Row],[Delay_Days]]=0,"On Time",IF(Table2[[#This Row],[Delay_Days]]&lt;=7,"Low Risk(1-7)",IF(Table2[[#This Row],[Delay_Days]]&lt;=15,"Medium Risk(8-15)",IF(Table2[[#This Row],[Delay_Days]]&lt;=30,"High Risk(16-30)","Severe Risk(30+)"))))</f>
        <v>High Risk(16-30)</v>
      </c>
      <c r="J510" s="5">
        <f>AVERAGE(Table2[Due_Amount])</f>
        <v>4635.1866666666665</v>
      </c>
      <c r="K510" s="5">
        <f>Table2[[#This Row],[Estimated_Market_Rent]]-Table2[[#This Row],[Due_Amount]]</f>
        <v>1068.1866666666665</v>
      </c>
      <c r="L510" s="6">
        <f>IF(Table2[[#This Row],[Current Rent Gap]]&gt;0,Table2[[#This Row],[Current Rent Gap]]/Table2[[#This Row],[Estimated_Market_Rent]],0)</f>
        <v>0.23045170421040215</v>
      </c>
      <c r="M510" s="3" t="str">
        <f>IF(Table2[[#This Row],[Under_Market %]]&gt;0.1,"Underpriced","OK")</f>
        <v>Underpriced</v>
      </c>
      <c r="N510" s="5">
        <f>SUMIFS(Table2[[#This Row],[Current Rent Gap]],Table2[[#This Row],[Current Rent Gap]],"&gt;0")</f>
        <v>1068.1866666666665</v>
      </c>
    </row>
    <row r="511" spans="1:14" x14ac:dyDescent="0.35">
      <c r="A511" t="s">
        <v>420</v>
      </c>
      <c r="B511" t="s">
        <v>753</v>
      </c>
      <c r="C511">
        <v>5505</v>
      </c>
      <c r="D511">
        <v>5505</v>
      </c>
      <c r="E511">
        <f>Table2[[#This Row],[Due_Amount]]-Table2[[#This Row],[Paid_Amount]]</f>
        <v>0</v>
      </c>
      <c r="F511" s="1">
        <v>45877</v>
      </c>
      <c r="G511">
        <v>8</v>
      </c>
      <c r="H511">
        <f>Table2[[#This Row],[Due_Amount]]*Table2[[#This Row],[Delay_Days]]</f>
        <v>44040</v>
      </c>
      <c r="I511" s="3" t="str">
        <f>IF(Table2[[#This Row],[Delay_Days]]=0,"On Time",IF(Table2[[#This Row],[Delay_Days]]&lt;=7,"Low Risk(1-7)",IF(Table2[[#This Row],[Delay_Days]]&lt;=15,"Medium Risk(8-15)",IF(Table2[[#This Row],[Delay_Days]]&lt;=30,"High Risk(16-30)","Severe Risk(30+)"))))</f>
        <v>Medium Risk(8-15)</v>
      </c>
      <c r="J511" s="5">
        <f>AVERAGE(Table2[Due_Amount])</f>
        <v>4635.1866666666665</v>
      </c>
      <c r="K511" s="5">
        <f>Table2[[#This Row],[Estimated_Market_Rent]]-Table2[[#This Row],[Due_Amount]]</f>
        <v>-869.8133333333335</v>
      </c>
      <c r="L511" s="6">
        <f>IF(Table2[[#This Row],[Current Rent Gap]]&gt;0,Table2[[#This Row],[Current Rent Gap]]/Table2[[#This Row],[Estimated_Market_Rent]],0)</f>
        <v>0</v>
      </c>
      <c r="M511" s="3" t="str">
        <f>IF(Table2[[#This Row],[Under_Market %]]&gt;0.1,"Underpriced","OK")</f>
        <v>OK</v>
      </c>
      <c r="N511" s="5">
        <f>SUMIFS(Table2[[#This Row],[Current Rent Gap]],Table2[[#This Row],[Current Rent Gap]],"&gt;0")</f>
        <v>0</v>
      </c>
    </row>
    <row r="512" spans="1:14" x14ac:dyDescent="0.35">
      <c r="A512" t="s">
        <v>519</v>
      </c>
      <c r="B512" t="s">
        <v>754</v>
      </c>
      <c r="C512">
        <v>4643</v>
      </c>
      <c r="D512">
        <v>3882</v>
      </c>
      <c r="E512">
        <f>Table2[[#This Row],[Due_Amount]]-Table2[[#This Row],[Paid_Amount]]</f>
        <v>761</v>
      </c>
      <c r="F512" s="1">
        <v>45862</v>
      </c>
      <c r="G512">
        <v>20</v>
      </c>
      <c r="H512">
        <f>Table2[[#This Row],[Due_Amount]]*Table2[[#This Row],[Delay_Days]]</f>
        <v>92860</v>
      </c>
      <c r="I512" s="3" t="str">
        <f>IF(Table2[[#This Row],[Delay_Days]]=0,"On Time",IF(Table2[[#This Row],[Delay_Days]]&lt;=7,"Low Risk(1-7)",IF(Table2[[#This Row],[Delay_Days]]&lt;=15,"Medium Risk(8-15)",IF(Table2[[#This Row],[Delay_Days]]&lt;=30,"High Risk(16-30)","Severe Risk(30+)"))))</f>
        <v>High Risk(16-30)</v>
      </c>
      <c r="J512" s="5">
        <f>AVERAGE(Table2[Due_Amount])</f>
        <v>4635.1866666666665</v>
      </c>
      <c r="K512" s="5">
        <f>Table2[[#This Row],[Estimated_Market_Rent]]-Table2[[#This Row],[Due_Amount]]</f>
        <v>-7.8133333333335031</v>
      </c>
      <c r="L512" s="6">
        <f>IF(Table2[[#This Row],[Current Rent Gap]]&gt;0,Table2[[#This Row],[Current Rent Gap]]/Table2[[#This Row],[Estimated_Market_Rent]],0)</f>
        <v>0</v>
      </c>
      <c r="M512" s="3" t="str">
        <f>IF(Table2[[#This Row],[Under_Market %]]&gt;0.1,"Underpriced","OK")</f>
        <v>OK</v>
      </c>
      <c r="N512" s="5">
        <f>SUMIFS(Table2[[#This Row],[Current Rent Gap]],Table2[[#This Row],[Current Rent Gap]],"&gt;0")</f>
        <v>0</v>
      </c>
    </row>
    <row r="513" spans="1:14" x14ac:dyDescent="0.35">
      <c r="A513" t="s">
        <v>19</v>
      </c>
      <c r="B513" t="s">
        <v>754</v>
      </c>
      <c r="C513">
        <v>6126</v>
      </c>
      <c r="D513">
        <v>5649</v>
      </c>
      <c r="E513">
        <f>Table2[[#This Row],[Due_Amount]]-Table2[[#This Row],[Paid_Amount]]</f>
        <v>477</v>
      </c>
      <c r="F513" s="1">
        <v>45946</v>
      </c>
      <c r="G513">
        <v>14</v>
      </c>
      <c r="H513">
        <f>Table2[[#This Row],[Due_Amount]]*Table2[[#This Row],[Delay_Days]]</f>
        <v>85764</v>
      </c>
      <c r="I513" s="3" t="str">
        <f>IF(Table2[[#This Row],[Delay_Days]]=0,"On Time",IF(Table2[[#This Row],[Delay_Days]]&lt;=7,"Low Risk(1-7)",IF(Table2[[#This Row],[Delay_Days]]&lt;=15,"Medium Risk(8-15)",IF(Table2[[#This Row],[Delay_Days]]&lt;=30,"High Risk(16-30)","Severe Risk(30+)"))))</f>
        <v>Medium Risk(8-15)</v>
      </c>
      <c r="J513" s="5">
        <f>AVERAGE(Table2[Due_Amount])</f>
        <v>4635.1866666666665</v>
      </c>
      <c r="K513" s="5">
        <f>Table2[[#This Row],[Estimated_Market_Rent]]-Table2[[#This Row],[Due_Amount]]</f>
        <v>-1490.8133333333335</v>
      </c>
      <c r="L513" s="6">
        <f>IF(Table2[[#This Row],[Current Rent Gap]]&gt;0,Table2[[#This Row],[Current Rent Gap]]/Table2[[#This Row],[Estimated_Market_Rent]],0)</f>
        <v>0</v>
      </c>
      <c r="M513" s="3" t="str">
        <f>IF(Table2[[#This Row],[Under_Market %]]&gt;0.1,"Underpriced","OK")</f>
        <v>OK</v>
      </c>
      <c r="N513" s="5">
        <f>SUMIFS(Table2[[#This Row],[Current Rent Gap]],Table2[[#This Row],[Current Rent Gap]],"&gt;0")</f>
        <v>0</v>
      </c>
    </row>
    <row r="514" spans="1:14" x14ac:dyDescent="0.35">
      <c r="A514" t="s">
        <v>88</v>
      </c>
      <c r="B514" t="s">
        <v>749</v>
      </c>
      <c r="C514">
        <v>6768</v>
      </c>
      <c r="D514">
        <v>5787</v>
      </c>
      <c r="E514">
        <f>Table2[[#This Row],[Due_Amount]]-Table2[[#This Row],[Paid_Amount]]</f>
        <v>981</v>
      </c>
      <c r="F514" s="1">
        <v>45705</v>
      </c>
      <c r="G514">
        <v>21</v>
      </c>
      <c r="H514">
        <f>Table2[[#This Row],[Due_Amount]]*Table2[[#This Row],[Delay_Days]]</f>
        <v>142128</v>
      </c>
      <c r="I514" s="3" t="str">
        <f>IF(Table2[[#This Row],[Delay_Days]]=0,"On Time",IF(Table2[[#This Row],[Delay_Days]]&lt;=7,"Low Risk(1-7)",IF(Table2[[#This Row],[Delay_Days]]&lt;=15,"Medium Risk(8-15)",IF(Table2[[#This Row],[Delay_Days]]&lt;=30,"High Risk(16-30)","Severe Risk(30+)"))))</f>
        <v>High Risk(16-30)</v>
      </c>
      <c r="J514" s="5">
        <f>AVERAGE(Table2[Due_Amount])</f>
        <v>4635.1866666666665</v>
      </c>
      <c r="K514" s="5">
        <f>Table2[[#This Row],[Estimated_Market_Rent]]-Table2[[#This Row],[Due_Amount]]</f>
        <v>-2132.8133333333335</v>
      </c>
      <c r="L514" s="6">
        <f>IF(Table2[[#This Row],[Current Rent Gap]]&gt;0,Table2[[#This Row],[Current Rent Gap]]/Table2[[#This Row],[Estimated_Market_Rent]],0)</f>
        <v>0</v>
      </c>
      <c r="M514" s="3" t="str">
        <f>IF(Table2[[#This Row],[Under_Market %]]&gt;0.1,"Underpriced","OK")</f>
        <v>OK</v>
      </c>
      <c r="N514" s="5">
        <f>SUMIFS(Table2[[#This Row],[Current Rent Gap]],Table2[[#This Row],[Current Rent Gap]],"&gt;0")</f>
        <v>0</v>
      </c>
    </row>
    <row r="515" spans="1:14" x14ac:dyDescent="0.35">
      <c r="A515" t="s">
        <v>398</v>
      </c>
      <c r="B515" t="s">
        <v>752</v>
      </c>
      <c r="C515">
        <v>2222</v>
      </c>
      <c r="D515">
        <v>2222</v>
      </c>
      <c r="E515">
        <f>Table2[[#This Row],[Due_Amount]]-Table2[[#This Row],[Paid_Amount]]</f>
        <v>0</v>
      </c>
      <c r="F515" s="1">
        <v>45780</v>
      </c>
      <c r="G515">
        <v>4</v>
      </c>
      <c r="H515">
        <f>Table2[[#This Row],[Due_Amount]]*Table2[[#This Row],[Delay_Days]]</f>
        <v>8888</v>
      </c>
      <c r="I515" s="3" t="str">
        <f>IF(Table2[[#This Row],[Delay_Days]]=0,"On Time",IF(Table2[[#This Row],[Delay_Days]]&lt;=7,"Low Risk(1-7)",IF(Table2[[#This Row],[Delay_Days]]&lt;=15,"Medium Risk(8-15)",IF(Table2[[#This Row],[Delay_Days]]&lt;=30,"High Risk(16-30)","Severe Risk(30+)"))))</f>
        <v>Low Risk(1-7)</v>
      </c>
      <c r="J515" s="5">
        <f>AVERAGE(Table2[Due_Amount])</f>
        <v>4635.1866666666665</v>
      </c>
      <c r="K515" s="5">
        <f>Table2[[#This Row],[Estimated_Market_Rent]]-Table2[[#This Row],[Due_Amount]]</f>
        <v>2413.1866666666665</v>
      </c>
      <c r="L515" s="6">
        <f>IF(Table2[[#This Row],[Current Rent Gap]]&gt;0,Table2[[#This Row],[Current Rent Gap]]/Table2[[#This Row],[Estimated_Market_Rent]],0)</f>
        <v>0.52062340531413331</v>
      </c>
      <c r="M515" s="3" t="str">
        <f>IF(Table2[[#This Row],[Under_Market %]]&gt;0.1,"Underpriced","OK")</f>
        <v>Underpriced</v>
      </c>
      <c r="N515" s="5">
        <f>SUMIFS(Table2[[#This Row],[Current Rent Gap]],Table2[[#This Row],[Current Rent Gap]],"&gt;0")</f>
        <v>2413.1866666666665</v>
      </c>
    </row>
    <row r="516" spans="1:14" x14ac:dyDescent="0.35">
      <c r="A516" t="s">
        <v>529</v>
      </c>
      <c r="B516" t="s">
        <v>746</v>
      </c>
      <c r="C516">
        <v>5638</v>
      </c>
      <c r="D516">
        <v>5638</v>
      </c>
      <c r="E516">
        <f>Table2[[#This Row],[Due_Amount]]-Table2[[#This Row],[Paid_Amount]]</f>
        <v>0</v>
      </c>
      <c r="F516" s="1">
        <v>45659</v>
      </c>
      <c r="G516">
        <v>9</v>
      </c>
      <c r="H516">
        <f>Table2[[#This Row],[Due_Amount]]*Table2[[#This Row],[Delay_Days]]</f>
        <v>50742</v>
      </c>
      <c r="I516" s="3" t="str">
        <f>IF(Table2[[#This Row],[Delay_Days]]=0,"On Time",IF(Table2[[#This Row],[Delay_Days]]&lt;=7,"Low Risk(1-7)",IF(Table2[[#This Row],[Delay_Days]]&lt;=15,"Medium Risk(8-15)",IF(Table2[[#This Row],[Delay_Days]]&lt;=30,"High Risk(16-30)","Severe Risk(30+)"))))</f>
        <v>Medium Risk(8-15)</v>
      </c>
      <c r="J516" s="5">
        <f>AVERAGE(Table2[Due_Amount])</f>
        <v>4635.1866666666665</v>
      </c>
      <c r="K516" s="5">
        <f>Table2[[#This Row],[Estimated_Market_Rent]]-Table2[[#This Row],[Due_Amount]]</f>
        <v>-1002.8133333333335</v>
      </c>
      <c r="L516" s="6">
        <f>IF(Table2[[#This Row],[Current Rent Gap]]&gt;0,Table2[[#This Row],[Current Rent Gap]]/Table2[[#This Row],[Estimated_Market_Rent]],0)</f>
        <v>0</v>
      </c>
      <c r="M516" s="3" t="str">
        <f>IF(Table2[[#This Row],[Under_Market %]]&gt;0.1,"Underpriced","OK")</f>
        <v>OK</v>
      </c>
      <c r="N516" s="5">
        <f>SUMIFS(Table2[[#This Row],[Current Rent Gap]],Table2[[#This Row],[Current Rent Gap]],"&gt;0")</f>
        <v>0</v>
      </c>
    </row>
    <row r="517" spans="1:14" x14ac:dyDescent="0.35">
      <c r="A517" t="s">
        <v>430</v>
      </c>
      <c r="B517" t="s">
        <v>748</v>
      </c>
      <c r="C517">
        <v>6078</v>
      </c>
      <c r="D517">
        <v>6078</v>
      </c>
      <c r="E517">
        <f>Table2[[#This Row],[Due_Amount]]-Table2[[#This Row],[Paid_Amount]]</f>
        <v>0</v>
      </c>
      <c r="F517" s="1">
        <v>45803</v>
      </c>
      <c r="G517">
        <v>2</v>
      </c>
      <c r="H517">
        <f>Table2[[#This Row],[Due_Amount]]*Table2[[#This Row],[Delay_Days]]</f>
        <v>12156</v>
      </c>
      <c r="I517" s="3" t="str">
        <f>IF(Table2[[#This Row],[Delay_Days]]=0,"On Time",IF(Table2[[#This Row],[Delay_Days]]&lt;=7,"Low Risk(1-7)",IF(Table2[[#This Row],[Delay_Days]]&lt;=15,"Medium Risk(8-15)",IF(Table2[[#This Row],[Delay_Days]]&lt;=30,"High Risk(16-30)","Severe Risk(30+)"))))</f>
        <v>Low Risk(1-7)</v>
      </c>
      <c r="J517" s="5">
        <f>AVERAGE(Table2[Due_Amount])</f>
        <v>4635.1866666666665</v>
      </c>
      <c r="K517" s="5">
        <f>Table2[[#This Row],[Estimated_Market_Rent]]-Table2[[#This Row],[Due_Amount]]</f>
        <v>-1442.8133333333335</v>
      </c>
      <c r="L517" s="6">
        <f>IF(Table2[[#This Row],[Current Rent Gap]]&gt;0,Table2[[#This Row],[Current Rent Gap]]/Table2[[#This Row],[Estimated_Market_Rent]],0)</f>
        <v>0</v>
      </c>
      <c r="M517" s="3" t="str">
        <f>IF(Table2[[#This Row],[Under_Market %]]&gt;0.1,"Underpriced","OK")</f>
        <v>OK</v>
      </c>
      <c r="N517" s="5">
        <f>SUMIFS(Table2[[#This Row],[Current Rent Gap]],Table2[[#This Row],[Current Rent Gap]],"&gt;0")</f>
        <v>0</v>
      </c>
    </row>
    <row r="518" spans="1:14" x14ac:dyDescent="0.35">
      <c r="A518" t="s">
        <v>545</v>
      </c>
      <c r="B518" t="s">
        <v>744</v>
      </c>
      <c r="C518">
        <v>2100</v>
      </c>
      <c r="D518">
        <v>2100</v>
      </c>
      <c r="E518">
        <f>Table2[[#This Row],[Due_Amount]]-Table2[[#This Row],[Paid_Amount]]</f>
        <v>0</v>
      </c>
      <c r="F518" s="1">
        <v>45805</v>
      </c>
      <c r="G518">
        <v>0</v>
      </c>
      <c r="H518">
        <f>Table2[[#This Row],[Due_Amount]]*Table2[[#This Row],[Delay_Days]]</f>
        <v>0</v>
      </c>
      <c r="I518" s="3" t="str">
        <f>IF(Table2[[#This Row],[Delay_Days]]=0,"On Time",IF(Table2[[#This Row],[Delay_Days]]&lt;=7,"Low Risk(1-7)",IF(Table2[[#This Row],[Delay_Days]]&lt;=15,"Medium Risk(8-15)",IF(Table2[[#This Row],[Delay_Days]]&lt;=30,"High Risk(16-30)","Severe Risk(30+)"))))</f>
        <v>On Time</v>
      </c>
      <c r="J518" s="5">
        <f>AVERAGE(Table2[Due_Amount])</f>
        <v>4635.1866666666665</v>
      </c>
      <c r="K518" s="5">
        <f>Table2[[#This Row],[Estimated_Market_Rent]]-Table2[[#This Row],[Due_Amount]]</f>
        <v>2535.1866666666665</v>
      </c>
      <c r="L518" s="6">
        <f>IF(Table2[[#This Row],[Current Rent Gap]]&gt;0,Table2[[#This Row],[Current Rent Gap]]/Table2[[#This Row],[Estimated_Market_Rent]],0)</f>
        <v>0.54694381240309631</v>
      </c>
      <c r="M518" s="3" t="str">
        <f>IF(Table2[[#This Row],[Under_Market %]]&gt;0.1,"Underpriced","OK")</f>
        <v>Underpriced</v>
      </c>
      <c r="N518" s="5">
        <f>SUMIFS(Table2[[#This Row],[Current Rent Gap]],Table2[[#This Row],[Current Rent Gap]],"&gt;0")</f>
        <v>2535.1866666666665</v>
      </c>
    </row>
    <row r="519" spans="1:14" x14ac:dyDescent="0.35">
      <c r="A519" t="s">
        <v>626</v>
      </c>
      <c r="B519" t="s">
        <v>749</v>
      </c>
      <c r="C519">
        <v>5249</v>
      </c>
      <c r="D519">
        <v>4797</v>
      </c>
      <c r="E519">
        <f>Table2[[#This Row],[Due_Amount]]-Table2[[#This Row],[Paid_Amount]]</f>
        <v>452</v>
      </c>
      <c r="F519" s="1">
        <v>46003</v>
      </c>
      <c r="G519">
        <v>14</v>
      </c>
      <c r="H519">
        <f>Table2[[#This Row],[Due_Amount]]*Table2[[#This Row],[Delay_Days]]</f>
        <v>73486</v>
      </c>
      <c r="I519" s="3" t="str">
        <f>IF(Table2[[#This Row],[Delay_Days]]=0,"On Time",IF(Table2[[#This Row],[Delay_Days]]&lt;=7,"Low Risk(1-7)",IF(Table2[[#This Row],[Delay_Days]]&lt;=15,"Medium Risk(8-15)",IF(Table2[[#This Row],[Delay_Days]]&lt;=30,"High Risk(16-30)","Severe Risk(30+)"))))</f>
        <v>Medium Risk(8-15)</v>
      </c>
      <c r="J519" s="5">
        <f>AVERAGE(Table2[Due_Amount])</f>
        <v>4635.1866666666665</v>
      </c>
      <c r="K519" s="5">
        <f>Table2[[#This Row],[Estimated_Market_Rent]]-Table2[[#This Row],[Due_Amount]]</f>
        <v>-613.8133333333335</v>
      </c>
      <c r="L519" s="6">
        <f>IF(Table2[[#This Row],[Current Rent Gap]]&gt;0,Table2[[#This Row],[Current Rent Gap]]/Table2[[#This Row],[Estimated_Market_Rent]],0)</f>
        <v>0</v>
      </c>
      <c r="M519" s="3" t="str">
        <f>IF(Table2[[#This Row],[Under_Market %]]&gt;0.1,"Underpriced","OK")</f>
        <v>OK</v>
      </c>
      <c r="N519" s="5">
        <f>SUMIFS(Table2[[#This Row],[Current Rent Gap]],Table2[[#This Row],[Current Rent Gap]],"&gt;0")</f>
        <v>0</v>
      </c>
    </row>
    <row r="520" spans="1:14" x14ac:dyDescent="0.35">
      <c r="A520" t="s">
        <v>205</v>
      </c>
      <c r="B520" t="s">
        <v>745</v>
      </c>
      <c r="C520">
        <v>6673</v>
      </c>
      <c r="D520">
        <v>6673</v>
      </c>
      <c r="E520">
        <f>Table2[[#This Row],[Due_Amount]]-Table2[[#This Row],[Paid_Amount]]</f>
        <v>0</v>
      </c>
      <c r="F520" s="1">
        <v>45912</v>
      </c>
      <c r="G520">
        <v>0</v>
      </c>
      <c r="H520">
        <f>Table2[[#This Row],[Due_Amount]]*Table2[[#This Row],[Delay_Days]]</f>
        <v>0</v>
      </c>
      <c r="I520" s="3" t="str">
        <f>IF(Table2[[#This Row],[Delay_Days]]=0,"On Time",IF(Table2[[#This Row],[Delay_Days]]&lt;=7,"Low Risk(1-7)",IF(Table2[[#This Row],[Delay_Days]]&lt;=15,"Medium Risk(8-15)",IF(Table2[[#This Row],[Delay_Days]]&lt;=30,"High Risk(16-30)","Severe Risk(30+)"))))</f>
        <v>On Time</v>
      </c>
      <c r="J520" s="5">
        <f>AVERAGE(Table2[Due_Amount])</f>
        <v>4635.1866666666665</v>
      </c>
      <c r="K520" s="5">
        <f>Table2[[#This Row],[Estimated_Market_Rent]]-Table2[[#This Row],[Due_Amount]]</f>
        <v>-2037.8133333333335</v>
      </c>
      <c r="L520" s="6">
        <f>IF(Table2[[#This Row],[Current Rent Gap]]&gt;0,Table2[[#This Row],[Current Rent Gap]]/Table2[[#This Row],[Estimated_Market_Rent]],0)</f>
        <v>0</v>
      </c>
      <c r="M520" s="3" t="str">
        <f>IF(Table2[[#This Row],[Under_Market %]]&gt;0.1,"Underpriced","OK")</f>
        <v>OK</v>
      </c>
      <c r="N520" s="5">
        <f>SUMIFS(Table2[[#This Row],[Current Rent Gap]],Table2[[#This Row],[Current Rent Gap]],"&gt;0")</f>
        <v>0</v>
      </c>
    </row>
    <row r="521" spans="1:14" x14ac:dyDescent="0.35">
      <c r="A521" t="s">
        <v>142</v>
      </c>
      <c r="B521" t="s">
        <v>754</v>
      </c>
      <c r="C521">
        <v>2574</v>
      </c>
      <c r="D521">
        <v>1807</v>
      </c>
      <c r="E521">
        <f>Table2[[#This Row],[Due_Amount]]-Table2[[#This Row],[Paid_Amount]]</f>
        <v>767</v>
      </c>
      <c r="F521" s="1">
        <v>45996</v>
      </c>
      <c r="G521">
        <v>10</v>
      </c>
      <c r="H521">
        <f>Table2[[#This Row],[Due_Amount]]*Table2[[#This Row],[Delay_Days]]</f>
        <v>25740</v>
      </c>
      <c r="I521" s="3" t="str">
        <f>IF(Table2[[#This Row],[Delay_Days]]=0,"On Time",IF(Table2[[#This Row],[Delay_Days]]&lt;=7,"Low Risk(1-7)",IF(Table2[[#This Row],[Delay_Days]]&lt;=15,"Medium Risk(8-15)",IF(Table2[[#This Row],[Delay_Days]]&lt;=30,"High Risk(16-30)","Severe Risk(30+)"))))</f>
        <v>Medium Risk(8-15)</v>
      </c>
      <c r="J521" s="5">
        <f>AVERAGE(Table2[Due_Amount])</f>
        <v>4635.1866666666665</v>
      </c>
      <c r="K521" s="5">
        <f>Table2[[#This Row],[Estimated_Market_Rent]]-Table2[[#This Row],[Due_Amount]]</f>
        <v>2061.1866666666665</v>
      </c>
      <c r="L521" s="6">
        <f>IF(Table2[[#This Row],[Current Rent Gap]]&gt;0,Table2[[#This Row],[Current Rent Gap]]/Table2[[#This Row],[Estimated_Market_Rent]],0)</f>
        <v>0.44468255863122375</v>
      </c>
      <c r="M521" s="3" t="str">
        <f>IF(Table2[[#This Row],[Under_Market %]]&gt;0.1,"Underpriced","OK")</f>
        <v>Underpriced</v>
      </c>
      <c r="N521" s="5">
        <f>SUMIFS(Table2[[#This Row],[Current Rent Gap]],Table2[[#This Row],[Current Rent Gap]],"&gt;0")</f>
        <v>2061.1866666666665</v>
      </c>
    </row>
    <row r="522" spans="1:14" x14ac:dyDescent="0.35">
      <c r="A522" t="s">
        <v>378</v>
      </c>
      <c r="B522" t="s">
        <v>752</v>
      </c>
      <c r="C522">
        <v>4546</v>
      </c>
      <c r="D522">
        <v>4546</v>
      </c>
      <c r="E522">
        <f>Table2[[#This Row],[Due_Amount]]-Table2[[#This Row],[Paid_Amount]]</f>
        <v>0</v>
      </c>
      <c r="F522" s="1">
        <v>45881</v>
      </c>
      <c r="G522">
        <v>7</v>
      </c>
      <c r="H522">
        <f>Table2[[#This Row],[Due_Amount]]*Table2[[#This Row],[Delay_Days]]</f>
        <v>31822</v>
      </c>
      <c r="I522" s="3" t="str">
        <f>IF(Table2[[#This Row],[Delay_Days]]=0,"On Time",IF(Table2[[#This Row],[Delay_Days]]&lt;=7,"Low Risk(1-7)",IF(Table2[[#This Row],[Delay_Days]]&lt;=15,"Medium Risk(8-15)",IF(Table2[[#This Row],[Delay_Days]]&lt;=30,"High Risk(16-30)","Severe Risk(30+)"))))</f>
        <v>Low Risk(1-7)</v>
      </c>
      <c r="J522" s="5">
        <f>AVERAGE(Table2[Due_Amount])</f>
        <v>4635.1866666666665</v>
      </c>
      <c r="K522" s="5">
        <f>Table2[[#This Row],[Estimated_Market_Rent]]-Table2[[#This Row],[Due_Amount]]</f>
        <v>89.186666666666497</v>
      </c>
      <c r="L522" s="6">
        <f>IF(Table2[[#This Row],[Current Rent Gap]]&gt;0,Table2[[#This Row],[Current Rent Gap]]/Table2[[#This Row],[Estimated_Market_Rent]],0)</f>
        <v>1.9241224373559893E-2</v>
      </c>
      <c r="M522" s="3" t="str">
        <f>IF(Table2[[#This Row],[Under_Market %]]&gt;0.1,"Underpriced","OK")</f>
        <v>OK</v>
      </c>
      <c r="N522" s="5">
        <f>SUMIFS(Table2[[#This Row],[Current Rent Gap]],Table2[[#This Row],[Current Rent Gap]],"&gt;0")</f>
        <v>89.186666666666497</v>
      </c>
    </row>
    <row r="523" spans="1:14" x14ac:dyDescent="0.35">
      <c r="A523" t="s">
        <v>427</v>
      </c>
      <c r="B523" t="s">
        <v>745</v>
      </c>
      <c r="C523">
        <v>4084</v>
      </c>
      <c r="D523">
        <v>3825</v>
      </c>
      <c r="E523">
        <f>Table2[[#This Row],[Due_Amount]]-Table2[[#This Row],[Paid_Amount]]</f>
        <v>259</v>
      </c>
      <c r="F523" s="1">
        <v>45835</v>
      </c>
      <c r="G523">
        <v>18</v>
      </c>
      <c r="H523">
        <f>Table2[[#This Row],[Due_Amount]]*Table2[[#This Row],[Delay_Days]]</f>
        <v>73512</v>
      </c>
      <c r="I523" s="3" t="str">
        <f>IF(Table2[[#This Row],[Delay_Days]]=0,"On Time",IF(Table2[[#This Row],[Delay_Days]]&lt;=7,"Low Risk(1-7)",IF(Table2[[#This Row],[Delay_Days]]&lt;=15,"Medium Risk(8-15)",IF(Table2[[#This Row],[Delay_Days]]&lt;=30,"High Risk(16-30)","Severe Risk(30+)"))))</f>
        <v>High Risk(16-30)</v>
      </c>
      <c r="J523" s="5">
        <f>AVERAGE(Table2[Due_Amount])</f>
        <v>4635.1866666666665</v>
      </c>
      <c r="K523" s="5">
        <f>Table2[[#This Row],[Estimated_Market_Rent]]-Table2[[#This Row],[Due_Amount]]</f>
        <v>551.1866666666665</v>
      </c>
      <c r="L523" s="6">
        <f>IF(Table2[[#This Row],[Current Rent Gap]]&gt;0,Table2[[#This Row],[Current Rent Gap]]/Table2[[#This Row],[Estimated_Market_Rent]],0)</f>
        <v>0.11891358564487871</v>
      </c>
      <c r="M523" s="3" t="str">
        <f>IF(Table2[[#This Row],[Under_Market %]]&gt;0.1,"Underpriced","OK")</f>
        <v>Underpriced</v>
      </c>
      <c r="N523" s="5">
        <f>SUMIFS(Table2[[#This Row],[Current Rent Gap]],Table2[[#This Row],[Current Rent Gap]],"&gt;0")</f>
        <v>551.1866666666665</v>
      </c>
    </row>
    <row r="524" spans="1:14" x14ac:dyDescent="0.35">
      <c r="A524" t="s">
        <v>298</v>
      </c>
      <c r="B524" t="s">
        <v>744</v>
      </c>
      <c r="C524">
        <v>3153</v>
      </c>
      <c r="D524">
        <v>3153</v>
      </c>
      <c r="E524">
        <f>Table2[[#This Row],[Due_Amount]]-Table2[[#This Row],[Paid_Amount]]</f>
        <v>0</v>
      </c>
      <c r="F524" s="1">
        <v>46003</v>
      </c>
      <c r="G524">
        <v>8</v>
      </c>
      <c r="H524">
        <f>Table2[[#This Row],[Due_Amount]]*Table2[[#This Row],[Delay_Days]]</f>
        <v>25224</v>
      </c>
      <c r="I524" s="3" t="str">
        <f>IF(Table2[[#This Row],[Delay_Days]]=0,"On Time",IF(Table2[[#This Row],[Delay_Days]]&lt;=7,"Low Risk(1-7)",IF(Table2[[#This Row],[Delay_Days]]&lt;=15,"Medium Risk(8-15)",IF(Table2[[#This Row],[Delay_Days]]&lt;=30,"High Risk(16-30)","Severe Risk(30+)"))))</f>
        <v>Medium Risk(8-15)</v>
      </c>
      <c r="J524" s="5">
        <f>AVERAGE(Table2[Due_Amount])</f>
        <v>4635.1866666666665</v>
      </c>
      <c r="K524" s="5">
        <f>Table2[[#This Row],[Estimated_Market_Rent]]-Table2[[#This Row],[Due_Amount]]</f>
        <v>1482.1866666666665</v>
      </c>
      <c r="L524" s="6">
        <f>IF(Table2[[#This Row],[Current Rent Gap]]&gt;0,Table2[[#This Row],[Current Rent Gap]]/Table2[[#This Row],[Estimated_Market_Rent]],0)</f>
        <v>0.31976849547950603</v>
      </c>
      <c r="M524" s="3" t="str">
        <f>IF(Table2[[#This Row],[Under_Market %]]&gt;0.1,"Underpriced","OK")</f>
        <v>Underpriced</v>
      </c>
      <c r="N524" s="5">
        <f>SUMIFS(Table2[[#This Row],[Current Rent Gap]],Table2[[#This Row],[Current Rent Gap]],"&gt;0")</f>
        <v>1482.1866666666665</v>
      </c>
    </row>
    <row r="525" spans="1:14" x14ac:dyDescent="0.35">
      <c r="A525" t="s">
        <v>19</v>
      </c>
      <c r="B525" t="s">
        <v>748</v>
      </c>
      <c r="C525">
        <v>4131</v>
      </c>
      <c r="D525">
        <v>4131</v>
      </c>
      <c r="E525">
        <f>Table2[[#This Row],[Due_Amount]]-Table2[[#This Row],[Paid_Amount]]</f>
        <v>0</v>
      </c>
      <c r="F525" s="1">
        <v>45725</v>
      </c>
      <c r="G525">
        <v>7</v>
      </c>
      <c r="H525">
        <f>Table2[[#This Row],[Due_Amount]]*Table2[[#This Row],[Delay_Days]]</f>
        <v>28917</v>
      </c>
      <c r="I525" s="3" t="str">
        <f>IF(Table2[[#This Row],[Delay_Days]]=0,"On Time",IF(Table2[[#This Row],[Delay_Days]]&lt;=7,"Low Risk(1-7)",IF(Table2[[#This Row],[Delay_Days]]&lt;=15,"Medium Risk(8-15)",IF(Table2[[#This Row],[Delay_Days]]&lt;=30,"High Risk(16-30)","Severe Risk(30+)"))))</f>
        <v>Low Risk(1-7)</v>
      </c>
      <c r="J525" s="5">
        <f>AVERAGE(Table2[Due_Amount])</f>
        <v>4635.1866666666665</v>
      </c>
      <c r="K525" s="5">
        <f>Table2[[#This Row],[Estimated_Market_Rent]]-Table2[[#This Row],[Due_Amount]]</f>
        <v>504.1866666666665</v>
      </c>
      <c r="L525" s="6">
        <f>IF(Table2[[#This Row],[Current Rent Gap]]&gt;0,Table2[[#This Row],[Current Rent Gap]]/Table2[[#This Row],[Estimated_Market_Rent]],0)</f>
        <v>0.10877375668437658</v>
      </c>
      <c r="M525" s="3" t="str">
        <f>IF(Table2[[#This Row],[Under_Market %]]&gt;0.1,"Underpriced","OK")</f>
        <v>Underpriced</v>
      </c>
      <c r="N525" s="5">
        <f>SUMIFS(Table2[[#This Row],[Current Rent Gap]],Table2[[#This Row],[Current Rent Gap]],"&gt;0")</f>
        <v>504.1866666666665</v>
      </c>
    </row>
    <row r="526" spans="1:14" x14ac:dyDescent="0.35">
      <c r="A526" t="s">
        <v>231</v>
      </c>
      <c r="B526" t="s">
        <v>743</v>
      </c>
      <c r="C526">
        <v>3057</v>
      </c>
      <c r="D526">
        <v>2210</v>
      </c>
      <c r="E526">
        <f>Table2[[#This Row],[Due_Amount]]-Table2[[#This Row],[Paid_Amount]]</f>
        <v>847</v>
      </c>
      <c r="F526" s="1">
        <v>45882</v>
      </c>
      <c r="G526">
        <v>20</v>
      </c>
      <c r="H526">
        <f>Table2[[#This Row],[Due_Amount]]*Table2[[#This Row],[Delay_Days]]</f>
        <v>61140</v>
      </c>
      <c r="I526" s="3" t="str">
        <f>IF(Table2[[#This Row],[Delay_Days]]=0,"On Time",IF(Table2[[#This Row],[Delay_Days]]&lt;=7,"Low Risk(1-7)",IF(Table2[[#This Row],[Delay_Days]]&lt;=15,"Medium Risk(8-15)",IF(Table2[[#This Row],[Delay_Days]]&lt;=30,"High Risk(16-30)","Severe Risk(30+)"))))</f>
        <v>High Risk(16-30)</v>
      </c>
      <c r="J526" s="5">
        <f>AVERAGE(Table2[Due_Amount])</f>
        <v>4635.1866666666665</v>
      </c>
      <c r="K526" s="5">
        <f>Table2[[#This Row],[Estimated_Market_Rent]]-Table2[[#This Row],[Due_Amount]]</f>
        <v>1578.1866666666665</v>
      </c>
      <c r="L526" s="6">
        <f>IF(Table2[[#This Row],[Current Rent Gap]]&gt;0,Table2[[#This Row],[Current Rent Gap]]/Table2[[#This Row],[Estimated_Market_Rent]],0)</f>
        <v>0.34047963548393589</v>
      </c>
      <c r="M526" s="3" t="str">
        <f>IF(Table2[[#This Row],[Under_Market %]]&gt;0.1,"Underpriced","OK")</f>
        <v>Underpriced</v>
      </c>
      <c r="N526" s="5">
        <f>SUMIFS(Table2[[#This Row],[Current Rent Gap]],Table2[[#This Row],[Current Rent Gap]],"&gt;0")</f>
        <v>1578.1866666666665</v>
      </c>
    </row>
    <row r="527" spans="1:14" x14ac:dyDescent="0.35">
      <c r="A527" t="s">
        <v>661</v>
      </c>
      <c r="B527" t="s">
        <v>751</v>
      </c>
      <c r="C527">
        <v>4604</v>
      </c>
      <c r="D527">
        <v>4604</v>
      </c>
      <c r="E527">
        <f>Table2[[#This Row],[Due_Amount]]-Table2[[#This Row],[Paid_Amount]]</f>
        <v>0</v>
      </c>
      <c r="F527" s="1">
        <v>45956</v>
      </c>
      <c r="G527">
        <v>0</v>
      </c>
      <c r="H527">
        <f>Table2[[#This Row],[Due_Amount]]*Table2[[#This Row],[Delay_Days]]</f>
        <v>0</v>
      </c>
      <c r="I527" s="3" t="str">
        <f>IF(Table2[[#This Row],[Delay_Days]]=0,"On Time",IF(Table2[[#This Row],[Delay_Days]]&lt;=7,"Low Risk(1-7)",IF(Table2[[#This Row],[Delay_Days]]&lt;=15,"Medium Risk(8-15)",IF(Table2[[#This Row],[Delay_Days]]&lt;=30,"High Risk(16-30)","Severe Risk(30+)"))))</f>
        <v>On Time</v>
      </c>
      <c r="J527" s="5">
        <f>AVERAGE(Table2[Due_Amount])</f>
        <v>4635.1866666666665</v>
      </c>
      <c r="K527" s="5">
        <f>Table2[[#This Row],[Estimated_Market_Rent]]-Table2[[#This Row],[Due_Amount]]</f>
        <v>31.186666666666497</v>
      </c>
      <c r="L527" s="6">
        <f>IF(Table2[[#This Row],[Current Rent Gap]]&gt;0,Table2[[#This Row],[Current Rent Gap]]/Table2[[#This Row],[Estimated_Market_Rent]],0)</f>
        <v>6.7282439542168384E-3</v>
      </c>
      <c r="M527" s="3" t="str">
        <f>IF(Table2[[#This Row],[Under_Market %]]&gt;0.1,"Underpriced","OK")</f>
        <v>OK</v>
      </c>
      <c r="N527" s="5">
        <f>SUMIFS(Table2[[#This Row],[Current Rent Gap]],Table2[[#This Row],[Current Rent Gap]],"&gt;0")</f>
        <v>31.186666666666497</v>
      </c>
    </row>
    <row r="528" spans="1:14" x14ac:dyDescent="0.35">
      <c r="A528" t="s">
        <v>293</v>
      </c>
      <c r="B528" t="s">
        <v>743</v>
      </c>
      <c r="C528">
        <v>3566</v>
      </c>
      <c r="D528">
        <v>3566</v>
      </c>
      <c r="E528">
        <f>Table2[[#This Row],[Due_Amount]]-Table2[[#This Row],[Paid_Amount]]</f>
        <v>0</v>
      </c>
      <c r="F528" s="1">
        <v>45826</v>
      </c>
      <c r="G528">
        <v>3</v>
      </c>
      <c r="H528">
        <f>Table2[[#This Row],[Due_Amount]]*Table2[[#This Row],[Delay_Days]]</f>
        <v>10698</v>
      </c>
      <c r="I528" s="3" t="str">
        <f>IF(Table2[[#This Row],[Delay_Days]]=0,"On Time",IF(Table2[[#This Row],[Delay_Days]]&lt;=7,"Low Risk(1-7)",IF(Table2[[#This Row],[Delay_Days]]&lt;=15,"Medium Risk(8-15)",IF(Table2[[#This Row],[Delay_Days]]&lt;=30,"High Risk(16-30)","Severe Risk(30+)"))))</f>
        <v>Low Risk(1-7)</v>
      </c>
      <c r="J528" s="5">
        <f>AVERAGE(Table2[Due_Amount])</f>
        <v>4635.1866666666665</v>
      </c>
      <c r="K528" s="5">
        <f>Table2[[#This Row],[Estimated_Market_Rent]]-Table2[[#This Row],[Due_Amount]]</f>
        <v>1069.1866666666665</v>
      </c>
      <c r="L528" s="6">
        <f>IF(Table2[[#This Row],[Current Rent Gap]]&gt;0,Table2[[#This Row],[Current Rent Gap]]/Table2[[#This Row],[Estimated_Market_Rent]],0)</f>
        <v>0.23066744525211497</v>
      </c>
      <c r="M528" s="3" t="str">
        <f>IF(Table2[[#This Row],[Under_Market %]]&gt;0.1,"Underpriced","OK")</f>
        <v>Underpriced</v>
      </c>
      <c r="N528" s="5">
        <f>SUMIFS(Table2[[#This Row],[Current Rent Gap]],Table2[[#This Row],[Current Rent Gap]],"&gt;0")</f>
        <v>1069.1866666666665</v>
      </c>
    </row>
    <row r="529" spans="1:14" x14ac:dyDescent="0.35">
      <c r="A529" t="s">
        <v>123</v>
      </c>
      <c r="B529" t="s">
        <v>749</v>
      </c>
      <c r="C529">
        <v>3066</v>
      </c>
      <c r="D529">
        <v>3066</v>
      </c>
      <c r="E529">
        <f>Table2[[#This Row],[Due_Amount]]-Table2[[#This Row],[Paid_Amount]]</f>
        <v>0</v>
      </c>
      <c r="F529" s="1">
        <v>45978</v>
      </c>
      <c r="G529">
        <v>8</v>
      </c>
      <c r="H529">
        <f>Table2[[#This Row],[Due_Amount]]*Table2[[#This Row],[Delay_Days]]</f>
        <v>24528</v>
      </c>
      <c r="I529" s="3" t="str">
        <f>IF(Table2[[#This Row],[Delay_Days]]=0,"On Time",IF(Table2[[#This Row],[Delay_Days]]&lt;=7,"Low Risk(1-7)",IF(Table2[[#This Row],[Delay_Days]]&lt;=15,"Medium Risk(8-15)",IF(Table2[[#This Row],[Delay_Days]]&lt;=30,"High Risk(16-30)","Severe Risk(30+)"))))</f>
        <v>Medium Risk(8-15)</v>
      </c>
      <c r="J529" s="5">
        <f>AVERAGE(Table2[Due_Amount])</f>
        <v>4635.1866666666665</v>
      </c>
      <c r="K529" s="5">
        <f>Table2[[#This Row],[Estimated_Market_Rent]]-Table2[[#This Row],[Due_Amount]]</f>
        <v>1569.1866666666665</v>
      </c>
      <c r="L529" s="6">
        <f>IF(Table2[[#This Row],[Current Rent Gap]]&gt;0,Table2[[#This Row],[Current Rent Gap]]/Table2[[#This Row],[Estimated_Market_Rent]],0)</f>
        <v>0.3385379661085206</v>
      </c>
      <c r="M529" s="3" t="str">
        <f>IF(Table2[[#This Row],[Under_Market %]]&gt;0.1,"Underpriced","OK")</f>
        <v>Underpriced</v>
      </c>
      <c r="N529" s="5">
        <f>SUMIFS(Table2[[#This Row],[Current Rent Gap]],Table2[[#This Row],[Current Rent Gap]],"&gt;0")</f>
        <v>1569.1866666666665</v>
      </c>
    </row>
    <row r="530" spans="1:14" x14ac:dyDescent="0.35">
      <c r="A530" t="s">
        <v>413</v>
      </c>
      <c r="B530" t="s">
        <v>751</v>
      </c>
      <c r="C530">
        <v>2151</v>
      </c>
      <c r="D530">
        <v>2151</v>
      </c>
      <c r="E530">
        <f>Table2[[#This Row],[Due_Amount]]-Table2[[#This Row],[Paid_Amount]]</f>
        <v>0</v>
      </c>
      <c r="F530" s="1">
        <v>45754</v>
      </c>
      <c r="G530">
        <v>1</v>
      </c>
      <c r="H530">
        <f>Table2[[#This Row],[Due_Amount]]*Table2[[#This Row],[Delay_Days]]</f>
        <v>2151</v>
      </c>
      <c r="I530" s="3" t="str">
        <f>IF(Table2[[#This Row],[Delay_Days]]=0,"On Time",IF(Table2[[#This Row],[Delay_Days]]&lt;=7,"Low Risk(1-7)",IF(Table2[[#This Row],[Delay_Days]]&lt;=15,"Medium Risk(8-15)",IF(Table2[[#This Row],[Delay_Days]]&lt;=30,"High Risk(16-30)","Severe Risk(30+)"))))</f>
        <v>Low Risk(1-7)</v>
      </c>
      <c r="J530" s="5">
        <f>AVERAGE(Table2[Due_Amount])</f>
        <v>4635.1866666666665</v>
      </c>
      <c r="K530" s="5">
        <f>Table2[[#This Row],[Estimated_Market_Rent]]-Table2[[#This Row],[Due_Amount]]</f>
        <v>2484.1866666666665</v>
      </c>
      <c r="L530" s="6">
        <f>IF(Table2[[#This Row],[Current Rent Gap]]&gt;0,Table2[[#This Row],[Current Rent Gap]]/Table2[[#This Row],[Estimated_Market_Rent]],0)</f>
        <v>0.53594101927574289</v>
      </c>
      <c r="M530" s="3" t="str">
        <f>IF(Table2[[#This Row],[Under_Market %]]&gt;0.1,"Underpriced","OK")</f>
        <v>Underpriced</v>
      </c>
      <c r="N530" s="5">
        <f>SUMIFS(Table2[[#This Row],[Current Rent Gap]],Table2[[#This Row],[Current Rent Gap]],"&gt;0")</f>
        <v>2484.1866666666665</v>
      </c>
    </row>
    <row r="531" spans="1:14" x14ac:dyDescent="0.35">
      <c r="A531" t="s">
        <v>410</v>
      </c>
      <c r="B531" t="s">
        <v>753</v>
      </c>
      <c r="C531">
        <v>4343</v>
      </c>
      <c r="D531">
        <v>4343</v>
      </c>
      <c r="E531">
        <f>Table2[[#This Row],[Due_Amount]]-Table2[[#This Row],[Paid_Amount]]</f>
        <v>0</v>
      </c>
      <c r="F531" s="1">
        <v>45768</v>
      </c>
      <c r="G531">
        <v>4</v>
      </c>
      <c r="H531">
        <f>Table2[[#This Row],[Due_Amount]]*Table2[[#This Row],[Delay_Days]]</f>
        <v>17372</v>
      </c>
      <c r="I531" s="3" t="str">
        <f>IF(Table2[[#This Row],[Delay_Days]]=0,"On Time",IF(Table2[[#This Row],[Delay_Days]]&lt;=7,"Low Risk(1-7)",IF(Table2[[#This Row],[Delay_Days]]&lt;=15,"Medium Risk(8-15)",IF(Table2[[#This Row],[Delay_Days]]&lt;=30,"High Risk(16-30)","Severe Risk(30+)"))))</f>
        <v>Low Risk(1-7)</v>
      </c>
      <c r="J531" s="5">
        <f>AVERAGE(Table2[Due_Amount])</f>
        <v>4635.1866666666665</v>
      </c>
      <c r="K531" s="5">
        <f>Table2[[#This Row],[Estimated_Market_Rent]]-Table2[[#This Row],[Due_Amount]]</f>
        <v>292.1866666666665</v>
      </c>
      <c r="L531" s="6">
        <f>IF(Table2[[#This Row],[Current Rent Gap]]&gt;0,Table2[[#This Row],[Current Rent Gap]]/Table2[[#This Row],[Estimated_Market_Rent]],0)</f>
        <v>6.3036655841260586E-2</v>
      </c>
      <c r="M531" s="3" t="str">
        <f>IF(Table2[[#This Row],[Under_Market %]]&gt;0.1,"Underpriced","OK")</f>
        <v>OK</v>
      </c>
      <c r="N531" s="5">
        <f>SUMIFS(Table2[[#This Row],[Current Rent Gap]],Table2[[#This Row],[Current Rent Gap]],"&gt;0")</f>
        <v>292.1866666666665</v>
      </c>
    </row>
    <row r="532" spans="1:14" x14ac:dyDescent="0.35">
      <c r="A532" t="s">
        <v>120</v>
      </c>
      <c r="B532" t="s">
        <v>751</v>
      </c>
      <c r="C532">
        <v>6675</v>
      </c>
      <c r="D532">
        <v>6675</v>
      </c>
      <c r="E532">
        <f>Table2[[#This Row],[Due_Amount]]-Table2[[#This Row],[Paid_Amount]]</f>
        <v>0</v>
      </c>
      <c r="F532" s="1">
        <v>45843</v>
      </c>
      <c r="G532">
        <v>7</v>
      </c>
      <c r="H532">
        <f>Table2[[#This Row],[Due_Amount]]*Table2[[#This Row],[Delay_Days]]</f>
        <v>46725</v>
      </c>
      <c r="I532" s="3" t="str">
        <f>IF(Table2[[#This Row],[Delay_Days]]=0,"On Time",IF(Table2[[#This Row],[Delay_Days]]&lt;=7,"Low Risk(1-7)",IF(Table2[[#This Row],[Delay_Days]]&lt;=15,"Medium Risk(8-15)",IF(Table2[[#This Row],[Delay_Days]]&lt;=30,"High Risk(16-30)","Severe Risk(30+)"))))</f>
        <v>Low Risk(1-7)</v>
      </c>
      <c r="J532" s="5">
        <f>AVERAGE(Table2[Due_Amount])</f>
        <v>4635.1866666666665</v>
      </c>
      <c r="K532" s="5">
        <f>Table2[[#This Row],[Estimated_Market_Rent]]-Table2[[#This Row],[Due_Amount]]</f>
        <v>-2039.8133333333335</v>
      </c>
      <c r="L532" s="6">
        <f>IF(Table2[[#This Row],[Current Rent Gap]]&gt;0,Table2[[#This Row],[Current Rent Gap]]/Table2[[#This Row],[Estimated_Market_Rent]],0)</f>
        <v>0</v>
      </c>
      <c r="M532" s="3" t="str">
        <f>IF(Table2[[#This Row],[Under_Market %]]&gt;0.1,"Underpriced","OK")</f>
        <v>OK</v>
      </c>
      <c r="N532" s="5">
        <f>SUMIFS(Table2[[#This Row],[Current Rent Gap]],Table2[[#This Row],[Current Rent Gap]],"&gt;0")</f>
        <v>0</v>
      </c>
    </row>
    <row r="533" spans="1:14" x14ac:dyDescent="0.35">
      <c r="A533" t="s">
        <v>114</v>
      </c>
      <c r="B533" t="s">
        <v>754</v>
      </c>
      <c r="C533">
        <v>2744</v>
      </c>
      <c r="D533">
        <v>2744</v>
      </c>
      <c r="E533">
        <f>Table2[[#This Row],[Due_Amount]]-Table2[[#This Row],[Paid_Amount]]</f>
        <v>0</v>
      </c>
      <c r="F533" s="1">
        <v>46003</v>
      </c>
      <c r="G533">
        <v>8</v>
      </c>
      <c r="H533">
        <f>Table2[[#This Row],[Due_Amount]]*Table2[[#This Row],[Delay_Days]]</f>
        <v>21952</v>
      </c>
      <c r="I533" s="3" t="str">
        <f>IF(Table2[[#This Row],[Delay_Days]]=0,"On Time",IF(Table2[[#This Row],[Delay_Days]]&lt;=7,"Low Risk(1-7)",IF(Table2[[#This Row],[Delay_Days]]&lt;=15,"Medium Risk(8-15)",IF(Table2[[#This Row],[Delay_Days]]&lt;=30,"High Risk(16-30)","Severe Risk(30+)"))))</f>
        <v>Medium Risk(8-15)</v>
      </c>
      <c r="J533" s="5">
        <f>AVERAGE(Table2[Due_Amount])</f>
        <v>4635.1866666666665</v>
      </c>
      <c r="K533" s="5">
        <f>Table2[[#This Row],[Estimated_Market_Rent]]-Table2[[#This Row],[Due_Amount]]</f>
        <v>1891.1866666666665</v>
      </c>
      <c r="L533" s="6">
        <f>IF(Table2[[#This Row],[Current Rent Gap]]&gt;0,Table2[[#This Row],[Current Rent Gap]]/Table2[[#This Row],[Estimated_Market_Rent]],0)</f>
        <v>0.40800658154004582</v>
      </c>
      <c r="M533" s="3" t="str">
        <f>IF(Table2[[#This Row],[Under_Market %]]&gt;0.1,"Underpriced","OK")</f>
        <v>Underpriced</v>
      </c>
      <c r="N533" s="5">
        <f>SUMIFS(Table2[[#This Row],[Current Rent Gap]],Table2[[#This Row],[Current Rent Gap]],"&gt;0")</f>
        <v>1891.1866666666665</v>
      </c>
    </row>
    <row r="534" spans="1:14" x14ac:dyDescent="0.35">
      <c r="A534" t="s">
        <v>327</v>
      </c>
      <c r="B534" t="s">
        <v>748</v>
      </c>
      <c r="C534">
        <v>5795</v>
      </c>
      <c r="D534">
        <v>5746</v>
      </c>
      <c r="E534">
        <f>Table2[[#This Row],[Due_Amount]]-Table2[[#This Row],[Paid_Amount]]</f>
        <v>49</v>
      </c>
      <c r="F534" s="1">
        <v>45906</v>
      </c>
      <c r="G534">
        <v>20</v>
      </c>
      <c r="H534">
        <f>Table2[[#This Row],[Due_Amount]]*Table2[[#This Row],[Delay_Days]]</f>
        <v>115900</v>
      </c>
      <c r="I534" s="3" t="str">
        <f>IF(Table2[[#This Row],[Delay_Days]]=0,"On Time",IF(Table2[[#This Row],[Delay_Days]]&lt;=7,"Low Risk(1-7)",IF(Table2[[#This Row],[Delay_Days]]&lt;=15,"Medium Risk(8-15)",IF(Table2[[#This Row],[Delay_Days]]&lt;=30,"High Risk(16-30)","Severe Risk(30+)"))))</f>
        <v>High Risk(16-30)</v>
      </c>
      <c r="J534" s="5">
        <f>AVERAGE(Table2[Due_Amount])</f>
        <v>4635.1866666666665</v>
      </c>
      <c r="K534" s="5">
        <f>Table2[[#This Row],[Estimated_Market_Rent]]-Table2[[#This Row],[Due_Amount]]</f>
        <v>-1159.8133333333335</v>
      </c>
      <c r="L534" s="6">
        <f>IF(Table2[[#This Row],[Current Rent Gap]]&gt;0,Table2[[#This Row],[Current Rent Gap]]/Table2[[#This Row],[Estimated_Market_Rent]],0)</f>
        <v>0</v>
      </c>
      <c r="M534" s="3" t="str">
        <f>IF(Table2[[#This Row],[Under_Market %]]&gt;0.1,"Underpriced","OK")</f>
        <v>OK</v>
      </c>
      <c r="N534" s="5">
        <f>SUMIFS(Table2[[#This Row],[Current Rent Gap]],Table2[[#This Row],[Current Rent Gap]],"&gt;0")</f>
        <v>0</v>
      </c>
    </row>
    <row r="535" spans="1:14" x14ac:dyDescent="0.35">
      <c r="A535" t="s">
        <v>565</v>
      </c>
      <c r="B535" t="s">
        <v>744</v>
      </c>
      <c r="C535">
        <v>4152</v>
      </c>
      <c r="D535">
        <v>4152</v>
      </c>
      <c r="E535">
        <f>Table2[[#This Row],[Due_Amount]]-Table2[[#This Row],[Paid_Amount]]</f>
        <v>0</v>
      </c>
      <c r="F535" s="1">
        <v>45969</v>
      </c>
      <c r="G535">
        <v>6</v>
      </c>
      <c r="H535">
        <f>Table2[[#This Row],[Due_Amount]]*Table2[[#This Row],[Delay_Days]]</f>
        <v>24912</v>
      </c>
      <c r="I535" s="3" t="str">
        <f>IF(Table2[[#This Row],[Delay_Days]]=0,"On Time",IF(Table2[[#This Row],[Delay_Days]]&lt;=7,"Low Risk(1-7)",IF(Table2[[#This Row],[Delay_Days]]&lt;=15,"Medium Risk(8-15)",IF(Table2[[#This Row],[Delay_Days]]&lt;=30,"High Risk(16-30)","Severe Risk(30+)"))))</f>
        <v>Low Risk(1-7)</v>
      </c>
      <c r="J535" s="5">
        <f>AVERAGE(Table2[Due_Amount])</f>
        <v>4635.1866666666665</v>
      </c>
      <c r="K535" s="5">
        <f>Table2[[#This Row],[Estimated_Market_Rent]]-Table2[[#This Row],[Due_Amount]]</f>
        <v>483.1866666666665</v>
      </c>
      <c r="L535" s="6">
        <f>IF(Table2[[#This Row],[Current Rent Gap]]&gt;0,Table2[[#This Row],[Current Rent Gap]]/Table2[[#This Row],[Estimated_Market_Rent]],0)</f>
        <v>0.10424319480840753</v>
      </c>
      <c r="M535" s="3" t="str">
        <f>IF(Table2[[#This Row],[Under_Market %]]&gt;0.1,"Underpriced","OK")</f>
        <v>Underpriced</v>
      </c>
      <c r="N535" s="5">
        <f>SUMIFS(Table2[[#This Row],[Current Rent Gap]],Table2[[#This Row],[Current Rent Gap]],"&gt;0")</f>
        <v>483.1866666666665</v>
      </c>
    </row>
    <row r="536" spans="1:14" x14ac:dyDescent="0.35">
      <c r="A536" t="s">
        <v>718</v>
      </c>
      <c r="B536" t="s">
        <v>748</v>
      </c>
      <c r="C536">
        <v>6640</v>
      </c>
      <c r="D536">
        <v>6548</v>
      </c>
      <c r="E536">
        <f>Table2[[#This Row],[Due_Amount]]-Table2[[#This Row],[Paid_Amount]]</f>
        <v>92</v>
      </c>
      <c r="F536" s="1">
        <v>45700</v>
      </c>
      <c r="G536">
        <v>22</v>
      </c>
      <c r="H536">
        <f>Table2[[#This Row],[Due_Amount]]*Table2[[#This Row],[Delay_Days]]</f>
        <v>146080</v>
      </c>
      <c r="I536" s="3" t="str">
        <f>IF(Table2[[#This Row],[Delay_Days]]=0,"On Time",IF(Table2[[#This Row],[Delay_Days]]&lt;=7,"Low Risk(1-7)",IF(Table2[[#This Row],[Delay_Days]]&lt;=15,"Medium Risk(8-15)",IF(Table2[[#This Row],[Delay_Days]]&lt;=30,"High Risk(16-30)","Severe Risk(30+)"))))</f>
        <v>High Risk(16-30)</v>
      </c>
      <c r="J536" s="5">
        <f>AVERAGE(Table2[Due_Amount])</f>
        <v>4635.1866666666665</v>
      </c>
      <c r="K536" s="5">
        <f>Table2[[#This Row],[Estimated_Market_Rent]]-Table2[[#This Row],[Due_Amount]]</f>
        <v>-2004.8133333333335</v>
      </c>
      <c r="L536" s="6">
        <f>IF(Table2[[#This Row],[Current Rent Gap]]&gt;0,Table2[[#This Row],[Current Rent Gap]]/Table2[[#This Row],[Estimated_Market_Rent]],0)</f>
        <v>0</v>
      </c>
      <c r="M536" s="3" t="str">
        <f>IF(Table2[[#This Row],[Under_Market %]]&gt;0.1,"Underpriced","OK")</f>
        <v>OK</v>
      </c>
      <c r="N536" s="5">
        <f>SUMIFS(Table2[[#This Row],[Current Rent Gap]],Table2[[#This Row],[Current Rent Gap]],"&gt;0")</f>
        <v>0</v>
      </c>
    </row>
    <row r="537" spans="1:14" x14ac:dyDescent="0.35">
      <c r="A537" t="s">
        <v>504</v>
      </c>
      <c r="B537" t="s">
        <v>744</v>
      </c>
      <c r="C537">
        <v>5344</v>
      </c>
      <c r="D537">
        <v>4827</v>
      </c>
      <c r="E537">
        <f>Table2[[#This Row],[Due_Amount]]-Table2[[#This Row],[Paid_Amount]]</f>
        <v>517</v>
      </c>
      <c r="F537" s="1">
        <v>45954</v>
      </c>
      <c r="G537">
        <v>24</v>
      </c>
      <c r="H537">
        <f>Table2[[#This Row],[Due_Amount]]*Table2[[#This Row],[Delay_Days]]</f>
        <v>128256</v>
      </c>
      <c r="I537" s="3" t="str">
        <f>IF(Table2[[#This Row],[Delay_Days]]=0,"On Time",IF(Table2[[#This Row],[Delay_Days]]&lt;=7,"Low Risk(1-7)",IF(Table2[[#This Row],[Delay_Days]]&lt;=15,"Medium Risk(8-15)",IF(Table2[[#This Row],[Delay_Days]]&lt;=30,"High Risk(16-30)","Severe Risk(30+)"))))</f>
        <v>High Risk(16-30)</v>
      </c>
      <c r="J537" s="5">
        <f>AVERAGE(Table2[Due_Amount])</f>
        <v>4635.1866666666665</v>
      </c>
      <c r="K537" s="5">
        <f>Table2[[#This Row],[Estimated_Market_Rent]]-Table2[[#This Row],[Due_Amount]]</f>
        <v>-708.8133333333335</v>
      </c>
      <c r="L537" s="6">
        <f>IF(Table2[[#This Row],[Current Rent Gap]]&gt;0,Table2[[#This Row],[Current Rent Gap]]/Table2[[#This Row],[Estimated_Market_Rent]],0)</f>
        <v>0</v>
      </c>
      <c r="M537" s="3" t="str">
        <f>IF(Table2[[#This Row],[Under_Market %]]&gt;0.1,"Underpriced","OK")</f>
        <v>OK</v>
      </c>
      <c r="N537" s="5">
        <f>SUMIFS(Table2[[#This Row],[Current Rent Gap]],Table2[[#This Row],[Current Rent Gap]],"&gt;0")</f>
        <v>0</v>
      </c>
    </row>
    <row r="538" spans="1:14" x14ac:dyDescent="0.35">
      <c r="A538" t="s">
        <v>373</v>
      </c>
      <c r="B538" t="s">
        <v>746</v>
      </c>
      <c r="C538">
        <v>4085</v>
      </c>
      <c r="D538">
        <v>3544</v>
      </c>
      <c r="E538">
        <f>Table2[[#This Row],[Due_Amount]]-Table2[[#This Row],[Paid_Amount]]</f>
        <v>541</v>
      </c>
      <c r="F538" s="1">
        <v>45944</v>
      </c>
      <c r="G538">
        <v>19</v>
      </c>
      <c r="H538">
        <f>Table2[[#This Row],[Due_Amount]]*Table2[[#This Row],[Delay_Days]]</f>
        <v>77615</v>
      </c>
      <c r="I538" s="3" t="str">
        <f>IF(Table2[[#This Row],[Delay_Days]]=0,"On Time",IF(Table2[[#This Row],[Delay_Days]]&lt;=7,"Low Risk(1-7)",IF(Table2[[#This Row],[Delay_Days]]&lt;=15,"Medium Risk(8-15)",IF(Table2[[#This Row],[Delay_Days]]&lt;=30,"High Risk(16-30)","Severe Risk(30+)"))))</f>
        <v>High Risk(16-30)</v>
      </c>
      <c r="J538" s="5">
        <f>AVERAGE(Table2[Due_Amount])</f>
        <v>4635.1866666666665</v>
      </c>
      <c r="K538" s="5">
        <f>Table2[[#This Row],[Estimated_Market_Rent]]-Table2[[#This Row],[Due_Amount]]</f>
        <v>550.1866666666665</v>
      </c>
      <c r="L538" s="6">
        <f>IF(Table2[[#This Row],[Current Rent Gap]]&gt;0,Table2[[#This Row],[Current Rent Gap]]/Table2[[#This Row],[Estimated_Market_Rent]],0)</f>
        <v>0.11869784460316589</v>
      </c>
      <c r="M538" s="3" t="str">
        <f>IF(Table2[[#This Row],[Under_Market %]]&gt;0.1,"Underpriced","OK")</f>
        <v>Underpriced</v>
      </c>
      <c r="N538" s="5">
        <f>SUMIFS(Table2[[#This Row],[Current Rent Gap]],Table2[[#This Row],[Current Rent Gap]],"&gt;0")</f>
        <v>550.1866666666665</v>
      </c>
    </row>
    <row r="539" spans="1:14" x14ac:dyDescent="0.35">
      <c r="A539" t="s">
        <v>371</v>
      </c>
      <c r="B539" t="s">
        <v>749</v>
      </c>
      <c r="C539">
        <v>4183</v>
      </c>
      <c r="D539">
        <v>4183</v>
      </c>
      <c r="E539">
        <f>Table2[[#This Row],[Due_Amount]]-Table2[[#This Row],[Paid_Amount]]</f>
        <v>0</v>
      </c>
      <c r="F539" s="1">
        <v>45844</v>
      </c>
      <c r="G539">
        <v>4</v>
      </c>
      <c r="H539">
        <f>Table2[[#This Row],[Due_Amount]]*Table2[[#This Row],[Delay_Days]]</f>
        <v>16732</v>
      </c>
      <c r="I539" s="3" t="str">
        <f>IF(Table2[[#This Row],[Delay_Days]]=0,"On Time",IF(Table2[[#This Row],[Delay_Days]]&lt;=7,"Low Risk(1-7)",IF(Table2[[#This Row],[Delay_Days]]&lt;=15,"Medium Risk(8-15)",IF(Table2[[#This Row],[Delay_Days]]&lt;=30,"High Risk(16-30)","Severe Risk(30+)"))))</f>
        <v>Low Risk(1-7)</v>
      </c>
      <c r="J539" s="5">
        <f>AVERAGE(Table2[Due_Amount])</f>
        <v>4635.1866666666665</v>
      </c>
      <c r="K539" s="5">
        <f>Table2[[#This Row],[Estimated_Market_Rent]]-Table2[[#This Row],[Due_Amount]]</f>
        <v>452.1866666666665</v>
      </c>
      <c r="L539" s="6">
        <f>IF(Table2[[#This Row],[Current Rent Gap]]&gt;0,Table2[[#This Row],[Current Rent Gap]]/Table2[[#This Row],[Estimated_Market_Rent]],0)</f>
        <v>9.7555222515310389E-2</v>
      </c>
      <c r="M539" s="3" t="str">
        <f>IF(Table2[[#This Row],[Under_Market %]]&gt;0.1,"Underpriced","OK")</f>
        <v>OK</v>
      </c>
      <c r="N539" s="5">
        <f>SUMIFS(Table2[[#This Row],[Current Rent Gap]],Table2[[#This Row],[Current Rent Gap]],"&gt;0")</f>
        <v>452.1866666666665</v>
      </c>
    </row>
    <row r="540" spans="1:14" x14ac:dyDescent="0.35">
      <c r="A540" t="s">
        <v>312</v>
      </c>
      <c r="B540" t="s">
        <v>743</v>
      </c>
      <c r="C540">
        <v>3676</v>
      </c>
      <c r="D540">
        <v>3183</v>
      </c>
      <c r="E540">
        <f>Table2[[#This Row],[Due_Amount]]-Table2[[#This Row],[Paid_Amount]]</f>
        <v>493</v>
      </c>
      <c r="F540" s="1">
        <v>45848</v>
      </c>
      <c r="G540">
        <v>12</v>
      </c>
      <c r="H540">
        <f>Table2[[#This Row],[Due_Amount]]*Table2[[#This Row],[Delay_Days]]</f>
        <v>44112</v>
      </c>
      <c r="I540" s="3" t="str">
        <f>IF(Table2[[#This Row],[Delay_Days]]=0,"On Time",IF(Table2[[#This Row],[Delay_Days]]&lt;=7,"Low Risk(1-7)",IF(Table2[[#This Row],[Delay_Days]]&lt;=15,"Medium Risk(8-15)",IF(Table2[[#This Row],[Delay_Days]]&lt;=30,"High Risk(16-30)","Severe Risk(30+)"))))</f>
        <v>Medium Risk(8-15)</v>
      </c>
      <c r="J540" s="5">
        <f>AVERAGE(Table2[Due_Amount])</f>
        <v>4635.1866666666665</v>
      </c>
      <c r="K540" s="5">
        <f>Table2[[#This Row],[Estimated_Market_Rent]]-Table2[[#This Row],[Due_Amount]]</f>
        <v>959.1866666666665</v>
      </c>
      <c r="L540" s="6">
        <f>IF(Table2[[#This Row],[Current Rent Gap]]&gt;0,Table2[[#This Row],[Current Rent Gap]]/Table2[[#This Row],[Estimated_Market_Rent]],0)</f>
        <v>0.20693593066370572</v>
      </c>
      <c r="M540" s="3" t="str">
        <f>IF(Table2[[#This Row],[Under_Market %]]&gt;0.1,"Underpriced","OK")</f>
        <v>Underpriced</v>
      </c>
      <c r="N540" s="5">
        <f>SUMIFS(Table2[[#This Row],[Current Rent Gap]],Table2[[#This Row],[Current Rent Gap]],"&gt;0")</f>
        <v>959.1866666666665</v>
      </c>
    </row>
    <row r="541" spans="1:14" x14ac:dyDescent="0.35">
      <c r="A541" t="s">
        <v>216</v>
      </c>
      <c r="B541" t="s">
        <v>751</v>
      </c>
      <c r="C541">
        <v>5451</v>
      </c>
      <c r="D541">
        <v>5113</v>
      </c>
      <c r="E541">
        <f>Table2[[#This Row],[Due_Amount]]-Table2[[#This Row],[Paid_Amount]]</f>
        <v>338</v>
      </c>
      <c r="F541" s="1">
        <v>46013</v>
      </c>
      <c r="G541">
        <v>22</v>
      </c>
      <c r="H541">
        <f>Table2[[#This Row],[Due_Amount]]*Table2[[#This Row],[Delay_Days]]</f>
        <v>119922</v>
      </c>
      <c r="I541" s="3" t="str">
        <f>IF(Table2[[#This Row],[Delay_Days]]=0,"On Time",IF(Table2[[#This Row],[Delay_Days]]&lt;=7,"Low Risk(1-7)",IF(Table2[[#This Row],[Delay_Days]]&lt;=15,"Medium Risk(8-15)",IF(Table2[[#This Row],[Delay_Days]]&lt;=30,"High Risk(16-30)","Severe Risk(30+)"))))</f>
        <v>High Risk(16-30)</v>
      </c>
      <c r="J541" s="5">
        <f>AVERAGE(Table2[Due_Amount])</f>
        <v>4635.1866666666665</v>
      </c>
      <c r="K541" s="5">
        <f>Table2[[#This Row],[Estimated_Market_Rent]]-Table2[[#This Row],[Due_Amount]]</f>
        <v>-815.8133333333335</v>
      </c>
      <c r="L541" s="6">
        <f>IF(Table2[[#This Row],[Current Rent Gap]]&gt;0,Table2[[#This Row],[Current Rent Gap]]/Table2[[#This Row],[Estimated_Market_Rent]],0)</f>
        <v>0</v>
      </c>
      <c r="M541" s="3" t="str">
        <f>IF(Table2[[#This Row],[Under_Market %]]&gt;0.1,"Underpriced","OK")</f>
        <v>OK</v>
      </c>
      <c r="N541" s="5">
        <f>SUMIFS(Table2[[#This Row],[Current Rent Gap]],Table2[[#This Row],[Current Rent Gap]],"&gt;0")</f>
        <v>0</v>
      </c>
    </row>
    <row r="542" spans="1:14" x14ac:dyDescent="0.35">
      <c r="A542" t="s">
        <v>199</v>
      </c>
      <c r="B542" t="s">
        <v>749</v>
      </c>
      <c r="C542">
        <v>3957</v>
      </c>
      <c r="D542">
        <v>3665</v>
      </c>
      <c r="E542">
        <f>Table2[[#This Row],[Due_Amount]]-Table2[[#This Row],[Paid_Amount]]</f>
        <v>292</v>
      </c>
      <c r="F542" s="1">
        <v>45664</v>
      </c>
      <c r="G542">
        <v>21</v>
      </c>
      <c r="H542">
        <f>Table2[[#This Row],[Due_Amount]]*Table2[[#This Row],[Delay_Days]]</f>
        <v>83097</v>
      </c>
      <c r="I542" s="3" t="str">
        <f>IF(Table2[[#This Row],[Delay_Days]]=0,"On Time",IF(Table2[[#This Row],[Delay_Days]]&lt;=7,"Low Risk(1-7)",IF(Table2[[#This Row],[Delay_Days]]&lt;=15,"Medium Risk(8-15)",IF(Table2[[#This Row],[Delay_Days]]&lt;=30,"High Risk(16-30)","Severe Risk(30+)"))))</f>
        <v>High Risk(16-30)</v>
      </c>
      <c r="J542" s="5">
        <f>AVERAGE(Table2[Due_Amount])</f>
        <v>4635.1866666666665</v>
      </c>
      <c r="K542" s="5">
        <f>Table2[[#This Row],[Estimated_Market_Rent]]-Table2[[#This Row],[Due_Amount]]</f>
        <v>678.1866666666665</v>
      </c>
      <c r="L542" s="6">
        <f>IF(Table2[[#This Row],[Current Rent Gap]]&gt;0,Table2[[#This Row],[Current Rent Gap]]/Table2[[#This Row],[Estimated_Market_Rent]],0)</f>
        <v>0.14631269794240573</v>
      </c>
      <c r="M542" s="3" t="str">
        <f>IF(Table2[[#This Row],[Under_Market %]]&gt;0.1,"Underpriced","OK")</f>
        <v>Underpriced</v>
      </c>
      <c r="N542" s="5">
        <f>SUMIFS(Table2[[#This Row],[Current Rent Gap]],Table2[[#This Row],[Current Rent Gap]],"&gt;0")</f>
        <v>678.1866666666665</v>
      </c>
    </row>
    <row r="543" spans="1:14" x14ac:dyDescent="0.35">
      <c r="A543" t="s">
        <v>663</v>
      </c>
      <c r="B543" t="s">
        <v>743</v>
      </c>
      <c r="C543">
        <v>3227</v>
      </c>
      <c r="D543">
        <v>2539</v>
      </c>
      <c r="E543">
        <f>Table2[[#This Row],[Due_Amount]]-Table2[[#This Row],[Paid_Amount]]</f>
        <v>688</v>
      </c>
      <c r="F543" s="1">
        <v>45846</v>
      </c>
      <c r="G543">
        <v>19</v>
      </c>
      <c r="H543">
        <f>Table2[[#This Row],[Due_Amount]]*Table2[[#This Row],[Delay_Days]]</f>
        <v>61313</v>
      </c>
      <c r="I543" s="3" t="str">
        <f>IF(Table2[[#This Row],[Delay_Days]]=0,"On Time",IF(Table2[[#This Row],[Delay_Days]]&lt;=7,"Low Risk(1-7)",IF(Table2[[#This Row],[Delay_Days]]&lt;=15,"Medium Risk(8-15)",IF(Table2[[#This Row],[Delay_Days]]&lt;=30,"High Risk(16-30)","Severe Risk(30+)"))))</f>
        <v>High Risk(16-30)</v>
      </c>
      <c r="J543" s="5">
        <f>AVERAGE(Table2[Due_Amount])</f>
        <v>4635.1866666666665</v>
      </c>
      <c r="K543" s="5">
        <f>Table2[[#This Row],[Estimated_Market_Rent]]-Table2[[#This Row],[Due_Amount]]</f>
        <v>1408.1866666666665</v>
      </c>
      <c r="L543" s="6">
        <f>IF(Table2[[#This Row],[Current Rent Gap]]&gt;0,Table2[[#This Row],[Current Rent Gap]]/Table2[[#This Row],[Estimated_Market_Rent]],0)</f>
        <v>0.30380365839275797</v>
      </c>
      <c r="M543" s="3" t="str">
        <f>IF(Table2[[#This Row],[Under_Market %]]&gt;0.1,"Underpriced","OK")</f>
        <v>Underpriced</v>
      </c>
      <c r="N543" s="5">
        <f>SUMIFS(Table2[[#This Row],[Current Rent Gap]],Table2[[#This Row],[Current Rent Gap]],"&gt;0")</f>
        <v>1408.1866666666665</v>
      </c>
    </row>
    <row r="544" spans="1:14" x14ac:dyDescent="0.35">
      <c r="A544" t="s">
        <v>712</v>
      </c>
      <c r="B544" t="s">
        <v>754</v>
      </c>
      <c r="C544">
        <v>2044</v>
      </c>
      <c r="D544">
        <v>1092</v>
      </c>
      <c r="E544">
        <f>Table2[[#This Row],[Due_Amount]]-Table2[[#This Row],[Paid_Amount]]</f>
        <v>952</v>
      </c>
      <c r="F544" s="1">
        <v>45699</v>
      </c>
      <c r="G544">
        <v>17</v>
      </c>
      <c r="H544">
        <f>Table2[[#This Row],[Due_Amount]]*Table2[[#This Row],[Delay_Days]]</f>
        <v>34748</v>
      </c>
      <c r="I544" s="3" t="str">
        <f>IF(Table2[[#This Row],[Delay_Days]]=0,"On Time",IF(Table2[[#This Row],[Delay_Days]]&lt;=7,"Low Risk(1-7)",IF(Table2[[#This Row],[Delay_Days]]&lt;=15,"Medium Risk(8-15)",IF(Table2[[#This Row],[Delay_Days]]&lt;=30,"High Risk(16-30)","Severe Risk(30+)"))))</f>
        <v>High Risk(16-30)</v>
      </c>
      <c r="J544" s="5">
        <f>AVERAGE(Table2[Due_Amount])</f>
        <v>4635.1866666666665</v>
      </c>
      <c r="K544" s="5">
        <f>Table2[[#This Row],[Estimated_Market_Rent]]-Table2[[#This Row],[Due_Amount]]</f>
        <v>2591.1866666666665</v>
      </c>
      <c r="L544" s="6">
        <f>IF(Table2[[#This Row],[Current Rent Gap]]&gt;0,Table2[[#This Row],[Current Rent Gap]]/Table2[[#This Row],[Estimated_Market_Rent]],0)</f>
        <v>0.55902531073901374</v>
      </c>
      <c r="M544" s="3" t="str">
        <f>IF(Table2[[#This Row],[Under_Market %]]&gt;0.1,"Underpriced","OK")</f>
        <v>Underpriced</v>
      </c>
      <c r="N544" s="5">
        <f>SUMIFS(Table2[[#This Row],[Current Rent Gap]],Table2[[#This Row],[Current Rent Gap]],"&gt;0")</f>
        <v>2591.1866666666665</v>
      </c>
    </row>
    <row r="545" spans="1:14" x14ac:dyDescent="0.35">
      <c r="A545" t="s">
        <v>580</v>
      </c>
      <c r="B545" t="s">
        <v>754</v>
      </c>
      <c r="C545">
        <v>4890</v>
      </c>
      <c r="D545">
        <v>4890</v>
      </c>
      <c r="E545">
        <f>Table2[[#This Row],[Due_Amount]]-Table2[[#This Row],[Paid_Amount]]</f>
        <v>0</v>
      </c>
      <c r="F545" s="1">
        <v>45814</v>
      </c>
      <c r="G545">
        <v>4</v>
      </c>
      <c r="H545">
        <f>Table2[[#This Row],[Due_Amount]]*Table2[[#This Row],[Delay_Days]]</f>
        <v>19560</v>
      </c>
      <c r="I545" s="3" t="str">
        <f>IF(Table2[[#This Row],[Delay_Days]]=0,"On Time",IF(Table2[[#This Row],[Delay_Days]]&lt;=7,"Low Risk(1-7)",IF(Table2[[#This Row],[Delay_Days]]&lt;=15,"Medium Risk(8-15)",IF(Table2[[#This Row],[Delay_Days]]&lt;=30,"High Risk(16-30)","Severe Risk(30+)"))))</f>
        <v>Low Risk(1-7)</v>
      </c>
      <c r="J545" s="5">
        <f>AVERAGE(Table2[Due_Amount])</f>
        <v>4635.1866666666665</v>
      </c>
      <c r="K545" s="5">
        <f>Table2[[#This Row],[Estimated_Market_Rent]]-Table2[[#This Row],[Due_Amount]]</f>
        <v>-254.8133333333335</v>
      </c>
      <c r="L545" s="6">
        <f>IF(Table2[[#This Row],[Current Rent Gap]]&gt;0,Table2[[#This Row],[Current Rent Gap]]/Table2[[#This Row],[Estimated_Market_Rent]],0)</f>
        <v>0</v>
      </c>
      <c r="M545" s="3" t="str">
        <f>IF(Table2[[#This Row],[Under_Market %]]&gt;0.1,"Underpriced","OK")</f>
        <v>OK</v>
      </c>
      <c r="N545" s="5">
        <f>SUMIFS(Table2[[#This Row],[Current Rent Gap]],Table2[[#This Row],[Current Rent Gap]],"&gt;0")</f>
        <v>0</v>
      </c>
    </row>
    <row r="546" spans="1:14" x14ac:dyDescent="0.35">
      <c r="A546" t="s">
        <v>44</v>
      </c>
      <c r="B546" t="s">
        <v>743</v>
      </c>
      <c r="C546">
        <v>4316</v>
      </c>
      <c r="D546">
        <v>3625</v>
      </c>
      <c r="E546">
        <f>Table2[[#This Row],[Due_Amount]]-Table2[[#This Row],[Paid_Amount]]</f>
        <v>691</v>
      </c>
      <c r="F546" s="1">
        <v>45668</v>
      </c>
      <c r="G546">
        <v>19</v>
      </c>
      <c r="H546">
        <f>Table2[[#This Row],[Due_Amount]]*Table2[[#This Row],[Delay_Days]]</f>
        <v>82004</v>
      </c>
      <c r="I546" s="3" t="str">
        <f>IF(Table2[[#This Row],[Delay_Days]]=0,"On Time",IF(Table2[[#This Row],[Delay_Days]]&lt;=7,"Low Risk(1-7)",IF(Table2[[#This Row],[Delay_Days]]&lt;=15,"Medium Risk(8-15)",IF(Table2[[#This Row],[Delay_Days]]&lt;=30,"High Risk(16-30)","Severe Risk(30+)"))))</f>
        <v>High Risk(16-30)</v>
      </c>
      <c r="J546" s="5">
        <f>AVERAGE(Table2[Due_Amount])</f>
        <v>4635.1866666666665</v>
      </c>
      <c r="K546" s="5">
        <f>Table2[[#This Row],[Estimated_Market_Rent]]-Table2[[#This Row],[Due_Amount]]</f>
        <v>319.1866666666665</v>
      </c>
      <c r="L546" s="6">
        <f>IF(Table2[[#This Row],[Current Rent Gap]]&gt;0,Table2[[#This Row],[Current Rent Gap]]/Table2[[#This Row],[Estimated_Market_Rent]],0)</f>
        <v>6.8861663967506495E-2</v>
      </c>
      <c r="M546" s="3" t="str">
        <f>IF(Table2[[#This Row],[Under_Market %]]&gt;0.1,"Underpriced","OK")</f>
        <v>OK</v>
      </c>
      <c r="N546" s="5">
        <f>SUMIFS(Table2[[#This Row],[Current Rent Gap]],Table2[[#This Row],[Current Rent Gap]],"&gt;0")</f>
        <v>319.1866666666665</v>
      </c>
    </row>
    <row r="547" spans="1:14" x14ac:dyDescent="0.35">
      <c r="A547" t="s">
        <v>202</v>
      </c>
      <c r="B547" t="s">
        <v>743</v>
      </c>
      <c r="C547">
        <v>6511</v>
      </c>
      <c r="D547">
        <v>6231</v>
      </c>
      <c r="E547">
        <f>Table2[[#This Row],[Due_Amount]]-Table2[[#This Row],[Paid_Amount]]</f>
        <v>280</v>
      </c>
      <c r="F547" s="1">
        <v>46000</v>
      </c>
      <c r="G547">
        <v>13</v>
      </c>
      <c r="H547">
        <f>Table2[[#This Row],[Due_Amount]]*Table2[[#This Row],[Delay_Days]]</f>
        <v>84643</v>
      </c>
      <c r="I547" s="3" t="str">
        <f>IF(Table2[[#This Row],[Delay_Days]]=0,"On Time",IF(Table2[[#This Row],[Delay_Days]]&lt;=7,"Low Risk(1-7)",IF(Table2[[#This Row],[Delay_Days]]&lt;=15,"Medium Risk(8-15)",IF(Table2[[#This Row],[Delay_Days]]&lt;=30,"High Risk(16-30)","Severe Risk(30+)"))))</f>
        <v>Medium Risk(8-15)</v>
      </c>
      <c r="J547" s="5">
        <f>AVERAGE(Table2[Due_Amount])</f>
        <v>4635.1866666666665</v>
      </c>
      <c r="K547" s="5">
        <f>Table2[[#This Row],[Estimated_Market_Rent]]-Table2[[#This Row],[Due_Amount]]</f>
        <v>-1875.8133333333335</v>
      </c>
      <c r="L547" s="6">
        <f>IF(Table2[[#This Row],[Current Rent Gap]]&gt;0,Table2[[#This Row],[Current Rent Gap]]/Table2[[#This Row],[Estimated_Market_Rent]],0)</f>
        <v>0</v>
      </c>
      <c r="M547" s="3" t="str">
        <f>IF(Table2[[#This Row],[Under_Market %]]&gt;0.1,"Underpriced","OK")</f>
        <v>OK</v>
      </c>
      <c r="N547" s="5">
        <f>SUMIFS(Table2[[#This Row],[Current Rent Gap]],Table2[[#This Row],[Current Rent Gap]],"&gt;0")</f>
        <v>0</v>
      </c>
    </row>
    <row r="548" spans="1:14" x14ac:dyDescent="0.35">
      <c r="A548" t="s">
        <v>459</v>
      </c>
      <c r="B548" t="s">
        <v>754</v>
      </c>
      <c r="C548">
        <v>2783</v>
      </c>
      <c r="D548">
        <v>2783</v>
      </c>
      <c r="E548">
        <f>Table2[[#This Row],[Due_Amount]]-Table2[[#This Row],[Paid_Amount]]</f>
        <v>0</v>
      </c>
      <c r="F548" s="1">
        <v>45769</v>
      </c>
      <c r="G548">
        <v>5</v>
      </c>
      <c r="H548">
        <f>Table2[[#This Row],[Due_Amount]]*Table2[[#This Row],[Delay_Days]]</f>
        <v>13915</v>
      </c>
      <c r="I548" s="3" t="str">
        <f>IF(Table2[[#This Row],[Delay_Days]]=0,"On Time",IF(Table2[[#This Row],[Delay_Days]]&lt;=7,"Low Risk(1-7)",IF(Table2[[#This Row],[Delay_Days]]&lt;=15,"Medium Risk(8-15)",IF(Table2[[#This Row],[Delay_Days]]&lt;=30,"High Risk(16-30)","Severe Risk(30+)"))))</f>
        <v>Low Risk(1-7)</v>
      </c>
      <c r="J548" s="5">
        <f>AVERAGE(Table2[Due_Amount])</f>
        <v>4635.1866666666665</v>
      </c>
      <c r="K548" s="5">
        <f>Table2[[#This Row],[Estimated_Market_Rent]]-Table2[[#This Row],[Due_Amount]]</f>
        <v>1852.1866666666665</v>
      </c>
      <c r="L548" s="6">
        <f>IF(Table2[[#This Row],[Current Rent Gap]]&gt;0,Table2[[#This Row],[Current Rent Gap]]/Table2[[#This Row],[Estimated_Market_Rent]],0)</f>
        <v>0.39959268091324618</v>
      </c>
      <c r="M548" s="3" t="str">
        <f>IF(Table2[[#This Row],[Under_Market %]]&gt;0.1,"Underpriced","OK")</f>
        <v>Underpriced</v>
      </c>
      <c r="N548" s="5">
        <f>SUMIFS(Table2[[#This Row],[Current Rent Gap]],Table2[[#This Row],[Current Rent Gap]],"&gt;0")</f>
        <v>1852.1866666666665</v>
      </c>
    </row>
    <row r="549" spans="1:14" x14ac:dyDescent="0.35">
      <c r="A549" t="s">
        <v>552</v>
      </c>
      <c r="B549" t="s">
        <v>743</v>
      </c>
      <c r="C549">
        <v>4010</v>
      </c>
      <c r="D549">
        <v>3136</v>
      </c>
      <c r="E549">
        <f>Table2[[#This Row],[Due_Amount]]-Table2[[#This Row],[Paid_Amount]]</f>
        <v>874</v>
      </c>
      <c r="F549" s="1">
        <v>45718</v>
      </c>
      <c r="G549">
        <v>15</v>
      </c>
      <c r="H549">
        <f>Table2[[#This Row],[Due_Amount]]*Table2[[#This Row],[Delay_Days]]</f>
        <v>60150</v>
      </c>
      <c r="I549" s="3" t="str">
        <f>IF(Table2[[#This Row],[Delay_Days]]=0,"On Time",IF(Table2[[#This Row],[Delay_Days]]&lt;=7,"Low Risk(1-7)",IF(Table2[[#This Row],[Delay_Days]]&lt;=15,"Medium Risk(8-15)",IF(Table2[[#This Row],[Delay_Days]]&lt;=30,"High Risk(16-30)","Severe Risk(30+)"))))</f>
        <v>Medium Risk(8-15)</v>
      </c>
      <c r="J549" s="5">
        <f>AVERAGE(Table2[Due_Amount])</f>
        <v>4635.1866666666665</v>
      </c>
      <c r="K549" s="5">
        <f>Table2[[#This Row],[Estimated_Market_Rent]]-Table2[[#This Row],[Due_Amount]]</f>
        <v>625.1866666666665</v>
      </c>
      <c r="L549" s="6">
        <f>IF(Table2[[#This Row],[Current Rent Gap]]&gt;0,Table2[[#This Row],[Current Rent Gap]]/Table2[[#This Row],[Estimated_Market_Rent]],0)</f>
        <v>0.13487842273162673</v>
      </c>
      <c r="M549" s="3" t="str">
        <f>IF(Table2[[#This Row],[Under_Market %]]&gt;0.1,"Underpriced","OK")</f>
        <v>Underpriced</v>
      </c>
      <c r="N549" s="5">
        <f>SUMIFS(Table2[[#This Row],[Current Rent Gap]],Table2[[#This Row],[Current Rent Gap]],"&gt;0")</f>
        <v>625.1866666666665</v>
      </c>
    </row>
    <row r="550" spans="1:14" x14ac:dyDescent="0.35">
      <c r="A550" t="s">
        <v>638</v>
      </c>
      <c r="B550" t="s">
        <v>749</v>
      </c>
      <c r="C550">
        <v>5965</v>
      </c>
      <c r="D550">
        <v>5319</v>
      </c>
      <c r="E550">
        <f>Table2[[#This Row],[Due_Amount]]-Table2[[#This Row],[Paid_Amount]]</f>
        <v>646</v>
      </c>
      <c r="F550" s="1">
        <v>45984</v>
      </c>
      <c r="G550">
        <v>24</v>
      </c>
      <c r="H550">
        <f>Table2[[#This Row],[Due_Amount]]*Table2[[#This Row],[Delay_Days]]</f>
        <v>143160</v>
      </c>
      <c r="I550" s="3" t="str">
        <f>IF(Table2[[#This Row],[Delay_Days]]=0,"On Time",IF(Table2[[#This Row],[Delay_Days]]&lt;=7,"Low Risk(1-7)",IF(Table2[[#This Row],[Delay_Days]]&lt;=15,"Medium Risk(8-15)",IF(Table2[[#This Row],[Delay_Days]]&lt;=30,"High Risk(16-30)","Severe Risk(30+)"))))</f>
        <v>High Risk(16-30)</v>
      </c>
      <c r="J550" s="5">
        <f>AVERAGE(Table2[Due_Amount])</f>
        <v>4635.1866666666665</v>
      </c>
      <c r="K550" s="5">
        <f>Table2[[#This Row],[Estimated_Market_Rent]]-Table2[[#This Row],[Due_Amount]]</f>
        <v>-1329.8133333333335</v>
      </c>
      <c r="L550" s="6">
        <f>IF(Table2[[#This Row],[Current Rent Gap]]&gt;0,Table2[[#This Row],[Current Rent Gap]]/Table2[[#This Row],[Estimated_Market_Rent]],0)</f>
        <v>0</v>
      </c>
      <c r="M550" s="3" t="str">
        <f>IF(Table2[[#This Row],[Under_Market %]]&gt;0.1,"Underpriced","OK")</f>
        <v>OK</v>
      </c>
      <c r="N550" s="5">
        <f>SUMIFS(Table2[[#This Row],[Current Rent Gap]],Table2[[#This Row],[Current Rent Gap]],"&gt;0")</f>
        <v>0</v>
      </c>
    </row>
    <row r="551" spans="1:14" x14ac:dyDescent="0.35">
      <c r="A551" t="s">
        <v>287</v>
      </c>
      <c r="B551" t="s">
        <v>753</v>
      </c>
      <c r="C551">
        <v>5209</v>
      </c>
      <c r="D551">
        <v>5131</v>
      </c>
      <c r="E551">
        <f>Table2[[#This Row],[Due_Amount]]-Table2[[#This Row],[Paid_Amount]]</f>
        <v>78</v>
      </c>
      <c r="F551" s="1">
        <v>45719</v>
      </c>
      <c r="G551">
        <v>25</v>
      </c>
      <c r="H551">
        <f>Table2[[#This Row],[Due_Amount]]*Table2[[#This Row],[Delay_Days]]</f>
        <v>130225</v>
      </c>
      <c r="I551" s="3" t="str">
        <f>IF(Table2[[#This Row],[Delay_Days]]=0,"On Time",IF(Table2[[#This Row],[Delay_Days]]&lt;=7,"Low Risk(1-7)",IF(Table2[[#This Row],[Delay_Days]]&lt;=15,"Medium Risk(8-15)",IF(Table2[[#This Row],[Delay_Days]]&lt;=30,"High Risk(16-30)","Severe Risk(30+)"))))</f>
        <v>High Risk(16-30)</v>
      </c>
      <c r="J551" s="5">
        <f>AVERAGE(Table2[Due_Amount])</f>
        <v>4635.1866666666665</v>
      </c>
      <c r="K551" s="5">
        <f>Table2[[#This Row],[Estimated_Market_Rent]]-Table2[[#This Row],[Due_Amount]]</f>
        <v>-573.8133333333335</v>
      </c>
      <c r="L551" s="6">
        <f>IF(Table2[[#This Row],[Current Rent Gap]]&gt;0,Table2[[#This Row],[Current Rent Gap]]/Table2[[#This Row],[Estimated_Market_Rent]],0)</f>
        <v>0</v>
      </c>
      <c r="M551" s="3" t="str">
        <f>IF(Table2[[#This Row],[Under_Market %]]&gt;0.1,"Underpriced","OK")</f>
        <v>OK</v>
      </c>
      <c r="N551" s="5">
        <f>SUMIFS(Table2[[#This Row],[Current Rent Gap]],Table2[[#This Row],[Current Rent Gap]],"&gt;0")</f>
        <v>0</v>
      </c>
    </row>
    <row r="552" spans="1:14" x14ac:dyDescent="0.35">
      <c r="A552" t="s">
        <v>448</v>
      </c>
      <c r="B552" t="s">
        <v>743</v>
      </c>
      <c r="C552">
        <v>3577</v>
      </c>
      <c r="D552">
        <v>3577</v>
      </c>
      <c r="E552">
        <f>Table2[[#This Row],[Due_Amount]]-Table2[[#This Row],[Paid_Amount]]</f>
        <v>0</v>
      </c>
      <c r="F552" s="1">
        <v>45883</v>
      </c>
      <c r="G552">
        <v>6</v>
      </c>
      <c r="H552">
        <f>Table2[[#This Row],[Due_Amount]]*Table2[[#This Row],[Delay_Days]]</f>
        <v>21462</v>
      </c>
      <c r="I552" s="3" t="str">
        <f>IF(Table2[[#This Row],[Delay_Days]]=0,"On Time",IF(Table2[[#This Row],[Delay_Days]]&lt;=7,"Low Risk(1-7)",IF(Table2[[#This Row],[Delay_Days]]&lt;=15,"Medium Risk(8-15)",IF(Table2[[#This Row],[Delay_Days]]&lt;=30,"High Risk(16-30)","Severe Risk(30+)"))))</f>
        <v>Low Risk(1-7)</v>
      </c>
      <c r="J552" s="5">
        <f>AVERAGE(Table2[Due_Amount])</f>
        <v>4635.1866666666665</v>
      </c>
      <c r="K552" s="5">
        <f>Table2[[#This Row],[Estimated_Market_Rent]]-Table2[[#This Row],[Due_Amount]]</f>
        <v>1058.1866666666665</v>
      </c>
      <c r="L552" s="6">
        <f>IF(Table2[[#This Row],[Current Rent Gap]]&gt;0,Table2[[#This Row],[Current Rent Gap]]/Table2[[#This Row],[Estimated_Market_Rent]],0)</f>
        <v>0.22829429379327404</v>
      </c>
      <c r="M552" s="3" t="str">
        <f>IF(Table2[[#This Row],[Under_Market %]]&gt;0.1,"Underpriced","OK")</f>
        <v>Underpriced</v>
      </c>
      <c r="N552" s="5">
        <f>SUMIFS(Table2[[#This Row],[Current Rent Gap]],Table2[[#This Row],[Current Rent Gap]],"&gt;0")</f>
        <v>1058.1866666666665</v>
      </c>
    </row>
    <row r="553" spans="1:14" x14ac:dyDescent="0.35">
      <c r="A553" t="s">
        <v>430</v>
      </c>
      <c r="B553" t="s">
        <v>746</v>
      </c>
      <c r="C553">
        <v>2425</v>
      </c>
      <c r="D553">
        <v>1565</v>
      </c>
      <c r="E553">
        <f>Table2[[#This Row],[Due_Amount]]-Table2[[#This Row],[Paid_Amount]]</f>
        <v>860</v>
      </c>
      <c r="F553" s="1">
        <v>45817</v>
      </c>
      <c r="G553">
        <v>13</v>
      </c>
      <c r="H553">
        <f>Table2[[#This Row],[Due_Amount]]*Table2[[#This Row],[Delay_Days]]</f>
        <v>31525</v>
      </c>
      <c r="I553" s="3" t="str">
        <f>IF(Table2[[#This Row],[Delay_Days]]=0,"On Time",IF(Table2[[#This Row],[Delay_Days]]&lt;=7,"Low Risk(1-7)",IF(Table2[[#This Row],[Delay_Days]]&lt;=15,"Medium Risk(8-15)",IF(Table2[[#This Row],[Delay_Days]]&lt;=30,"High Risk(16-30)","Severe Risk(30+)"))))</f>
        <v>Medium Risk(8-15)</v>
      </c>
      <c r="J553" s="5">
        <f>AVERAGE(Table2[Due_Amount])</f>
        <v>4635.1866666666665</v>
      </c>
      <c r="K553" s="5">
        <f>Table2[[#This Row],[Estimated_Market_Rent]]-Table2[[#This Row],[Due_Amount]]</f>
        <v>2210.1866666666665</v>
      </c>
      <c r="L553" s="6">
        <f>IF(Table2[[#This Row],[Current Rent Gap]]&gt;0,Table2[[#This Row],[Current Rent Gap]]/Table2[[#This Row],[Estimated_Market_Rent]],0)</f>
        <v>0.47682797384643261</v>
      </c>
      <c r="M553" s="3" t="str">
        <f>IF(Table2[[#This Row],[Under_Market %]]&gt;0.1,"Underpriced","OK")</f>
        <v>Underpriced</v>
      </c>
      <c r="N553" s="5">
        <f>SUMIFS(Table2[[#This Row],[Current Rent Gap]],Table2[[#This Row],[Current Rent Gap]],"&gt;0")</f>
        <v>2210.1866666666665</v>
      </c>
    </row>
    <row r="554" spans="1:14" x14ac:dyDescent="0.35">
      <c r="A554" t="s">
        <v>29</v>
      </c>
      <c r="B554" t="s">
        <v>744</v>
      </c>
      <c r="C554">
        <v>3410</v>
      </c>
      <c r="D554">
        <v>2462</v>
      </c>
      <c r="E554">
        <f>Table2[[#This Row],[Due_Amount]]-Table2[[#This Row],[Paid_Amount]]</f>
        <v>948</v>
      </c>
      <c r="F554" s="1">
        <v>45735</v>
      </c>
      <c r="G554">
        <v>13</v>
      </c>
      <c r="H554">
        <f>Table2[[#This Row],[Due_Amount]]*Table2[[#This Row],[Delay_Days]]</f>
        <v>44330</v>
      </c>
      <c r="I554" s="3" t="str">
        <f>IF(Table2[[#This Row],[Delay_Days]]=0,"On Time",IF(Table2[[#This Row],[Delay_Days]]&lt;=7,"Low Risk(1-7)",IF(Table2[[#This Row],[Delay_Days]]&lt;=15,"Medium Risk(8-15)",IF(Table2[[#This Row],[Delay_Days]]&lt;=30,"High Risk(16-30)","Severe Risk(30+)"))))</f>
        <v>Medium Risk(8-15)</v>
      </c>
      <c r="J554" s="5">
        <f>AVERAGE(Table2[Due_Amount])</f>
        <v>4635.1866666666665</v>
      </c>
      <c r="K554" s="5">
        <f>Table2[[#This Row],[Estimated_Market_Rent]]-Table2[[#This Row],[Due_Amount]]</f>
        <v>1225.1866666666665</v>
      </c>
      <c r="L554" s="6">
        <f>IF(Table2[[#This Row],[Current Rent Gap]]&gt;0,Table2[[#This Row],[Current Rent Gap]]/Table2[[#This Row],[Estimated_Market_Rent]],0)</f>
        <v>0.26432304775931353</v>
      </c>
      <c r="M554" s="3" t="str">
        <f>IF(Table2[[#This Row],[Under_Market %]]&gt;0.1,"Underpriced","OK")</f>
        <v>Underpriced</v>
      </c>
      <c r="N554" s="5">
        <f>SUMIFS(Table2[[#This Row],[Current Rent Gap]],Table2[[#This Row],[Current Rent Gap]],"&gt;0")</f>
        <v>1225.1866666666665</v>
      </c>
    </row>
    <row r="555" spans="1:14" x14ac:dyDescent="0.35">
      <c r="A555" t="s">
        <v>539</v>
      </c>
      <c r="B555" t="s">
        <v>744</v>
      </c>
      <c r="C555">
        <v>2861</v>
      </c>
      <c r="D555">
        <v>1908</v>
      </c>
      <c r="E555">
        <f>Table2[[#This Row],[Due_Amount]]-Table2[[#This Row],[Paid_Amount]]</f>
        <v>953</v>
      </c>
      <c r="F555" s="1">
        <v>45897</v>
      </c>
      <c r="G555">
        <v>20</v>
      </c>
      <c r="H555">
        <f>Table2[[#This Row],[Due_Amount]]*Table2[[#This Row],[Delay_Days]]</f>
        <v>57220</v>
      </c>
      <c r="I555" s="3" t="str">
        <f>IF(Table2[[#This Row],[Delay_Days]]=0,"On Time",IF(Table2[[#This Row],[Delay_Days]]&lt;=7,"Low Risk(1-7)",IF(Table2[[#This Row],[Delay_Days]]&lt;=15,"Medium Risk(8-15)",IF(Table2[[#This Row],[Delay_Days]]&lt;=30,"High Risk(16-30)","Severe Risk(30+)"))))</f>
        <v>High Risk(16-30)</v>
      </c>
      <c r="J555" s="5">
        <f>AVERAGE(Table2[Due_Amount])</f>
        <v>4635.1866666666665</v>
      </c>
      <c r="K555" s="5">
        <f>Table2[[#This Row],[Estimated_Market_Rent]]-Table2[[#This Row],[Due_Amount]]</f>
        <v>1774.1866666666665</v>
      </c>
      <c r="L555" s="6">
        <f>IF(Table2[[#This Row],[Current Rent Gap]]&gt;0,Table2[[#This Row],[Current Rent Gap]]/Table2[[#This Row],[Estimated_Market_Rent]],0)</f>
        <v>0.38276487965964689</v>
      </c>
      <c r="M555" s="3" t="str">
        <f>IF(Table2[[#This Row],[Under_Market %]]&gt;0.1,"Underpriced","OK")</f>
        <v>Underpriced</v>
      </c>
      <c r="N555" s="5">
        <f>SUMIFS(Table2[[#This Row],[Current Rent Gap]],Table2[[#This Row],[Current Rent Gap]],"&gt;0")</f>
        <v>1774.1866666666665</v>
      </c>
    </row>
    <row r="556" spans="1:14" x14ac:dyDescent="0.35">
      <c r="A556" t="s">
        <v>418</v>
      </c>
      <c r="B556" t="s">
        <v>751</v>
      </c>
      <c r="C556">
        <v>2016</v>
      </c>
      <c r="D556">
        <v>1381</v>
      </c>
      <c r="E556">
        <f>Table2[[#This Row],[Due_Amount]]-Table2[[#This Row],[Paid_Amount]]</f>
        <v>635</v>
      </c>
      <c r="F556" s="1">
        <v>45749</v>
      </c>
      <c r="G556">
        <v>16</v>
      </c>
      <c r="H556">
        <f>Table2[[#This Row],[Due_Amount]]*Table2[[#This Row],[Delay_Days]]</f>
        <v>32256</v>
      </c>
      <c r="I556" s="3" t="str">
        <f>IF(Table2[[#This Row],[Delay_Days]]=0,"On Time",IF(Table2[[#This Row],[Delay_Days]]&lt;=7,"Low Risk(1-7)",IF(Table2[[#This Row],[Delay_Days]]&lt;=15,"Medium Risk(8-15)",IF(Table2[[#This Row],[Delay_Days]]&lt;=30,"High Risk(16-30)","Severe Risk(30+)"))))</f>
        <v>High Risk(16-30)</v>
      </c>
      <c r="J556" s="5">
        <f>AVERAGE(Table2[Due_Amount])</f>
        <v>4635.1866666666665</v>
      </c>
      <c r="K556" s="5">
        <f>Table2[[#This Row],[Estimated_Market_Rent]]-Table2[[#This Row],[Due_Amount]]</f>
        <v>2619.1866666666665</v>
      </c>
      <c r="L556" s="6">
        <f>IF(Table2[[#This Row],[Current Rent Gap]]&gt;0,Table2[[#This Row],[Current Rent Gap]]/Table2[[#This Row],[Estimated_Market_Rent]],0)</f>
        <v>0.56506605990697245</v>
      </c>
      <c r="M556" s="3" t="str">
        <f>IF(Table2[[#This Row],[Under_Market %]]&gt;0.1,"Underpriced","OK")</f>
        <v>Underpriced</v>
      </c>
      <c r="N556" s="5">
        <f>SUMIFS(Table2[[#This Row],[Current Rent Gap]],Table2[[#This Row],[Current Rent Gap]],"&gt;0")</f>
        <v>2619.1866666666665</v>
      </c>
    </row>
    <row r="557" spans="1:14" x14ac:dyDescent="0.35">
      <c r="A557" t="s">
        <v>231</v>
      </c>
      <c r="B557" t="s">
        <v>750</v>
      </c>
      <c r="C557">
        <v>4382</v>
      </c>
      <c r="D557">
        <v>4382</v>
      </c>
      <c r="E557">
        <f>Table2[[#This Row],[Due_Amount]]-Table2[[#This Row],[Paid_Amount]]</f>
        <v>0</v>
      </c>
      <c r="F557" s="1">
        <v>45936</v>
      </c>
      <c r="G557">
        <v>1</v>
      </c>
      <c r="H557">
        <f>Table2[[#This Row],[Due_Amount]]*Table2[[#This Row],[Delay_Days]]</f>
        <v>4382</v>
      </c>
      <c r="I557" s="3" t="str">
        <f>IF(Table2[[#This Row],[Delay_Days]]=0,"On Time",IF(Table2[[#This Row],[Delay_Days]]&lt;=7,"Low Risk(1-7)",IF(Table2[[#This Row],[Delay_Days]]&lt;=15,"Medium Risk(8-15)",IF(Table2[[#This Row],[Delay_Days]]&lt;=30,"High Risk(16-30)","Severe Risk(30+)"))))</f>
        <v>Low Risk(1-7)</v>
      </c>
      <c r="J557" s="5">
        <f>AVERAGE(Table2[Due_Amount])</f>
        <v>4635.1866666666665</v>
      </c>
      <c r="K557" s="5">
        <f>Table2[[#This Row],[Estimated_Market_Rent]]-Table2[[#This Row],[Due_Amount]]</f>
        <v>253.1866666666665</v>
      </c>
      <c r="L557" s="6">
        <f>IF(Table2[[#This Row],[Current Rent Gap]]&gt;0,Table2[[#This Row],[Current Rent Gap]]/Table2[[#This Row],[Estimated_Market_Rent]],0)</f>
        <v>5.4622755214460944E-2</v>
      </c>
      <c r="M557" s="3" t="str">
        <f>IF(Table2[[#This Row],[Under_Market %]]&gt;0.1,"Underpriced","OK")</f>
        <v>OK</v>
      </c>
      <c r="N557" s="5">
        <f>SUMIFS(Table2[[#This Row],[Current Rent Gap]],Table2[[#This Row],[Current Rent Gap]],"&gt;0")</f>
        <v>253.1866666666665</v>
      </c>
    </row>
    <row r="558" spans="1:14" x14ac:dyDescent="0.35">
      <c r="A558" t="s">
        <v>344</v>
      </c>
      <c r="B558" t="s">
        <v>745</v>
      </c>
      <c r="C558">
        <v>6883</v>
      </c>
      <c r="D558">
        <v>6883</v>
      </c>
      <c r="E558">
        <f>Table2[[#This Row],[Due_Amount]]-Table2[[#This Row],[Paid_Amount]]</f>
        <v>0</v>
      </c>
      <c r="F558" s="1">
        <v>45821</v>
      </c>
      <c r="G558">
        <v>0</v>
      </c>
      <c r="H558">
        <f>Table2[[#This Row],[Due_Amount]]*Table2[[#This Row],[Delay_Days]]</f>
        <v>0</v>
      </c>
      <c r="I558" s="3" t="str">
        <f>IF(Table2[[#This Row],[Delay_Days]]=0,"On Time",IF(Table2[[#This Row],[Delay_Days]]&lt;=7,"Low Risk(1-7)",IF(Table2[[#This Row],[Delay_Days]]&lt;=15,"Medium Risk(8-15)",IF(Table2[[#This Row],[Delay_Days]]&lt;=30,"High Risk(16-30)","Severe Risk(30+)"))))</f>
        <v>On Time</v>
      </c>
      <c r="J558" s="5">
        <f>AVERAGE(Table2[Due_Amount])</f>
        <v>4635.1866666666665</v>
      </c>
      <c r="K558" s="5">
        <f>Table2[[#This Row],[Estimated_Market_Rent]]-Table2[[#This Row],[Due_Amount]]</f>
        <v>-2247.8133333333335</v>
      </c>
      <c r="L558" s="6">
        <f>IF(Table2[[#This Row],[Current Rent Gap]]&gt;0,Table2[[#This Row],[Current Rent Gap]]/Table2[[#This Row],[Estimated_Market_Rent]],0)</f>
        <v>0</v>
      </c>
      <c r="M558" s="3" t="str">
        <f>IF(Table2[[#This Row],[Under_Market %]]&gt;0.1,"Underpriced","OK")</f>
        <v>OK</v>
      </c>
      <c r="N558" s="5">
        <f>SUMIFS(Table2[[#This Row],[Current Rent Gap]],Table2[[#This Row],[Current Rent Gap]],"&gt;0")</f>
        <v>0</v>
      </c>
    </row>
    <row r="559" spans="1:14" x14ac:dyDescent="0.35">
      <c r="A559" t="s">
        <v>621</v>
      </c>
      <c r="B559" t="s">
        <v>749</v>
      </c>
      <c r="C559">
        <v>6895</v>
      </c>
      <c r="D559">
        <v>6437</v>
      </c>
      <c r="E559">
        <f>Table2[[#This Row],[Due_Amount]]-Table2[[#This Row],[Paid_Amount]]</f>
        <v>458</v>
      </c>
      <c r="F559" s="1">
        <v>45909</v>
      </c>
      <c r="G559">
        <v>20</v>
      </c>
      <c r="H559">
        <f>Table2[[#This Row],[Due_Amount]]*Table2[[#This Row],[Delay_Days]]</f>
        <v>137900</v>
      </c>
      <c r="I559" s="3" t="str">
        <f>IF(Table2[[#This Row],[Delay_Days]]=0,"On Time",IF(Table2[[#This Row],[Delay_Days]]&lt;=7,"Low Risk(1-7)",IF(Table2[[#This Row],[Delay_Days]]&lt;=15,"Medium Risk(8-15)",IF(Table2[[#This Row],[Delay_Days]]&lt;=30,"High Risk(16-30)","Severe Risk(30+)"))))</f>
        <v>High Risk(16-30)</v>
      </c>
      <c r="J559" s="5">
        <f>AVERAGE(Table2[Due_Amount])</f>
        <v>4635.1866666666665</v>
      </c>
      <c r="K559" s="5">
        <f>Table2[[#This Row],[Estimated_Market_Rent]]-Table2[[#This Row],[Due_Amount]]</f>
        <v>-2259.8133333333335</v>
      </c>
      <c r="L559" s="6">
        <f>IF(Table2[[#This Row],[Current Rent Gap]]&gt;0,Table2[[#This Row],[Current Rent Gap]]/Table2[[#This Row],[Estimated_Market_Rent]],0)</f>
        <v>0</v>
      </c>
      <c r="M559" s="3" t="str">
        <f>IF(Table2[[#This Row],[Under_Market %]]&gt;0.1,"Underpriced","OK")</f>
        <v>OK</v>
      </c>
      <c r="N559" s="5">
        <f>SUMIFS(Table2[[#This Row],[Current Rent Gap]],Table2[[#This Row],[Current Rent Gap]],"&gt;0")</f>
        <v>0</v>
      </c>
    </row>
    <row r="560" spans="1:14" x14ac:dyDescent="0.35">
      <c r="A560" t="s">
        <v>678</v>
      </c>
      <c r="B560" t="s">
        <v>747</v>
      </c>
      <c r="C560">
        <v>4578</v>
      </c>
      <c r="D560">
        <v>4421</v>
      </c>
      <c r="E560">
        <f>Table2[[#This Row],[Due_Amount]]-Table2[[#This Row],[Paid_Amount]]</f>
        <v>157</v>
      </c>
      <c r="F560" s="1">
        <v>45781</v>
      </c>
      <c r="G560">
        <v>24</v>
      </c>
      <c r="H560">
        <f>Table2[[#This Row],[Due_Amount]]*Table2[[#This Row],[Delay_Days]]</f>
        <v>109872</v>
      </c>
      <c r="I560" s="3" t="str">
        <f>IF(Table2[[#This Row],[Delay_Days]]=0,"On Time",IF(Table2[[#This Row],[Delay_Days]]&lt;=7,"Low Risk(1-7)",IF(Table2[[#This Row],[Delay_Days]]&lt;=15,"Medium Risk(8-15)",IF(Table2[[#This Row],[Delay_Days]]&lt;=30,"High Risk(16-30)","Severe Risk(30+)"))))</f>
        <v>High Risk(16-30)</v>
      </c>
      <c r="J560" s="5">
        <f>AVERAGE(Table2[Due_Amount])</f>
        <v>4635.1866666666665</v>
      </c>
      <c r="K560" s="5">
        <f>Table2[[#This Row],[Estimated_Market_Rent]]-Table2[[#This Row],[Due_Amount]]</f>
        <v>57.186666666666497</v>
      </c>
      <c r="L560" s="6">
        <f>IF(Table2[[#This Row],[Current Rent Gap]]&gt;0,Table2[[#This Row],[Current Rent Gap]]/Table2[[#This Row],[Estimated_Market_Rent]],0)</f>
        <v>1.2337511038749931E-2</v>
      </c>
      <c r="M560" s="3" t="str">
        <f>IF(Table2[[#This Row],[Under_Market %]]&gt;0.1,"Underpriced","OK")</f>
        <v>OK</v>
      </c>
      <c r="N560" s="5">
        <f>SUMIFS(Table2[[#This Row],[Current Rent Gap]],Table2[[#This Row],[Current Rent Gap]],"&gt;0")</f>
        <v>57.186666666666497</v>
      </c>
    </row>
    <row r="561" spans="1:14" x14ac:dyDescent="0.35">
      <c r="A561" t="s">
        <v>216</v>
      </c>
      <c r="B561" t="s">
        <v>751</v>
      </c>
      <c r="C561">
        <v>4786</v>
      </c>
      <c r="D561">
        <v>4786</v>
      </c>
      <c r="E561">
        <f>Table2[[#This Row],[Due_Amount]]-Table2[[#This Row],[Paid_Amount]]</f>
        <v>0</v>
      </c>
      <c r="F561" s="1">
        <v>45723</v>
      </c>
      <c r="G561">
        <v>2</v>
      </c>
      <c r="H561">
        <f>Table2[[#This Row],[Due_Amount]]*Table2[[#This Row],[Delay_Days]]</f>
        <v>9572</v>
      </c>
      <c r="I561" s="3" t="str">
        <f>IF(Table2[[#This Row],[Delay_Days]]=0,"On Time",IF(Table2[[#This Row],[Delay_Days]]&lt;=7,"Low Risk(1-7)",IF(Table2[[#This Row],[Delay_Days]]&lt;=15,"Medium Risk(8-15)",IF(Table2[[#This Row],[Delay_Days]]&lt;=30,"High Risk(16-30)","Severe Risk(30+)"))))</f>
        <v>Low Risk(1-7)</v>
      </c>
      <c r="J561" s="5">
        <f>AVERAGE(Table2[Due_Amount])</f>
        <v>4635.1866666666665</v>
      </c>
      <c r="K561" s="5">
        <f>Table2[[#This Row],[Estimated_Market_Rent]]-Table2[[#This Row],[Due_Amount]]</f>
        <v>-150.8133333333335</v>
      </c>
      <c r="L561" s="6">
        <f>IF(Table2[[#This Row],[Current Rent Gap]]&gt;0,Table2[[#This Row],[Current Rent Gap]]/Table2[[#This Row],[Estimated_Market_Rent]],0)</f>
        <v>0</v>
      </c>
      <c r="M561" s="3" t="str">
        <f>IF(Table2[[#This Row],[Under_Market %]]&gt;0.1,"Underpriced","OK")</f>
        <v>OK</v>
      </c>
      <c r="N561" s="5">
        <f>SUMIFS(Table2[[#This Row],[Current Rent Gap]],Table2[[#This Row],[Current Rent Gap]],"&gt;0")</f>
        <v>0</v>
      </c>
    </row>
    <row r="562" spans="1:14" x14ac:dyDescent="0.35">
      <c r="A562" t="s">
        <v>638</v>
      </c>
      <c r="B562" t="s">
        <v>749</v>
      </c>
      <c r="C562">
        <v>3946</v>
      </c>
      <c r="D562">
        <v>3627</v>
      </c>
      <c r="E562">
        <f>Table2[[#This Row],[Due_Amount]]-Table2[[#This Row],[Paid_Amount]]</f>
        <v>319</v>
      </c>
      <c r="F562" s="1">
        <v>45712</v>
      </c>
      <c r="G562">
        <v>13</v>
      </c>
      <c r="H562">
        <f>Table2[[#This Row],[Due_Amount]]*Table2[[#This Row],[Delay_Days]]</f>
        <v>51298</v>
      </c>
      <c r="I562" s="3" t="str">
        <f>IF(Table2[[#This Row],[Delay_Days]]=0,"On Time",IF(Table2[[#This Row],[Delay_Days]]&lt;=7,"Low Risk(1-7)",IF(Table2[[#This Row],[Delay_Days]]&lt;=15,"Medium Risk(8-15)",IF(Table2[[#This Row],[Delay_Days]]&lt;=30,"High Risk(16-30)","Severe Risk(30+)"))))</f>
        <v>Medium Risk(8-15)</v>
      </c>
      <c r="J562" s="5">
        <f>AVERAGE(Table2[Due_Amount])</f>
        <v>4635.1866666666665</v>
      </c>
      <c r="K562" s="5">
        <f>Table2[[#This Row],[Estimated_Market_Rent]]-Table2[[#This Row],[Due_Amount]]</f>
        <v>689.1866666666665</v>
      </c>
      <c r="L562" s="6">
        <f>IF(Table2[[#This Row],[Current Rent Gap]]&gt;0,Table2[[#This Row],[Current Rent Gap]]/Table2[[#This Row],[Estimated_Market_Rent]],0)</f>
        <v>0.14868584940124666</v>
      </c>
      <c r="M562" s="3" t="str">
        <f>IF(Table2[[#This Row],[Under_Market %]]&gt;0.1,"Underpriced","OK")</f>
        <v>Underpriced</v>
      </c>
      <c r="N562" s="5">
        <f>SUMIFS(Table2[[#This Row],[Current Rent Gap]],Table2[[#This Row],[Current Rent Gap]],"&gt;0")</f>
        <v>689.1866666666665</v>
      </c>
    </row>
    <row r="563" spans="1:14" x14ac:dyDescent="0.35">
      <c r="A563" t="s">
        <v>355</v>
      </c>
      <c r="B563" t="s">
        <v>744</v>
      </c>
      <c r="C563">
        <v>3658</v>
      </c>
      <c r="D563">
        <v>3518</v>
      </c>
      <c r="E563">
        <f>Table2[[#This Row],[Due_Amount]]-Table2[[#This Row],[Paid_Amount]]</f>
        <v>140</v>
      </c>
      <c r="F563" s="1">
        <v>45923</v>
      </c>
      <c r="G563">
        <v>13</v>
      </c>
      <c r="H563">
        <f>Table2[[#This Row],[Due_Amount]]*Table2[[#This Row],[Delay_Days]]</f>
        <v>47554</v>
      </c>
      <c r="I563" s="3" t="str">
        <f>IF(Table2[[#This Row],[Delay_Days]]=0,"On Time",IF(Table2[[#This Row],[Delay_Days]]&lt;=7,"Low Risk(1-7)",IF(Table2[[#This Row],[Delay_Days]]&lt;=15,"Medium Risk(8-15)",IF(Table2[[#This Row],[Delay_Days]]&lt;=30,"High Risk(16-30)","Severe Risk(30+)"))))</f>
        <v>Medium Risk(8-15)</v>
      </c>
      <c r="J563" s="5">
        <f>AVERAGE(Table2[Due_Amount])</f>
        <v>4635.1866666666665</v>
      </c>
      <c r="K563" s="5">
        <f>Table2[[#This Row],[Estimated_Market_Rent]]-Table2[[#This Row],[Due_Amount]]</f>
        <v>977.1866666666665</v>
      </c>
      <c r="L563" s="6">
        <f>IF(Table2[[#This Row],[Current Rent Gap]]&gt;0,Table2[[#This Row],[Current Rent Gap]]/Table2[[#This Row],[Estimated_Market_Rent]],0)</f>
        <v>0.21081926941453633</v>
      </c>
      <c r="M563" s="3" t="str">
        <f>IF(Table2[[#This Row],[Under_Market %]]&gt;0.1,"Underpriced","OK")</f>
        <v>Underpriced</v>
      </c>
      <c r="N563" s="5">
        <f>SUMIFS(Table2[[#This Row],[Current Rent Gap]],Table2[[#This Row],[Current Rent Gap]],"&gt;0")</f>
        <v>977.1866666666665</v>
      </c>
    </row>
    <row r="564" spans="1:14" x14ac:dyDescent="0.35">
      <c r="A564" t="s">
        <v>502</v>
      </c>
      <c r="B564" t="s">
        <v>752</v>
      </c>
      <c r="C564">
        <v>2144</v>
      </c>
      <c r="D564">
        <v>2144</v>
      </c>
      <c r="E564">
        <f>Table2[[#This Row],[Due_Amount]]-Table2[[#This Row],[Paid_Amount]]</f>
        <v>0</v>
      </c>
      <c r="F564" s="1">
        <v>46015</v>
      </c>
      <c r="G564">
        <v>4</v>
      </c>
      <c r="H564">
        <f>Table2[[#This Row],[Due_Amount]]*Table2[[#This Row],[Delay_Days]]</f>
        <v>8576</v>
      </c>
      <c r="I564" s="3" t="str">
        <f>IF(Table2[[#This Row],[Delay_Days]]=0,"On Time",IF(Table2[[#This Row],[Delay_Days]]&lt;=7,"Low Risk(1-7)",IF(Table2[[#This Row],[Delay_Days]]&lt;=15,"Medium Risk(8-15)",IF(Table2[[#This Row],[Delay_Days]]&lt;=30,"High Risk(16-30)","Severe Risk(30+)"))))</f>
        <v>Low Risk(1-7)</v>
      </c>
      <c r="J564" s="5">
        <f>AVERAGE(Table2[Due_Amount])</f>
        <v>4635.1866666666665</v>
      </c>
      <c r="K564" s="5">
        <f>Table2[[#This Row],[Estimated_Market_Rent]]-Table2[[#This Row],[Due_Amount]]</f>
        <v>2491.1866666666665</v>
      </c>
      <c r="L564" s="6">
        <f>IF(Table2[[#This Row],[Current Rent Gap]]&gt;0,Table2[[#This Row],[Current Rent Gap]]/Table2[[#This Row],[Estimated_Market_Rent]],0)</f>
        <v>0.5374512065677326</v>
      </c>
      <c r="M564" s="3" t="str">
        <f>IF(Table2[[#This Row],[Under_Market %]]&gt;0.1,"Underpriced","OK")</f>
        <v>Underpriced</v>
      </c>
      <c r="N564" s="5">
        <f>SUMIFS(Table2[[#This Row],[Current Rent Gap]],Table2[[#This Row],[Current Rent Gap]],"&gt;0")</f>
        <v>2491.1866666666665</v>
      </c>
    </row>
    <row r="565" spans="1:14" x14ac:dyDescent="0.35">
      <c r="A565" t="s">
        <v>52</v>
      </c>
      <c r="B565" t="s">
        <v>743</v>
      </c>
      <c r="C565">
        <v>3305</v>
      </c>
      <c r="D565">
        <v>2635</v>
      </c>
      <c r="E565">
        <f>Table2[[#This Row],[Due_Amount]]-Table2[[#This Row],[Paid_Amount]]</f>
        <v>670</v>
      </c>
      <c r="F565" s="1">
        <v>45888</v>
      </c>
      <c r="G565">
        <v>14</v>
      </c>
      <c r="H565">
        <f>Table2[[#This Row],[Due_Amount]]*Table2[[#This Row],[Delay_Days]]</f>
        <v>46270</v>
      </c>
      <c r="I565" s="3" t="str">
        <f>IF(Table2[[#This Row],[Delay_Days]]=0,"On Time",IF(Table2[[#This Row],[Delay_Days]]&lt;=7,"Low Risk(1-7)",IF(Table2[[#This Row],[Delay_Days]]&lt;=15,"Medium Risk(8-15)",IF(Table2[[#This Row],[Delay_Days]]&lt;=30,"High Risk(16-30)","Severe Risk(30+)"))))</f>
        <v>Medium Risk(8-15)</v>
      </c>
      <c r="J565" s="5">
        <f>AVERAGE(Table2[Due_Amount])</f>
        <v>4635.1866666666665</v>
      </c>
      <c r="K565" s="5">
        <f>Table2[[#This Row],[Estimated_Market_Rent]]-Table2[[#This Row],[Due_Amount]]</f>
        <v>1330.1866666666665</v>
      </c>
      <c r="L565" s="6">
        <f>IF(Table2[[#This Row],[Current Rent Gap]]&gt;0,Table2[[#This Row],[Current Rent Gap]]/Table2[[#This Row],[Estimated_Market_Rent]],0)</f>
        <v>0.28697585713915869</v>
      </c>
      <c r="M565" s="3" t="str">
        <f>IF(Table2[[#This Row],[Under_Market %]]&gt;0.1,"Underpriced","OK")</f>
        <v>Underpriced</v>
      </c>
      <c r="N565" s="5">
        <f>SUMIFS(Table2[[#This Row],[Current Rent Gap]],Table2[[#This Row],[Current Rent Gap]],"&gt;0")</f>
        <v>1330.1866666666665</v>
      </c>
    </row>
    <row r="566" spans="1:14" x14ac:dyDescent="0.35">
      <c r="A566" t="s">
        <v>665</v>
      </c>
      <c r="B566" t="s">
        <v>748</v>
      </c>
      <c r="C566">
        <v>6659</v>
      </c>
      <c r="D566">
        <v>6390</v>
      </c>
      <c r="E566">
        <f>Table2[[#This Row],[Due_Amount]]-Table2[[#This Row],[Paid_Amount]]</f>
        <v>269</v>
      </c>
      <c r="F566" s="1">
        <v>45830</v>
      </c>
      <c r="G566">
        <v>24</v>
      </c>
      <c r="H566">
        <f>Table2[[#This Row],[Due_Amount]]*Table2[[#This Row],[Delay_Days]]</f>
        <v>159816</v>
      </c>
      <c r="I566" s="3" t="str">
        <f>IF(Table2[[#This Row],[Delay_Days]]=0,"On Time",IF(Table2[[#This Row],[Delay_Days]]&lt;=7,"Low Risk(1-7)",IF(Table2[[#This Row],[Delay_Days]]&lt;=15,"Medium Risk(8-15)",IF(Table2[[#This Row],[Delay_Days]]&lt;=30,"High Risk(16-30)","Severe Risk(30+)"))))</f>
        <v>High Risk(16-30)</v>
      </c>
      <c r="J566" s="5">
        <f>AVERAGE(Table2[Due_Amount])</f>
        <v>4635.1866666666665</v>
      </c>
      <c r="K566" s="5">
        <f>Table2[[#This Row],[Estimated_Market_Rent]]-Table2[[#This Row],[Due_Amount]]</f>
        <v>-2023.8133333333335</v>
      </c>
      <c r="L566" s="6">
        <f>IF(Table2[[#This Row],[Current Rent Gap]]&gt;0,Table2[[#This Row],[Current Rent Gap]]/Table2[[#This Row],[Estimated_Market_Rent]],0)</f>
        <v>0</v>
      </c>
      <c r="M566" s="3" t="str">
        <f>IF(Table2[[#This Row],[Under_Market %]]&gt;0.1,"Underpriced","OK")</f>
        <v>OK</v>
      </c>
      <c r="N566" s="5">
        <f>SUMIFS(Table2[[#This Row],[Current Rent Gap]],Table2[[#This Row],[Current Rent Gap]],"&gt;0")</f>
        <v>0</v>
      </c>
    </row>
    <row r="567" spans="1:14" x14ac:dyDescent="0.35">
      <c r="A567" t="s">
        <v>427</v>
      </c>
      <c r="B567" t="s">
        <v>749</v>
      </c>
      <c r="C567">
        <v>6078</v>
      </c>
      <c r="D567">
        <v>5879</v>
      </c>
      <c r="E567">
        <f>Table2[[#This Row],[Due_Amount]]-Table2[[#This Row],[Paid_Amount]]</f>
        <v>199</v>
      </c>
      <c r="F567" s="1">
        <v>45987</v>
      </c>
      <c r="G567">
        <v>14</v>
      </c>
      <c r="H567">
        <f>Table2[[#This Row],[Due_Amount]]*Table2[[#This Row],[Delay_Days]]</f>
        <v>85092</v>
      </c>
      <c r="I567" s="3" t="str">
        <f>IF(Table2[[#This Row],[Delay_Days]]=0,"On Time",IF(Table2[[#This Row],[Delay_Days]]&lt;=7,"Low Risk(1-7)",IF(Table2[[#This Row],[Delay_Days]]&lt;=15,"Medium Risk(8-15)",IF(Table2[[#This Row],[Delay_Days]]&lt;=30,"High Risk(16-30)","Severe Risk(30+)"))))</f>
        <v>Medium Risk(8-15)</v>
      </c>
      <c r="J567" s="5">
        <f>AVERAGE(Table2[Due_Amount])</f>
        <v>4635.1866666666665</v>
      </c>
      <c r="K567" s="5">
        <f>Table2[[#This Row],[Estimated_Market_Rent]]-Table2[[#This Row],[Due_Amount]]</f>
        <v>-1442.8133333333335</v>
      </c>
      <c r="L567" s="6">
        <f>IF(Table2[[#This Row],[Current Rent Gap]]&gt;0,Table2[[#This Row],[Current Rent Gap]]/Table2[[#This Row],[Estimated_Market_Rent]],0)</f>
        <v>0</v>
      </c>
      <c r="M567" s="3" t="str">
        <f>IF(Table2[[#This Row],[Under_Market %]]&gt;0.1,"Underpriced","OK")</f>
        <v>OK</v>
      </c>
      <c r="N567" s="5">
        <f>SUMIFS(Table2[[#This Row],[Current Rent Gap]],Table2[[#This Row],[Current Rent Gap]],"&gt;0")</f>
        <v>0</v>
      </c>
    </row>
    <row r="568" spans="1:14" x14ac:dyDescent="0.35">
      <c r="A568" t="s">
        <v>282</v>
      </c>
      <c r="B568" t="s">
        <v>749</v>
      </c>
      <c r="C568">
        <v>3492</v>
      </c>
      <c r="D568">
        <v>3492</v>
      </c>
      <c r="E568">
        <f>Table2[[#This Row],[Due_Amount]]-Table2[[#This Row],[Paid_Amount]]</f>
        <v>0</v>
      </c>
      <c r="F568" s="1">
        <v>45692</v>
      </c>
      <c r="G568">
        <v>3</v>
      </c>
      <c r="H568">
        <f>Table2[[#This Row],[Due_Amount]]*Table2[[#This Row],[Delay_Days]]</f>
        <v>10476</v>
      </c>
      <c r="I568" s="3" t="str">
        <f>IF(Table2[[#This Row],[Delay_Days]]=0,"On Time",IF(Table2[[#This Row],[Delay_Days]]&lt;=7,"Low Risk(1-7)",IF(Table2[[#This Row],[Delay_Days]]&lt;=15,"Medium Risk(8-15)",IF(Table2[[#This Row],[Delay_Days]]&lt;=30,"High Risk(16-30)","Severe Risk(30+)"))))</f>
        <v>Low Risk(1-7)</v>
      </c>
      <c r="J568" s="5">
        <f>AVERAGE(Table2[Due_Amount])</f>
        <v>4635.1866666666665</v>
      </c>
      <c r="K568" s="5">
        <f>Table2[[#This Row],[Estimated_Market_Rent]]-Table2[[#This Row],[Due_Amount]]</f>
        <v>1143.1866666666665</v>
      </c>
      <c r="L568" s="6">
        <f>IF(Table2[[#This Row],[Current Rent Gap]]&gt;0,Table2[[#This Row],[Current Rent Gap]]/Table2[[#This Row],[Estimated_Market_Rent]],0)</f>
        <v>0.246632282338863</v>
      </c>
      <c r="M568" s="3" t="str">
        <f>IF(Table2[[#This Row],[Under_Market %]]&gt;0.1,"Underpriced","OK")</f>
        <v>Underpriced</v>
      </c>
      <c r="N568" s="5">
        <f>SUMIFS(Table2[[#This Row],[Current Rent Gap]],Table2[[#This Row],[Current Rent Gap]],"&gt;0")</f>
        <v>1143.1866666666665</v>
      </c>
    </row>
    <row r="569" spans="1:14" x14ac:dyDescent="0.35">
      <c r="A569" t="s">
        <v>97</v>
      </c>
      <c r="B569" t="s">
        <v>752</v>
      </c>
      <c r="C569">
        <v>3131</v>
      </c>
      <c r="D569">
        <v>3092</v>
      </c>
      <c r="E569">
        <f>Table2[[#This Row],[Due_Amount]]-Table2[[#This Row],[Paid_Amount]]</f>
        <v>39</v>
      </c>
      <c r="F569" s="1">
        <v>45669</v>
      </c>
      <c r="G569">
        <v>11</v>
      </c>
      <c r="H569">
        <f>Table2[[#This Row],[Due_Amount]]*Table2[[#This Row],[Delay_Days]]</f>
        <v>34441</v>
      </c>
      <c r="I569" s="3" t="str">
        <f>IF(Table2[[#This Row],[Delay_Days]]=0,"On Time",IF(Table2[[#This Row],[Delay_Days]]&lt;=7,"Low Risk(1-7)",IF(Table2[[#This Row],[Delay_Days]]&lt;=15,"Medium Risk(8-15)",IF(Table2[[#This Row],[Delay_Days]]&lt;=30,"High Risk(16-30)","Severe Risk(30+)"))))</f>
        <v>Medium Risk(8-15)</v>
      </c>
      <c r="J569" s="5">
        <f>AVERAGE(Table2[Due_Amount])</f>
        <v>4635.1866666666665</v>
      </c>
      <c r="K569" s="5">
        <f>Table2[[#This Row],[Estimated_Market_Rent]]-Table2[[#This Row],[Due_Amount]]</f>
        <v>1504.1866666666665</v>
      </c>
      <c r="L569" s="6">
        <f>IF(Table2[[#This Row],[Current Rent Gap]]&gt;0,Table2[[#This Row],[Current Rent Gap]]/Table2[[#This Row],[Estimated_Market_Rent]],0)</f>
        <v>0.32451479839718789</v>
      </c>
      <c r="M569" s="3" t="str">
        <f>IF(Table2[[#This Row],[Under_Market %]]&gt;0.1,"Underpriced","OK")</f>
        <v>Underpriced</v>
      </c>
      <c r="N569" s="5">
        <f>SUMIFS(Table2[[#This Row],[Current Rent Gap]],Table2[[#This Row],[Current Rent Gap]],"&gt;0")</f>
        <v>1504.1866666666665</v>
      </c>
    </row>
    <row r="570" spans="1:14" x14ac:dyDescent="0.35">
      <c r="A570" t="s">
        <v>247</v>
      </c>
      <c r="B570" t="s">
        <v>750</v>
      </c>
      <c r="C570">
        <v>5904</v>
      </c>
      <c r="D570">
        <v>5904</v>
      </c>
      <c r="E570">
        <f>Table2[[#This Row],[Due_Amount]]-Table2[[#This Row],[Paid_Amount]]</f>
        <v>0</v>
      </c>
      <c r="F570" s="1">
        <v>45766</v>
      </c>
      <c r="G570">
        <v>9</v>
      </c>
      <c r="H570">
        <f>Table2[[#This Row],[Due_Amount]]*Table2[[#This Row],[Delay_Days]]</f>
        <v>53136</v>
      </c>
      <c r="I570" s="3" t="str">
        <f>IF(Table2[[#This Row],[Delay_Days]]=0,"On Time",IF(Table2[[#This Row],[Delay_Days]]&lt;=7,"Low Risk(1-7)",IF(Table2[[#This Row],[Delay_Days]]&lt;=15,"Medium Risk(8-15)",IF(Table2[[#This Row],[Delay_Days]]&lt;=30,"High Risk(16-30)","Severe Risk(30+)"))))</f>
        <v>Medium Risk(8-15)</v>
      </c>
      <c r="J570" s="5">
        <f>AVERAGE(Table2[Due_Amount])</f>
        <v>4635.1866666666665</v>
      </c>
      <c r="K570" s="5">
        <f>Table2[[#This Row],[Estimated_Market_Rent]]-Table2[[#This Row],[Due_Amount]]</f>
        <v>-1268.8133333333335</v>
      </c>
      <c r="L570" s="6">
        <f>IF(Table2[[#This Row],[Current Rent Gap]]&gt;0,Table2[[#This Row],[Current Rent Gap]]/Table2[[#This Row],[Estimated_Market_Rent]],0)</f>
        <v>0</v>
      </c>
      <c r="M570" s="3" t="str">
        <f>IF(Table2[[#This Row],[Under_Market %]]&gt;0.1,"Underpriced","OK")</f>
        <v>OK</v>
      </c>
      <c r="N570" s="5">
        <f>SUMIFS(Table2[[#This Row],[Current Rent Gap]],Table2[[#This Row],[Current Rent Gap]],"&gt;0")</f>
        <v>0</v>
      </c>
    </row>
    <row r="571" spans="1:14" x14ac:dyDescent="0.35">
      <c r="A571" t="s">
        <v>642</v>
      </c>
      <c r="B571" t="s">
        <v>745</v>
      </c>
      <c r="C571">
        <v>5539</v>
      </c>
      <c r="D571">
        <v>5264</v>
      </c>
      <c r="E571">
        <f>Table2[[#This Row],[Due_Amount]]-Table2[[#This Row],[Paid_Amount]]</f>
        <v>275</v>
      </c>
      <c r="F571" s="1">
        <v>45723</v>
      </c>
      <c r="G571">
        <v>14</v>
      </c>
      <c r="H571">
        <f>Table2[[#This Row],[Due_Amount]]*Table2[[#This Row],[Delay_Days]]</f>
        <v>77546</v>
      </c>
      <c r="I571" s="3" t="str">
        <f>IF(Table2[[#This Row],[Delay_Days]]=0,"On Time",IF(Table2[[#This Row],[Delay_Days]]&lt;=7,"Low Risk(1-7)",IF(Table2[[#This Row],[Delay_Days]]&lt;=15,"Medium Risk(8-15)",IF(Table2[[#This Row],[Delay_Days]]&lt;=30,"High Risk(16-30)","Severe Risk(30+)"))))</f>
        <v>Medium Risk(8-15)</v>
      </c>
      <c r="J571" s="5">
        <f>AVERAGE(Table2[Due_Amount])</f>
        <v>4635.1866666666665</v>
      </c>
      <c r="K571" s="5">
        <f>Table2[[#This Row],[Estimated_Market_Rent]]-Table2[[#This Row],[Due_Amount]]</f>
        <v>-903.8133333333335</v>
      </c>
      <c r="L571" s="6">
        <f>IF(Table2[[#This Row],[Current Rent Gap]]&gt;0,Table2[[#This Row],[Current Rent Gap]]/Table2[[#This Row],[Estimated_Market_Rent]],0)</f>
        <v>0</v>
      </c>
      <c r="M571" s="3" t="str">
        <f>IF(Table2[[#This Row],[Under_Market %]]&gt;0.1,"Underpriced","OK")</f>
        <v>OK</v>
      </c>
      <c r="N571" s="5">
        <f>SUMIFS(Table2[[#This Row],[Current Rent Gap]],Table2[[#This Row],[Current Rent Gap]],"&gt;0")</f>
        <v>0</v>
      </c>
    </row>
    <row r="572" spans="1:14" x14ac:dyDescent="0.35">
      <c r="A572" t="s">
        <v>312</v>
      </c>
      <c r="B572" t="s">
        <v>749</v>
      </c>
      <c r="C572">
        <v>4986</v>
      </c>
      <c r="D572">
        <v>4580</v>
      </c>
      <c r="E572">
        <f>Table2[[#This Row],[Due_Amount]]-Table2[[#This Row],[Paid_Amount]]</f>
        <v>406</v>
      </c>
      <c r="F572" s="1">
        <v>45932</v>
      </c>
      <c r="G572">
        <v>10</v>
      </c>
      <c r="H572">
        <f>Table2[[#This Row],[Due_Amount]]*Table2[[#This Row],[Delay_Days]]</f>
        <v>49860</v>
      </c>
      <c r="I572" s="3" t="str">
        <f>IF(Table2[[#This Row],[Delay_Days]]=0,"On Time",IF(Table2[[#This Row],[Delay_Days]]&lt;=7,"Low Risk(1-7)",IF(Table2[[#This Row],[Delay_Days]]&lt;=15,"Medium Risk(8-15)",IF(Table2[[#This Row],[Delay_Days]]&lt;=30,"High Risk(16-30)","Severe Risk(30+)"))))</f>
        <v>Medium Risk(8-15)</v>
      </c>
      <c r="J572" s="5">
        <f>AVERAGE(Table2[Due_Amount])</f>
        <v>4635.1866666666665</v>
      </c>
      <c r="K572" s="5">
        <f>Table2[[#This Row],[Estimated_Market_Rent]]-Table2[[#This Row],[Due_Amount]]</f>
        <v>-350.8133333333335</v>
      </c>
      <c r="L572" s="6">
        <f>IF(Table2[[#This Row],[Current Rent Gap]]&gt;0,Table2[[#This Row],[Current Rent Gap]]/Table2[[#This Row],[Estimated_Market_Rent]],0)</f>
        <v>0</v>
      </c>
      <c r="M572" s="3" t="str">
        <f>IF(Table2[[#This Row],[Under_Market %]]&gt;0.1,"Underpriced","OK")</f>
        <v>OK</v>
      </c>
      <c r="N572" s="5">
        <f>SUMIFS(Table2[[#This Row],[Current Rent Gap]],Table2[[#This Row],[Current Rent Gap]],"&gt;0")</f>
        <v>0</v>
      </c>
    </row>
    <row r="573" spans="1:14" x14ac:dyDescent="0.35">
      <c r="A573" t="s">
        <v>315</v>
      </c>
      <c r="B573" t="s">
        <v>746</v>
      </c>
      <c r="C573">
        <v>4757</v>
      </c>
      <c r="D573">
        <v>4567</v>
      </c>
      <c r="E573">
        <f>Table2[[#This Row],[Due_Amount]]-Table2[[#This Row],[Paid_Amount]]</f>
        <v>190</v>
      </c>
      <c r="F573" s="1">
        <v>45775</v>
      </c>
      <c r="G573">
        <v>11</v>
      </c>
      <c r="H573">
        <f>Table2[[#This Row],[Due_Amount]]*Table2[[#This Row],[Delay_Days]]</f>
        <v>52327</v>
      </c>
      <c r="I573" s="3" t="str">
        <f>IF(Table2[[#This Row],[Delay_Days]]=0,"On Time",IF(Table2[[#This Row],[Delay_Days]]&lt;=7,"Low Risk(1-7)",IF(Table2[[#This Row],[Delay_Days]]&lt;=15,"Medium Risk(8-15)",IF(Table2[[#This Row],[Delay_Days]]&lt;=30,"High Risk(16-30)","Severe Risk(30+)"))))</f>
        <v>Medium Risk(8-15)</v>
      </c>
      <c r="J573" s="5">
        <f>AVERAGE(Table2[Due_Amount])</f>
        <v>4635.1866666666665</v>
      </c>
      <c r="K573" s="5">
        <f>Table2[[#This Row],[Estimated_Market_Rent]]-Table2[[#This Row],[Due_Amount]]</f>
        <v>-121.8133333333335</v>
      </c>
      <c r="L573" s="6">
        <f>IF(Table2[[#This Row],[Current Rent Gap]]&gt;0,Table2[[#This Row],[Current Rent Gap]]/Table2[[#This Row],[Estimated_Market_Rent]],0)</f>
        <v>0</v>
      </c>
      <c r="M573" s="3" t="str">
        <f>IF(Table2[[#This Row],[Under_Market %]]&gt;0.1,"Underpriced","OK")</f>
        <v>OK</v>
      </c>
      <c r="N573" s="5">
        <f>SUMIFS(Table2[[#This Row],[Current Rent Gap]],Table2[[#This Row],[Current Rent Gap]],"&gt;0")</f>
        <v>0</v>
      </c>
    </row>
    <row r="574" spans="1:14" x14ac:dyDescent="0.35">
      <c r="A574" t="s">
        <v>58</v>
      </c>
      <c r="B574" t="s">
        <v>749</v>
      </c>
      <c r="C574">
        <v>4200</v>
      </c>
      <c r="D574">
        <v>4047</v>
      </c>
      <c r="E574">
        <f>Table2[[#This Row],[Due_Amount]]-Table2[[#This Row],[Paid_Amount]]</f>
        <v>153</v>
      </c>
      <c r="F574" s="1">
        <v>45918</v>
      </c>
      <c r="G574">
        <v>22</v>
      </c>
      <c r="H574">
        <f>Table2[[#This Row],[Due_Amount]]*Table2[[#This Row],[Delay_Days]]</f>
        <v>92400</v>
      </c>
      <c r="I574" s="3" t="str">
        <f>IF(Table2[[#This Row],[Delay_Days]]=0,"On Time",IF(Table2[[#This Row],[Delay_Days]]&lt;=7,"Low Risk(1-7)",IF(Table2[[#This Row],[Delay_Days]]&lt;=15,"Medium Risk(8-15)",IF(Table2[[#This Row],[Delay_Days]]&lt;=30,"High Risk(16-30)","Severe Risk(30+)"))))</f>
        <v>High Risk(16-30)</v>
      </c>
      <c r="J574" s="5">
        <f>AVERAGE(Table2[Due_Amount])</f>
        <v>4635.1866666666665</v>
      </c>
      <c r="K574" s="5">
        <f>Table2[[#This Row],[Estimated_Market_Rent]]-Table2[[#This Row],[Due_Amount]]</f>
        <v>435.1866666666665</v>
      </c>
      <c r="L574" s="6">
        <f>IF(Table2[[#This Row],[Current Rent Gap]]&gt;0,Table2[[#This Row],[Current Rent Gap]]/Table2[[#This Row],[Estimated_Market_Rent]],0)</f>
        <v>9.3887624806192602E-2</v>
      </c>
      <c r="M574" s="3" t="str">
        <f>IF(Table2[[#This Row],[Under_Market %]]&gt;0.1,"Underpriced","OK")</f>
        <v>OK</v>
      </c>
      <c r="N574" s="5">
        <f>SUMIFS(Table2[[#This Row],[Current Rent Gap]],Table2[[#This Row],[Current Rent Gap]],"&gt;0")</f>
        <v>435.1866666666665</v>
      </c>
    </row>
    <row r="575" spans="1:14" x14ac:dyDescent="0.35">
      <c r="A575" t="s">
        <v>344</v>
      </c>
      <c r="B575" t="s">
        <v>752</v>
      </c>
      <c r="C575">
        <v>5767</v>
      </c>
      <c r="D575">
        <v>5481</v>
      </c>
      <c r="E575">
        <f>Table2[[#This Row],[Due_Amount]]-Table2[[#This Row],[Paid_Amount]]</f>
        <v>286</v>
      </c>
      <c r="F575" s="1">
        <v>45994</v>
      </c>
      <c r="G575">
        <v>15</v>
      </c>
      <c r="H575">
        <f>Table2[[#This Row],[Due_Amount]]*Table2[[#This Row],[Delay_Days]]</f>
        <v>86505</v>
      </c>
      <c r="I575" s="3" t="str">
        <f>IF(Table2[[#This Row],[Delay_Days]]=0,"On Time",IF(Table2[[#This Row],[Delay_Days]]&lt;=7,"Low Risk(1-7)",IF(Table2[[#This Row],[Delay_Days]]&lt;=15,"Medium Risk(8-15)",IF(Table2[[#This Row],[Delay_Days]]&lt;=30,"High Risk(16-30)","Severe Risk(30+)"))))</f>
        <v>Medium Risk(8-15)</v>
      </c>
      <c r="J575" s="5">
        <f>AVERAGE(Table2[Due_Amount])</f>
        <v>4635.1866666666665</v>
      </c>
      <c r="K575" s="5">
        <f>Table2[[#This Row],[Estimated_Market_Rent]]-Table2[[#This Row],[Due_Amount]]</f>
        <v>-1131.8133333333335</v>
      </c>
      <c r="L575" s="6">
        <f>IF(Table2[[#This Row],[Current Rent Gap]]&gt;0,Table2[[#This Row],[Current Rent Gap]]/Table2[[#This Row],[Estimated_Market_Rent]],0)</f>
        <v>0</v>
      </c>
      <c r="M575" s="3" t="str">
        <f>IF(Table2[[#This Row],[Under_Market %]]&gt;0.1,"Underpriced","OK")</f>
        <v>OK</v>
      </c>
      <c r="N575" s="5">
        <f>SUMIFS(Table2[[#This Row],[Current Rent Gap]],Table2[[#This Row],[Current Rent Gap]],"&gt;0")</f>
        <v>0</v>
      </c>
    </row>
    <row r="576" spans="1:14" x14ac:dyDescent="0.35">
      <c r="A576" t="s">
        <v>46</v>
      </c>
      <c r="B576" t="s">
        <v>744</v>
      </c>
      <c r="C576">
        <v>5986</v>
      </c>
      <c r="D576">
        <v>5780</v>
      </c>
      <c r="E576">
        <f>Table2[[#This Row],[Due_Amount]]-Table2[[#This Row],[Paid_Amount]]</f>
        <v>206</v>
      </c>
      <c r="F576" s="1">
        <v>45932</v>
      </c>
      <c r="G576">
        <v>19</v>
      </c>
      <c r="H576">
        <f>Table2[[#This Row],[Due_Amount]]*Table2[[#This Row],[Delay_Days]]</f>
        <v>113734</v>
      </c>
      <c r="I576" s="3" t="str">
        <f>IF(Table2[[#This Row],[Delay_Days]]=0,"On Time",IF(Table2[[#This Row],[Delay_Days]]&lt;=7,"Low Risk(1-7)",IF(Table2[[#This Row],[Delay_Days]]&lt;=15,"Medium Risk(8-15)",IF(Table2[[#This Row],[Delay_Days]]&lt;=30,"High Risk(16-30)","Severe Risk(30+)"))))</f>
        <v>High Risk(16-30)</v>
      </c>
      <c r="J576" s="5">
        <f>AVERAGE(Table2[Due_Amount])</f>
        <v>4635.1866666666665</v>
      </c>
      <c r="K576" s="5">
        <f>Table2[[#This Row],[Estimated_Market_Rent]]-Table2[[#This Row],[Due_Amount]]</f>
        <v>-1350.8133333333335</v>
      </c>
      <c r="L576" s="6">
        <f>IF(Table2[[#This Row],[Current Rent Gap]]&gt;0,Table2[[#This Row],[Current Rent Gap]]/Table2[[#This Row],[Estimated_Market_Rent]],0)</f>
        <v>0</v>
      </c>
      <c r="M576" s="3" t="str">
        <f>IF(Table2[[#This Row],[Under_Market %]]&gt;0.1,"Underpriced","OK")</f>
        <v>OK</v>
      </c>
      <c r="N576" s="5">
        <f>SUMIFS(Table2[[#This Row],[Current Rent Gap]],Table2[[#This Row],[Current Rent Gap]],"&gt;0")</f>
        <v>0</v>
      </c>
    </row>
    <row r="577" spans="1:14" x14ac:dyDescent="0.35">
      <c r="A577" t="s">
        <v>552</v>
      </c>
      <c r="B577" t="s">
        <v>749</v>
      </c>
      <c r="C577">
        <v>6871</v>
      </c>
      <c r="D577">
        <v>6094</v>
      </c>
      <c r="E577">
        <f>Table2[[#This Row],[Due_Amount]]-Table2[[#This Row],[Paid_Amount]]</f>
        <v>777</v>
      </c>
      <c r="F577" s="1">
        <v>45972</v>
      </c>
      <c r="G577">
        <v>20</v>
      </c>
      <c r="H577">
        <f>Table2[[#This Row],[Due_Amount]]*Table2[[#This Row],[Delay_Days]]</f>
        <v>137420</v>
      </c>
      <c r="I577" s="3" t="str">
        <f>IF(Table2[[#This Row],[Delay_Days]]=0,"On Time",IF(Table2[[#This Row],[Delay_Days]]&lt;=7,"Low Risk(1-7)",IF(Table2[[#This Row],[Delay_Days]]&lt;=15,"Medium Risk(8-15)",IF(Table2[[#This Row],[Delay_Days]]&lt;=30,"High Risk(16-30)","Severe Risk(30+)"))))</f>
        <v>High Risk(16-30)</v>
      </c>
      <c r="J577" s="5">
        <f>AVERAGE(Table2[Due_Amount])</f>
        <v>4635.1866666666665</v>
      </c>
      <c r="K577" s="5">
        <f>Table2[[#This Row],[Estimated_Market_Rent]]-Table2[[#This Row],[Due_Amount]]</f>
        <v>-2235.8133333333335</v>
      </c>
      <c r="L577" s="6">
        <f>IF(Table2[[#This Row],[Current Rent Gap]]&gt;0,Table2[[#This Row],[Current Rent Gap]]/Table2[[#This Row],[Estimated_Market_Rent]],0)</f>
        <v>0</v>
      </c>
      <c r="M577" s="3" t="str">
        <f>IF(Table2[[#This Row],[Under_Market %]]&gt;0.1,"Underpriced","OK")</f>
        <v>OK</v>
      </c>
      <c r="N577" s="5">
        <f>SUMIFS(Table2[[#This Row],[Current Rent Gap]],Table2[[#This Row],[Current Rent Gap]],"&gt;0")</f>
        <v>0</v>
      </c>
    </row>
    <row r="578" spans="1:14" x14ac:dyDescent="0.35">
      <c r="A578" t="s">
        <v>401</v>
      </c>
      <c r="B578" t="s">
        <v>750</v>
      </c>
      <c r="C578">
        <v>3754</v>
      </c>
      <c r="D578">
        <v>3474</v>
      </c>
      <c r="E578">
        <f>Table2[[#This Row],[Due_Amount]]-Table2[[#This Row],[Paid_Amount]]</f>
        <v>280</v>
      </c>
      <c r="F578" s="1">
        <v>45947</v>
      </c>
      <c r="G578">
        <v>11</v>
      </c>
      <c r="H578">
        <f>Table2[[#This Row],[Due_Amount]]*Table2[[#This Row],[Delay_Days]]</f>
        <v>41294</v>
      </c>
      <c r="I578" s="3" t="str">
        <f>IF(Table2[[#This Row],[Delay_Days]]=0,"On Time",IF(Table2[[#This Row],[Delay_Days]]&lt;=7,"Low Risk(1-7)",IF(Table2[[#This Row],[Delay_Days]]&lt;=15,"Medium Risk(8-15)",IF(Table2[[#This Row],[Delay_Days]]&lt;=30,"High Risk(16-30)","Severe Risk(30+)"))))</f>
        <v>Medium Risk(8-15)</v>
      </c>
      <c r="J578" s="5">
        <f>AVERAGE(Table2[Due_Amount])</f>
        <v>4635.1866666666665</v>
      </c>
      <c r="K578" s="5">
        <f>Table2[[#This Row],[Estimated_Market_Rent]]-Table2[[#This Row],[Due_Amount]]</f>
        <v>881.1866666666665</v>
      </c>
      <c r="L578" s="6">
        <f>IF(Table2[[#This Row],[Current Rent Gap]]&gt;0,Table2[[#This Row],[Current Rent Gap]]/Table2[[#This Row],[Estimated_Market_Rent]],0)</f>
        <v>0.19010812941010644</v>
      </c>
      <c r="M578" s="3" t="str">
        <f>IF(Table2[[#This Row],[Under_Market %]]&gt;0.1,"Underpriced","OK")</f>
        <v>Underpriced</v>
      </c>
      <c r="N578" s="5">
        <f>SUMIFS(Table2[[#This Row],[Current Rent Gap]],Table2[[#This Row],[Current Rent Gap]],"&gt;0")</f>
        <v>881.1866666666665</v>
      </c>
    </row>
    <row r="579" spans="1:14" x14ac:dyDescent="0.35">
      <c r="A579" t="s">
        <v>11</v>
      </c>
      <c r="B579" t="s">
        <v>743</v>
      </c>
      <c r="C579">
        <v>3713</v>
      </c>
      <c r="D579">
        <v>3015</v>
      </c>
      <c r="E579">
        <f>Table2[[#This Row],[Due_Amount]]-Table2[[#This Row],[Paid_Amount]]</f>
        <v>698</v>
      </c>
      <c r="F579" s="1">
        <v>45967</v>
      </c>
      <c r="G579">
        <v>15</v>
      </c>
      <c r="H579">
        <f>Table2[[#This Row],[Due_Amount]]*Table2[[#This Row],[Delay_Days]]</f>
        <v>55695</v>
      </c>
      <c r="I579" s="3" t="str">
        <f>IF(Table2[[#This Row],[Delay_Days]]=0,"On Time",IF(Table2[[#This Row],[Delay_Days]]&lt;=7,"Low Risk(1-7)",IF(Table2[[#This Row],[Delay_Days]]&lt;=15,"Medium Risk(8-15)",IF(Table2[[#This Row],[Delay_Days]]&lt;=30,"High Risk(16-30)","Severe Risk(30+)"))))</f>
        <v>Medium Risk(8-15)</v>
      </c>
      <c r="J579" s="5">
        <f>AVERAGE(Table2[Due_Amount])</f>
        <v>4635.1866666666665</v>
      </c>
      <c r="K579" s="5">
        <f>Table2[[#This Row],[Estimated_Market_Rent]]-Table2[[#This Row],[Due_Amount]]</f>
        <v>922.1866666666665</v>
      </c>
      <c r="L579" s="6">
        <f>IF(Table2[[#This Row],[Current Rent Gap]]&gt;0,Table2[[#This Row],[Current Rent Gap]]/Table2[[#This Row],[Estimated_Market_Rent]],0)</f>
        <v>0.19895351212033169</v>
      </c>
      <c r="M579" s="3" t="str">
        <f>IF(Table2[[#This Row],[Under_Market %]]&gt;0.1,"Underpriced","OK")</f>
        <v>Underpriced</v>
      </c>
      <c r="N579" s="5">
        <f>SUMIFS(Table2[[#This Row],[Current Rent Gap]],Table2[[#This Row],[Current Rent Gap]],"&gt;0")</f>
        <v>922.1866666666665</v>
      </c>
    </row>
    <row r="580" spans="1:14" x14ac:dyDescent="0.35">
      <c r="A580" t="s">
        <v>701</v>
      </c>
      <c r="B580" t="s">
        <v>752</v>
      </c>
      <c r="C580">
        <v>5386</v>
      </c>
      <c r="D580">
        <v>5386</v>
      </c>
      <c r="E580">
        <f>Table2[[#This Row],[Due_Amount]]-Table2[[#This Row],[Paid_Amount]]</f>
        <v>0</v>
      </c>
      <c r="F580" s="1">
        <v>45662</v>
      </c>
      <c r="G580">
        <v>5</v>
      </c>
      <c r="H580">
        <f>Table2[[#This Row],[Due_Amount]]*Table2[[#This Row],[Delay_Days]]</f>
        <v>26930</v>
      </c>
      <c r="I580" s="3" t="str">
        <f>IF(Table2[[#This Row],[Delay_Days]]=0,"On Time",IF(Table2[[#This Row],[Delay_Days]]&lt;=7,"Low Risk(1-7)",IF(Table2[[#This Row],[Delay_Days]]&lt;=15,"Medium Risk(8-15)",IF(Table2[[#This Row],[Delay_Days]]&lt;=30,"High Risk(16-30)","Severe Risk(30+)"))))</f>
        <v>Low Risk(1-7)</v>
      </c>
      <c r="J580" s="5">
        <f>AVERAGE(Table2[Due_Amount])</f>
        <v>4635.1866666666665</v>
      </c>
      <c r="K580" s="5">
        <f>Table2[[#This Row],[Estimated_Market_Rent]]-Table2[[#This Row],[Due_Amount]]</f>
        <v>-750.8133333333335</v>
      </c>
      <c r="L580" s="6">
        <f>IF(Table2[[#This Row],[Current Rent Gap]]&gt;0,Table2[[#This Row],[Current Rent Gap]]/Table2[[#This Row],[Estimated_Market_Rent]],0)</f>
        <v>0</v>
      </c>
      <c r="M580" s="3" t="str">
        <f>IF(Table2[[#This Row],[Under_Market %]]&gt;0.1,"Underpriced","OK")</f>
        <v>OK</v>
      </c>
      <c r="N580" s="5">
        <f>SUMIFS(Table2[[#This Row],[Current Rent Gap]],Table2[[#This Row],[Current Rent Gap]],"&gt;0")</f>
        <v>0</v>
      </c>
    </row>
    <row r="581" spans="1:14" x14ac:dyDescent="0.35">
      <c r="A581" t="s">
        <v>312</v>
      </c>
      <c r="B581" t="s">
        <v>752</v>
      </c>
      <c r="C581">
        <v>4243</v>
      </c>
      <c r="D581">
        <v>3673</v>
      </c>
      <c r="E581">
        <f>Table2[[#This Row],[Due_Amount]]-Table2[[#This Row],[Paid_Amount]]</f>
        <v>570</v>
      </c>
      <c r="F581" s="1">
        <v>45855</v>
      </c>
      <c r="G581">
        <v>20</v>
      </c>
      <c r="H581">
        <f>Table2[[#This Row],[Due_Amount]]*Table2[[#This Row],[Delay_Days]]</f>
        <v>84860</v>
      </c>
      <c r="I581" s="3" t="str">
        <f>IF(Table2[[#This Row],[Delay_Days]]=0,"On Time",IF(Table2[[#This Row],[Delay_Days]]&lt;=7,"Low Risk(1-7)",IF(Table2[[#This Row],[Delay_Days]]&lt;=15,"Medium Risk(8-15)",IF(Table2[[#This Row],[Delay_Days]]&lt;=30,"High Risk(16-30)","Severe Risk(30+)"))))</f>
        <v>High Risk(16-30)</v>
      </c>
      <c r="J581" s="5">
        <f>AVERAGE(Table2[Due_Amount])</f>
        <v>4635.1866666666665</v>
      </c>
      <c r="K581" s="5">
        <f>Table2[[#This Row],[Estimated_Market_Rent]]-Table2[[#This Row],[Due_Amount]]</f>
        <v>392.1866666666665</v>
      </c>
      <c r="L581" s="6">
        <f>IF(Table2[[#This Row],[Current Rent Gap]]&gt;0,Table2[[#This Row],[Current Rent Gap]]/Table2[[#This Row],[Estimated_Market_Rent]],0)</f>
        <v>8.4610760012541711E-2</v>
      </c>
      <c r="M581" s="3" t="str">
        <f>IF(Table2[[#This Row],[Under_Market %]]&gt;0.1,"Underpriced","OK")</f>
        <v>OK</v>
      </c>
      <c r="N581" s="5">
        <f>SUMIFS(Table2[[#This Row],[Current Rent Gap]],Table2[[#This Row],[Current Rent Gap]],"&gt;0")</f>
        <v>392.1866666666665</v>
      </c>
    </row>
    <row r="582" spans="1:14" x14ac:dyDescent="0.35">
      <c r="A582" t="s">
        <v>366</v>
      </c>
      <c r="B582" t="s">
        <v>753</v>
      </c>
      <c r="C582">
        <v>5641</v>
      </c>
      <c r="D582">
        <v>4939</v>
      </c>
      <c r="E582">
        <f>Table2[[#This Row],[Due_Amount]]-Table2[[#This Row],[Paid_Amount]]</f>
        <v>702</v>
      </c>
      <c r="F582" s="1">
        <v>45763</v>
      </c>
      <c r="G582">
        <v>14</v>
      </c>
      <c r="H582">
        <f>Table2[[#This Row],[Due_Amount]]*Table2[[#This Row],[Delay_Days]]</f>
        <v>78974</v>
      </c>
      <c r="I582" s="3" t="str">
        <f>IF(Table2[[#This Row],[Delay_Days]]=0,"On Time",IF(Table2[[#This Row],[Delay_Days]]&lt;=7,"Low Risk(1-7)",IF(Table2[[#This Row],[Delay_Days]]&lt;=15,"Medium Risk(8-15)",IF(Table2[[#This Row],[Delay_Days]]&lt;=30,"High Risk(16-30)","Severe Risk(30+)"))))</f>
        <v>Medium Risk(8-15)</v>
      </c>
      <c r="J582" s="5">
        <f>AVERAGE(Table2[Due_Amount])</f>
        <v>4635.1866666666665</v>
      </c>
      <c r="K582" s="5">
        <f>Table2[[#This Row],[Estimated_Market_Rent]]-Table2[[#This Row],[Due_Amount]]</f>
        <v>-1005.8133333333335</v>
      </c>
      <c r="L582" s="6">
        <f>IF(Table2[[#This Row],[Current Rent Gap]]&gt;0,Table2[[#This Row],[Current Rent Gap]]/Table2[[#This Row],[Estimated_Market_Rent]],0)</f>
        <v>0</v>
      </c>
      <c r="M582" s="3" t="str">
        <f>IF(Table2[[#This Row],[Under_Market %]]&gt;0.1,"Underpriced","OK")</f>
        <v>OK</v>
      </c>
      <c r="N582" s="5">
        <f>SUMIFS(Table2[[#This Row],[Current Rent Gap]],Table2[[#This Row],[Current Rent Gap]],"&gt;0")</f>
        <v>0</v>
      </c>
    </row>
    <row r="583" spans="1:14" x14ac:dyDescent="0.35">
      <c r="A583" t="s">
        <v>476</v>
      </c>
      <c r="B583" t="s">
        <v>745</v>
      </c>
      <c r="C583">
        <v>4909</v>
      </c>
      <c r="D583">
        <v>4006</v>
      </c>
      <c r="E583">
        <f>Table2[[#This Row],[Due_Amount]]-Table2[[#This Row],[Paid_Amount]]</f>
        <v>903</v>
      </c>
      <c r="F583" s="1">
        <v>45947</v>
      </c>
      <c r="G583">
        <v>14</v>
      </c>
      <c r="H583">
        <f>Table2[[#This Row],[Due_Amount]]*Table2[[#This Row],[Delay_Days]]</f>
        <v>68726</v>
      </c>
      <c r="I583" s="3" t="str">
        <f>IF(Table2[[#This Row],[Delay_Days]]=0,"On Time",IF(Table2[[#This Row],[Delay_Days]]&lt;=7,"Low Risk(1-7)",IF(Table2[[#This Row],[Delay_Days]]&lt;=15,"Medium Risk(8-15)",IF(Table2[[#This Row],[Delay_Days]]&lt;=30,"High Risk(16-30)","Severe Risk(30+)"))))</f>
        <v>Medium Risk(8-15)</v>
      </c>
      <c r="J583" s="5">
        <f>AVERAGE(Table2[Due_Amount])</f>
        <v>4635.1866666666665</v>
      </c>
      <c r="K583" s="5">
        <f>Table2[[#This Row],[Estimated_Market_Rent]]-Table2[[#This Row],[Due_Amount]]</f>
        <v>-273.8133333333335</v>
      </c>
      <c r="L583" s="6">
        <f>IF(Table2[[#This Row],[Current Rent Gap]]&gt;0,Table2[[#This Row],[Current Rent Gap]]/Table2[[#This Row],[Estimated_Market_Rent]],0)</f>
        <v>0</v>
      </c>
      <c r="M583" s="3" t="str">
        <f>IF(Table2[[#This Row],[Under_Market %]]&gt;0.1,"Underpriced","OK")</f>
        <v>OK</v>
      </c>
      <c r="N583" s="5">
        <f>SUMIFS(Table2[[#This Row],[Current Rent Gap]],Table2[[#This Row],[Current Rent Gap]],"&gt;0")</f>
        <v>0</v>
      </c>
    </row>
    <row r="584" spans="1:14" x14ac:dyDescent="0.35">
      <c r="A584" t="s">
        <v>437</v>
      </c>
      <c r="B584" t="s">
        <v>748</v>
      </c>
      <c r="C584">
        <v>5870</v>
      </c>
      <c r="D584">
        <v>5471</v>
      </c>
      <c r="E584">
        <f>Table2[[#This Row],[Due_Amount]]-Table2[[#This Row],[Paid_Amount]]</f>
        <v>399</v>
      </c>
      <c r="F584" s="1">
        <v>45922</v>
      </c>
      <c r="G584">
        <v>19</v>
      </c>
      <c r="H584">
        <f>Table2[[#This Row],[Due_Amount]]*Table2[[#This Row],[Delay_Days]]</f>
        <v>111530</v>
      </c>
      <c r="I584" s="3" t="str">
        <f>IF(Table2[[#This Row],[Delay_Days]]=0,"On Time",IF(Table2[[#This Row],[Delay_Days]]&lt;=7,"Low Risk(1-7)",IF(Table2[[#This Row],[Delay_Days]]&lt;=15,"Medium Risk(8-15)",IF(Table2[[#This Row],[Delay_Days]]&lt;=30,"High Risk(16-30)","Severe Risk(30+)"))))</f>
        <v>High Risk(16-30)</v>
      </c>
      <c r="J584" s="5">
        <f>AVERAGE(Table2[Due_Amount])</f>
        <v>4635.1866666666665</v>
      </c>
      <c r="K584" s="5">
        <f>Table2[[#This Row],[Estimated_Market_Rent]]-Table2[[#This Row],[Due_Amount]]</f>
        <v>-1234.8133333333335</v>
      </c>
      <c r="L584" s="6">
        <f>IF(Table2[[#This Row],[Current Rent Gap]]&gt;0,Table2[[#This Row],[Current Rent Gap]]/Table2[[#This Row],[Estimated_Market_Rent]],0)</f>
        <v>0</v>
      </c>
      <c r="M584" s="3" t="str">
        <f>IF(Table2[[#This Row],[Under_Market %]]&gt;0.1,"Underpriced","OK")</f>
        <v>OK</v>
      </c>
      <c r="N584" s="5">
        <f>SUMIFS(Table2[[#This Row],[Current Rent Gap]],Table2[[#This Row],[Current Rent Gap]],"&gt;0")</f>
        <v>0</v>
      </c>
    </row>
    <row r="585" spans="1:14" x14ac:dyDescent="0.35">
      <c r="A585" t="s">
        <v>41</v>
      </c>
      <c r="B585" t="s">
        <v>750</v>
      </c>
      <c r="C585">
        <v>6927</v>
      </c>
      <c r="D585">
        <v>6338</v>
      </c>
      <c r="E585">
        <f>Table2[[#This Row],[Due_Amount]]-Table2[[#This Row],[Paid_Amount]]</f>
        <v>589</v>
      </c>
      <c r="F585" s="1">
        <v>45728</v>
      </c>
      <c r="G585">
        <v>15</v>
      </c>
      <c r="H585">
        <f>Table2[[#This Row],[Due_Amount]]*Table2[[#This Row],[Delay_Days]]</f>
        <v>103905</v>
      </c>
      <c r="I585" s="3" t="str">
        <f>IF(Table2[[#This Row],[Delay_Days]]=0,"On Time",IF(Table2[[#This Row],[Delay_Days]]&lt;=7,"Low Risk(1-7)",IF(Table2[[#This Row],[Delay_Days]]&lt;=15,"Medium Risk(8-15)",IF(Table2[[#This Row],[Delay_Days]]&lt;=30,"High Risk(16-30)","Severe Risk(30+)"))))</f>
        <v>Medium Risk(8-15)</v>
      </c>
      <c r="J585" s="5">
        <f>AVERAGE(Table2[Due_Amount])</f>
        <v>4635.1866666666665</v>
      </c>
      <c r="K585" s="5">
        <f>Table2[[#This Row],[Estimated_Market_Rent]]-Table2[[#This Row],[Due_Amount]]</f>
        <v>-2291.8133333333335</v>
      </c>
      <c r="L585" s="6">
        <f>IF(Table2[[#This Row],[Current Rent Gap]]&gt;0,Table2[[#This Row],[Current Rent Gap]]/Table2[[#This Row],[Estimated_Market_Rent]],0)</f>
        <v>0</v>
      </c>
      <c r="M585" s="3" t="str">
        <f>IF(Table2[[#This Row],[Under_Market %]]&gt;0.1,"Underpriced","OK")</f>
        <v>OK</v>
      </c>
      <c r="N585" s="5">
        <f>SUMIFS(Table2[[#This Row],[Current Rent Gap]],Table2[[#This Row],[Current Rent Gap]],"&gt;0")</f>
        <v>0</v>
      </c>
    </row>
    <row r="586" spans="1:14" x14ac:dyDescent="0.35">
      <c r="A586" t="s">
        <v>654</v>
      </c>
      <c r="B586" t="s">
        <v>747</v>
      </c>
      <c r="C586">
        <v>3759</v>
      </c>
      <c r="D586">
        <v>2926</v>
      </c>
      <c r="E586">
        <f>Table2[[#This Row],[Due_Amount]]-Table2[[#This Row],[Paid_Amount]]</f>
        <v>833</v>
      </c>
      <c r="F586" s="1">
        <v>45870</v>
      </c>
      <c r="G586">
        <v>13</v>
      </c>
      <c r="H586">
        <f>Table2[[#This Row],[Due_Amount]]*Table2[[#This Row],[Delay_Days]]</f>
        <v>48867</v>
      </c>
      <c r="I586" s="3" t="str">
        <f>IF(Table2[[#This Row],[Delay_Days]]=0,"On Time",IF(Table2[[#This Row],[Delay_Days]]&lt;=7,"Low Risk(1-7)",IF(Table2[[#This Row],[Delay_Days]]&lt;=15,"Medium Risk(8-15)",IF(Table2[[#This Row],[Delay_Days]]&lt;=30,"High Risk(16-30)","Severe Risk(30+)"))))</f>
        <v>Medium Risk(8-15)</v>
      </c>
      <c r="J586" s="5">
        <f>AVERAGE(Table2[Due_Amount])</f>
        <v>4635.1866666666665</v>
      </c>
      <c r="K586" s="5">
        <f>Table2[[#This Row],[Estimated_Market_Rent]]-Table2[[#This Row],[Due_Amount]]</f>
        <v>876.1866666666665</v>
      </c>
      <c r="L586" s="6">
        <f>IF(Table2[[#This Row],[Current Rent Gap]]&gt;0,Table2[[#This Row],[Current Rent Gap]]/Table2[[#This Row],[Estimated_Market_Rent]],0)</f>
        <v>0.18902942420154237</v>
      </c>
      <c r="M586" s="3" t="str">
        <f>IF(Table2[[#This Row],[Under_Market %]]&gt;0.1,"Underpriced","OK")</f>
        <v>Underpriced</v>
      </c>
      <c r="N586" s="5">
        <f>SUMIFS(Table2[[#This Row],[Current Rent Gap]],Table2[[#This Row],[Current Rent Gap]],"&gt;0")</f>
        <v>876.1866666666665</v>
      </c>
    </row>
    <row r="587" spans="1:14" x14ac:dyDescent="0.35">
      <c r="A587" t="s">
        <v>193</v>
      </c>
      <c r="B587" t="s">
        <v>751</v>
      </c>
      <c r="C587">
        <v>4266</v>
      </c>
      <c r="D587">
        <v>4266</v>
      </c>
      <c r="E587">
        <f>Table2[[#This Row],[Due_Amount]]-Table2[[#This Row],[Paid_Amount]]</f>
        <v>0</v>
      </c>
      <c r="F587" s="1">
        <v>45803</v>
      </c>
      <c r="G587">
        <v>3</v>
      </c>
      <c r="H587">
        <f>Table2[[#This Row],[Due_Amount]]*Table2[[#This Row],[Delay_Days]]</f>
        <v>12798</v>
      </c>
      <c r="I587" s="3" t="str">
        <f>IF(Table2[[#This Row],[Delay_Days]]=0,"On Time",IF(Table2[[#This Row],[Delay_Days]]&lt;=7,"Low Risk(1-7)",IF(Table2[[#This Row],[Delay_Days]]&lt;=15,"Medium Risk(8-15)",IF(Table2[[#This Row],[Delay_Days]]&lt;=30,"High Risk(16-30)","Severe Risk(30+)"))))</f>
        <v>Low Risk(1-7)</v>
      </c>
      <c r="J587" s="5">
        <f>AVERAGE(Table2[Due_Amount])</f>
        <v>4635.1866666666665</v>
      </c>
      <c r="K587" s="5">
        <f>Table2[[#This Row],[Estimated_Market_Rent]]-Table2[[#This Row],[Due_Amount]]</f>
        <v>369.1866666666665</v>
      </c>
      <c r="L587" s="6">
        <f>IF(Table2[[#This Row],[Current Rent Gap]]&gt;0,Table2[[#This Row],[Current Rent Gap]]/Table2[[#This Row],[Estimated_Market_Rent]],0)</f>
        <v>7.9648716053147051E-2</v>
      </c>
      <c r="M587" s="3" t="str">
        <f>IF(Table2[[#This Row],[Under_Market %]]&gt;0.1,"Underpriced","OK")</f>
        <v>OK</v>
      </c>
      <c r="N587" s="5">
        <f>SUMIFS(Table2[[#This Row],[Current Rent Gap]],Table2[[#This Row],[Current Rent Gap]],"&gt;0")</f>
        <v>369.1866666666665</v>
      </c>
    </row>
    <row r="588" spans="1:14" x14ac:dyDescent="0.35">
      <c r="A588" t="s">
        <v>524</v>
      </c>
      <c r="B588" t="s">
        <v>745</v>
      </c>
      <c r="C588">
        <v>3118</v>
      </c>
      <c r="D588">
        <v>3118</v>
      </c>
      <c r="E588">
        <f>Table2[[#This Row],[Due_Amount]]-Table2[[#This Row],[Paid_Amount]]</f>
        <v>0</v>
      </c>
      <c r="F588" s="1">
        <v>45735</v>
      </c>
      <c r="G588">
        <v>8</v>
      </c>
      <c r="H588">
        <f>Table2[[#This Row],[Due_Amount]]*Table2[[#This Row],[Delay_Days]]</f>
        <v>24944</v>
      </c>
      <c r="I588" s="3" t="str">
        <f>IF(Table2[[#This Row],[Delay_Days]]=0,"On Time",IF(Table2[[#This Row],[Delay_Days]]&lt;=7,"Low Risk(1-7)",IF(Table2[[#This Row],[Delay_Days]]&lt;=15,"Medium Risk(8-15)",IF(Table2[[#This Row],[Delay_Days]]&lt;=30,"High Risk(16-30)","Severe Risk(30+)"))))</f>
        <v>Medium Risk(8-15)</v>
      </c>
      <c r="J588" s="5">
        <f>AVERAGE(Table2[Due_Amount])</f>
        <v>4635.1866666666665</v>
      </c>
      <c r="K588" s="5">
        <f>Table2[[#This Row],[Estimated_Market_Rent]]-Table2[[#This Row],[Due_Amount]]</f>
        <v>1517.1866666666665</v>
      </c>
      <c r="L588" s="6">
        <f>IF(Table2[[#This Row],[Current Rent Gap]]&gt;0,Table2[[#This Row],[Current Rent Gap]]/Table2[[#This Row],[Estimated_Market_Rent]],0)</f>
        <v>0.3273194319394544</v>
      </c>
      <c r="M588" s="3" t="str">
        <f>IF(Table2[[#This Row],[Under_Market %]]&gt;0.1,"Underpriced","OK")</f>
        <v>Underpriced</v>
      </c>
      <c r="N588" s="5">
        <f>SUMIFS(Table2[[#This Row],[Current Rent Gap]],Table2[[#This Row],[Current Rent Gap]],"&gt;0")</f>
        <v>1517.1866666666665</v>
      </c>
    </row>
    <row r="589" spans="1:14" x14ac:dyDescent="0.35">
      <c r="A589" t="s">
        <v>234</v>
      </c>
      <c r="B589" t="s">
        <v>745</v>
      </c>
      <c r="C589">
        <v>3310</v>
      </c>
      <c r="D589">
        <v>2447</v>
      </c>
      <c r="E589">
        <f>Table2[[#This Row],[Due_Amount]]-Table2[[#This Row],[Paid_Amount]]</f>
        <v>863</v>
      </c>
      <c r="F589" s="1">
        <v>45954</v>
      </c>
      <c r="G589">
        <v>18</v>
      </c>
      <c r="H589">
        <f>Table2[[#This Row],[Due_Amount]]*Table2[[#This Row],[Delay_Days]]</f>
        <v>59580</v>
      </c>
      <c r="I589" s="3" t="str">
        <f>IF(Table2[[#This Row],[Delay_Days]]=0,"On Time",IF(Table2[[#This Row],[Delay_Days]]&lt;=7,"Low Risk(1-7)",IF(Table2[[#This Row],[Delay_Days]]&lt;=15,"Medium Risk(8-15)",IF(Table2[[#This Row],[Delay_Days]]&lt;=30,"High Risk(16-30)","Severe Risk(30+)"))))</f>
        <v>High Risk(16-30)</v>
      </c>
      <c r="J589" s="5">
        <f>AVERAGE(Table2[Due_Amount])</f>
        <v>4635.1866666666665</v>
      </c>
      <c r="K589" s="5">
        <f>Table2[[#This Row],[Estimated_Market_Rent]]-Table2[[#This Row],[Due_Amount]]</f>
        <v>1325.1866666666665</v>
      </c>
      <c r="L589" s="6">
        <f>IF(Table2[[#This Row],[Current Rent Gap]]&gt;0,Table2[[#This Row],[Current Rent Gap]]/Table2[[#This Row],[Estimated_Market_Rent]],0)</f>
        <v>0.28589715193059462</v>
      </c>
      <c r="M589" s="3" t="str">
        <f>IF(Table2[[#This Row],[Under_Market %]]&gt;0.1,"Underpriced","OK")</f>
        <v>Underpriced</v>
      </c>
      <c r="N589" s="5">
        <f>SUMIFS(Table2[[#This Row],[Current Rent Gap]],Table2[[#This Row],[Current Rent Gap]],"&gt;0")</f>
        <v>1325.1866666666665</v>
      </c>
    </row>
    <row r="590" spans="1:14" x14ac:dyDescent="0.35">
      <c r="A590" t="s">
        <v>497</v>
      </c>
      <c r="B590" t="s">
        <v>751</v>
      </c>
      <c r="C590">
        <v>4844</v>
      </c>
      <c r="D590">
        <v>4844</v>
      </c>
      <c r="E590">
        <f>Table2[[#This Row],[Due_Amount]]-Table2[[#This Row],[Paid_Amount]]</f>
        <v>0</v>
      </c>
      <c r="F590" s="1">
        <v>45908</v>
      </c>
      <c r="G590">
        <v>0</v>
      </c>
      <c r="H590">
        <f>Table2[[#This Row],[Due_Amount]]*Table2[[#This Row],[Delay_Days]]</f>
        <v>0</v>
      </c>
      <c r="I590" s="3" t="str">
        <f>IF(Table2[[#This Row],[Delay_Days]]=0,"On Time",IF(Table2[[#This Row],[Delay_Days]]&lt;=7,"Low Risk(1-7)",IF(Table2[[#This Row],[Delay_Days]]&lt;=15,"Medium Risk(8-15)",IF(Table2[[#This Row],[Delay_Days]]&lt;=30,"High Risk(16-30)","Severe Risk(30+)"))))</f>
        <v>On Time</v>
      </c>
      <c r="J590" s="5">
        <f>AVERAGE(Table2[Due_Amount])</f>
        <v>4635.1866666666665</v>
      </c>
      <c r="K590" s="5">
        <f>Table2[[#This Row],[Estimated_Market_Rent]]-Table2[[#This Row],[Due_Amount]]</f>
        <v>-208.8133333333335</v>
      </c>
      <c r="L590" s="6">
        <f>IF(Table2[[#This Row],[Current Rent Gap]]&gt;0,Table2[[#This Row],[Current Rent Gap]]/Table2[[#This Row],[Estimated_Market_Rent]],0)</f>
        <v>0</v>
      </c>
      <c r="M590" s="3" t="str">
        <f>IF(Table2[[#This Row],[Under_Market %]]&gt;0.1,"Underpriced","OK")</f>
        <v>OK</v>
      </c>
      <c r="N590" s="5">
        <f>SUMIFS(Table2[[#This Row],[Current Rent Gap]],Table2[[#This Row],[Current Rent Gap]],"&gt;0")</f>
        <v>0</v>
      </c>
    </row>
    <row r="591" spans="1:14" x14ac:dyDescent="0.35">
      <c r="A591" t="s">
        <v>150</v>
      </c>
      <c r="B591" t="s">
        <v>749</v>
      </c>
      <c r="C591">
        <v>2807</v>
      </c>
      <c r="D591">
        <v>2630</v>
      </c>
      <c r="E591">
        <f>Table2[[#This Row],[Due_Amount]]-Table2[[#This Row],[Paid_Amount]]</f>
        <v>177</v>
      </c>
      <c r="F591" s="1">
        <v>45769</v>
      </c>
      <c r="G591">
        <v>23</v>
      </c>
      <c r="H591">
        <f>Table2[[#This Row],[Due_Amount]]*Table2[[#This Row],[Delay_Days]]</f>
        <v>64561</v>
      </c>
      <c r="I591" s="3" t="str">
        <f>IF(Table2[[#This Row],[Delay_Days]]=0,"On Time",IF(Table2[[#This Row],[Delay_Days]]&lt;=7,"Low Risk(1-7)",IF(Table2[[#This Row],[Delay_Days]]&lt;=15,"Medium Risk(8-15)",IF(Table2[[#This Row],[Delay_Days]]&lt;=30,"High Risk(16-30)","Severe Risk(30+)"))))</f>
        <v>High Risk(16-30)</v>
      </c>
      <c r="J591" s="5">
        <f>AVERAGE(Table2[Due_Amount])</f>
        <v>4635.1866666666665</v>
      </c>
      <c r="K591" s="5">
        <f>Table2[[#This Row],[Estimated_Market_Rent]]-Table2[[#This Row],[Due_Amount]]</f>
        <v>1828.1866666666665</v>
      </c>
      <c r="L591" s="6">
        <f>IF(Table2[[#This Row],[Current Rent Gap]]&gt;0,Table2[[#This Row],[Current Rent Gap]]/Table2[[#This Row],[Estimated_Market_Rent]],0)</f>
        <v>0.39441489591213874</v>
      </c>
      <c r="M591" s="3" t="str">
        <f>IF(Table2[[#This Row],[Under_Market %]]&gt;0.1,"Underpriced","OK")</f>
        <v>Underpriced</v>
      </c>
      <c r="N591" s="5">
        <f>SUMIFS(Table2[[#This Row],[Current Rent Gap]],Table2[[#This Row],[Current Rent Gap]],"&gt;0")</f>
        <v>1828.1866666666665</v>
      </c>
    </row>
    <row r="592" spans="1:14" x14ac:dyDescent="0.35">
      <c r="A592" t="s">
        <v>454</v>
      </c>
      <c r="B592" t="s">
        <v>751</v>
      </c>
      <c r="C592">
        <v>6547</v>
      </c>
      <c r="D592">
        <v>6547</v>
      </c>
      <c r="E592">
        <f>Table2[[#This Row],[Due_Amount]]-Table2[[#This Row],[Paid_Amount]]</f>
        <v>0</v>
      </c>
      <c r="F592" s="1">
        <v>45793</v>
      </c>
      <c r="G592">
        <v>2</v>
      </c>
      <c r="H592">
        <f>Table2[[#This Row],[Due_Amount]]*Table2[[#This Row],[Delay_Days]]</f>
        <v>13094</v>
      </c>
      <c r="I592" s="3" t="str">
        <f>IF(Table2[[#This Row],[Delay_Days]]=0,"On Time",IF(Table2[[#This Row],[Delay_Days]]&lt;=7,"Low Risk(1-7)",IF(Table2[[#This Row],[Delay_Days]]&lt;=15,"Medium Risk(8-15)",IF(Table2[[#This Row],[Delay_Days]]&lt;=30,"High Risk(16-30)","Severe Risk(30+)"))))</f>
        <v>Low Risk(1-7)</v>
      </c>
      <c r="J592" s="5">
        <f>AVERAGE(Table2[Due_Amount])</f>
        <v>4635.1866666666665</v>
      </c>
      <c r="K592" s="5">
        <f>Table2[[#This Row],[Estimated_Market_Rent]]-Table2[[#This Row],[Due_Amount]]</f>
        <v>-1911.8133333333335</v>
      </c>
      <c r="L592" s="6">
        <f>IF(Table2[[#This Row],[Current Rent Gap]]&gt;0,Table2[[#This Row],[Current Rent Gap]]/Table2[[#This Row],[Estimated_Market_Rent]],0)</f>
        <v>0</v>
      </c>
      <c r="M592" s="3" t="str">
        <f>IF(Table2[[#This Row],[Under_Market %]]&gt;0.1,"Underpriced","OK")</f>
        <v>OK</v>
      </c>
      <c r="N592" s="5">
        <f>SUMIFS(Table2[[#This Row],[Current Rent Gap]],Table2[[#This Row],[Current Rent Gap]],"&gt;0")</f>
        <v>0</v>
      </c>
    </row>
    <row r="593" spans="1:14" x14ac:dyDescent="0.35">
      <c r="A593" t="s">
        <v>155</v>
      </c>
      <c r="B593" t="s">
        <v>744</v>
      </c>
      <c r="C593">
        <v>5006</v>
      </c>
      <c r="D593">
        <v>5006</v>
      </c>
      <c r="E593">
        <f>Table2[[#This Row],[Due_Amount]]-Table2[[#This Row],[Paid_Amount]]</f>
        <v>0</v>
      </c>
      <c r="F593" s="1">
        <v>45980</v>
      </c>
      <c r="G593">
        <v>0</v>
      </c>
      <c r="H593">
        <f>Table2[[#This Row],[Due_Amount]]*Table2[[#This Row],[Delay_Days]]</f>
        <v>0</v>
      </c>
      <c r="I593" s="3" t="str">
        <f>IF(Table2[[#This Row],[Delay_Days]]=0,"On Time",IF(Table2[[#This Row],[Delay_Days]]&lt;=7,"Low Risk(1-7)",IF(Table2[[#This Row],[Delay_Days]]&lt;=15,"Medium Risk(8-15)",IF(Table2[[#This Row],[Delay_Days]]&lt;=30,"High Risk(16-30)","Severe Risk(30+)"))))</f>
        <v>On Time</v>
      </c>
      <c r="J593" s="5">
        <f>AVERAGE(Table2[Due_Amount])</f>
        <v>4635.1866666666665</v>
      </c>
      <c r="K593" s="5">
        <f>Table2[[#This Row],[Estimated_Market_Rent]]-Table2[[#This Row],[Due_Amount]]</f>
        <v>-370.8133333333335</v>
      </c>
      <c r="L593" s="6">
        <f>IF(Table2[[#This Row],[Current Rent Gap]]&gt;0,Table2[[#This Row],[Current Rent Gap]]/Table2[[#This Row],[Estimated_Market_Rent]],0)</f>
        <v>0</v>
      </c>
      <c r="M593" s="3" t="str">
        <f>IF(Table2[[#This Row],[Under_Market %]]&gt;0.1,"Underpriced","OK")</f>
        <v>OK</v>
      </c>
      <c r="N593" s="5">
        <f>SUMIFS(Table2[[#This Row],[Current Rent Gap]],Table2[[#This Row],[Current Rent Gap]],"&gt;0")</f>
        <v>0</v>
      </c>
    </row>
    <row r="594" spans="1:14" x14ac:dyDescent="0.35">
      <c r="A594" t="s">
        <v>459</v>
      </c>
      <c r="B594" t="s">
        <v>744</v>
      </c>
      <c r="C594">
        <v>5080</v>
      </c>
      <c r="D594">
        <v>4618</v>
      </c>
      <c r="E594">
        <f>Table2[[#This Row],[Due_Amount]]-Table2[[#This Row],[Paid_Amount]]</f>
        <v>462</v>
      </c>
      <c r="F594" s="1">
        <v>45792</v>
      </c>
      <c r="G594">
        <v>12</v>
      </c>
      <c r="H594">
        <f>Table2[[#This Row],[Due_Amount]]*Table2[[#This Row],[Delay_Days]]</f>
        <v>60960</v>
      </c>
      <c r="I594" s="3" t="str">
        <f>IF(Table2[[#This Row],[Delay_Days]]=0,"On Time",IF(Table2[[#This Row],[Delay_Days]]&lt;=7,"Low Risk(1-7)",IF(Table2[[#This Row],[Delay_Days]]&lt;=15,"Medium Risk(8-15)",IF(Table2[[#This Row],[Delay_Days]]&lt;=30,"High Risk(16-30)","Severe Risk(30+)"))))</f>
        <v>Medium Risk(8-15)</v>
      </c>
      <c r="J594" s="5">
        <f>AVERAGE(Table2[Due_Amount])</f>
        <v>4635.1866666666665</v>
      </c>
      <c r="K594" s="5">
        <f>Table2[[#This Row],[Estimated_Market_Rent]]-Table2[[#This Row],[Due_Amount]]</f>
        <v>-444.8133333333335</v>
      </c>
      <c r="L594" s="6">
        <f>IF(Table2[[#This Row],[Current Rent Gap]]&gt;0,Table2[[#This Row],[Current Rent Gap]]/Table2[[#This Row],[Estimated_Market_Rent]],0)</f>
        <v>0</v>
      </c>
      <c r="M594" s="3" t="str">
        <f>IF(Table2[[#This Row],[Under_Market %]]&gt;0.1,"Underpriced","OK")</f>
        <v>OK</v>
      </c>
      <c r="N594" s="5">
        <f>SUMIFS(Table2[[#This Row],[Current Rent Gap]],Table2[[#This Row],[Current Rent Gap]],"&gt;0")</f>
        <v>0</v>
      </c>
    </row>
    <row r="595" spans="1:14" x14ac:dyDescent="0.35">
      <c r="A595" t="s">
        <v>69</v>
      </c>
      <c r="B595" t="s">
        <v>746</v>
      </c>
      <c r="C595">
        <v>6329</v>
      </c>
      <c r="D595">
        <v>5610</v>
      </c>
      <c r="E595">
        <f>Table2[[#This Row],[Due_Amount]]-Table2[[#This Row],[Paid_Amount]]</f>
        <v>719</v>
      </c>
      <c r="F595" s="1">
        <v>46018</v>
      </c>
      <c r="G595">
        <v>23</v>
      </c>
      <c r="H595">
        <f>Table2[[#This Row],[Due_Amount]]*Table2[[#This Row],[Delay_Days]]</f>
        <v>145567</v>
      </c>
      <c r="I595" s="3" t="str">
        <f>IF(Table2[[#This Row],[Delay_Days]]=0,"On Time",IF(Table2[[#This Row],[Delay_Days]]&lt;=7,"Low Risk(1-7)",IF(Table2[[#This Row],[Delay_Days]]&lt;=15,"Medium Risk(8-15)",IF(Table2[[#This Row],[Delay_Days]]&lt;=30,"High Risk(16-30)","Severe Risk(30+)"))))</f>
        <v>High Risk(16-30)</v>
      </c>
      <c r="J595" s="5">
        <f>AVERAGE(Table2[Due_Amount])</f>
        <v>4635.1866666666665</v>
      </c>
      <c r="K595" s="5">
        <f>Table2[[#This Row],[Estimated_Market_Rent]]-Table2[[#This Row],[Due_Amount]]</f>
        <v>-1693.8133333333335</v>
      </c>
      <c r="L595" s="6">
        <f>IF(Table2[[#This Row],[Current Rent Gap]]&gt;0,Table2[[#This Row],[Current Rent Gap]]/Table2[[#This Row],[Estimated_Market_Rent]],0)</f>
        <v>0</v>
      </c>
      <c r="M595" s="3" t="str">
        <f>IF(Table2[[#This Row],[Under_Market %]]&gt;0.1,"Underpriced","OK")</f>
        <v>OK</v>
      </c>
      <c r="N595" s="5">
        <f>SUMIFS(Table2[[#This Row],[Current Rent Gap]],Table2[[#This Row],[Current Rent Gap]],"&gt;0")</f>
        <v>0</v>
      </c>
    </row>
    <row r="596" spans="1:14" x14ac:dyDescent="0.35">
      <c r="A596" t="s">
        <v>120</v>
      </c>
      <c r="B596" t="s">
        <v>751</v>
      </c>
      <c r="C596">
        <v>4275</v>
      </c>
      <c r="D596">
        <v>3690</v>
      </c>
      <c r="E596">
        <f>Table2[[#This Row],[Due_Amount]]-Table2[[#This Row],[Paid_Amount]]</f>
        <v>585</v>
      </c>
      <c r="F596" s="1">
        <v>45907</v>
      </c>
      <c r="G596">
        <v>20</v>
      </c>
      <c r="H596">
        <f>Table2[[#This Row],[Due_Amount]]*Table2[[#This Row],[Delay_Days]]</f>
        <v>85500</v>
      </c>
      <c r="I596" s="3" t="str">
        <f>IF(Table2[[#This Row],[Delay_Days]]=0,"On Time",IF(Table2[[#This Row],[Delay_Days]]&lt;=7,"Low Risk(1-7)",IF(Table2[[#This Row],[Delay_Days]]&lt;=15,"Medium Risk(8-15)",IF(Table2[[#This Row],[Delay_Days]]&lt;=30,"High Risk(16-30)","Severe Risk(30+)"))))</f>
        <v>High Risk(16-30)</v>
      </c>
      <c r="J596" s="5">
        <f>AVERAGE(Table2[Due_Amount])</f>
        <v>4635.1866666666665</v>
      </c>
      <c r="K596" s="5">
        <f>Table2[[#This Row],[Estimated_Market_Rent]]-Table2[[#This Row],[Due_Amount]]</f>
        <v>360.1866666666665</v>
      </c>
      <c r="L596" s="6">
        <f>IF(Table2[[#This Row],[Current Rent Gap]]&gt;0,Table2[[#This Row],[Current Rent Gap]]/Table2[[#This Row],[Estimated_Market_Rent]],0)</f>
        <v>7.7707046677731748E-2</v>
      </c>
      <c r="M596" s="3" t="str">
        <f>IF(Table2[[#This Row],[Under_Market %]]&gt;0.1,"Underpriced","OK")</f>
        <v>OK</v>
      </c>
      <c r="N596" s="5">
        <f>SUMIFS(Table2[[#This Row],[Current Rent Gap]],Table2[[#This Row],[Current Rent Gap]],"&gt;0")</f>
        <v>360.1866666666665</v>
      </c>
    </row>
    <row r="597" spans="1:14" x14ac:dyDescent="0.35">
      <c r="A597" t="s">
        <v>495</v>
      </c>
      <c r="B597" t="s">
        <v>745</v>
      </c>
      <c r="C597">
        <v>4461</v>
      </c>
      <c r="D597">
        <v>4461</v>
      </c>
      <c r="E597">
        <f>Table2[[#This Row],[Due_Amount]]-Table2[[#This Row],[Paid_Amount]]</f>
        <v>0</v>
      </c>
      <c r="F597" s="1">
        <v>45796</v>
      </c>
      <c r="G597">
        <v>0</v>
      </c>
      <c r="H597">
        <f>Table2[[#This Row],[Due_Amount]]*Table2[[#This Row],[Delay_Days]]</f>
        <v>0</v>
      </c>
      <c r="I597" s="3" t="str">
        <f>IF(Table2[[#This Row],[Delay_Days]]=0,"On Time",IF(Table2[[#This Row],[Delay_Days]]&lt;=7,"Low Risk(1-7)",IF(Table2[[#This Row],[Delay_Days]]&lt;=15,"Medium Risk(8-15)",IF(Table2[[#This Row],[Delay_Days]]&lt;=30,"High Risk(16-30)","Severe Risk(30+)"))))</f>
        <v>On Time</v>
      </c>
      <c r="J597" s="5">
        <f>AVERAGE(Table2[Due_Amount])</f>
        <v>4635.1866666666665</v>
      </c>
      <c r="K597" s="5">
        <f>Table2[[#This Row],[Estimated_Market_Rent]]-Table2[[#This Row],[Due_Amount]]</f>
        <v>174.1866666666665</v>
      </c>
      <c r="L597" s="6">
        <f>IF(Table2[[#This Row],[Current Rent Gap]]&gt;0,Table2[[#This Row],[Current Rent Gap]]/Table2[[#This Row],[Estimated_Market_Rent]],0)</f>
        <v>3.7579212919148855E-2</v>
      </c>
      <c r="M597" s="3" t="str">
        <f>IF(Table2[[#This Row],[Under_Market %]]&gt;0.1,"Underpriced","OK")</f>
        <v>OK</v>
      </c>
      <c r="N597" s="5">
        <f>SUMIFS(Table2[[#This Row],[Current Rent Gap]],Table2[[#This Row],[Current Rent Gap]],"&gt;0")</f>
        <v>174.1866666666665</v>
      </c>
    </row>
    <row r="598" spans="1:14" x14ac:dyDescent="0.35">
      <c r="A598" t="s">
        <v>273</v>
      </c>
      <c r="B598" t="s">
        <v>750</v>
      </c>
      <c r="C598">
        <v>4845</v>
      </c>
      <c r="D598">
        <v>4351</v>
      </c>
      <c r="E598">
        <f>Table2[[#This Row],[Due_Amount]]-Table2[[#This Row],[Paid_Amount]]</f>
        <v>494</v>
      </c>
      <c r="F598" s="1">
        <v>45886</v>
      </c>
      <c r="G598">
        <v>25</v>
      </c>
      <c r="H598">
        <f>Table2[[#This Row],[Due_Amount]]*Table2[[#This Row],[Delay_Days]]</f>
        <v>121125</v>
      </c>
      <c r="I598" s="3" t="str">
        <f>IF(Table2[[#This Row],[Delay_Days]]=0,"On Time",IF(Table2[[#This Row],[Delay_Days]]&lt;=7,"Low Risk(1-7)",IF(Table2[[#This Row],[Delay_Days]]&lt;=15,"Medium Risk(8-15)",IF(Table2[[#This Row],[Delay_Days]]&lt;=30,"High Risk(16-30)","Severe Risk(30+)"))))</f>
        <v>High Risk(16-30)</v>
      </c>
      <c r="J598" s="5">
        <f>AVERAGE(Table2[Due_Amount])</f>
        <v>4635.1866666666665</v>
      </c>
      <c r="K598" s="5">
        <f>Table2[[#This Row],[Estimated_Market_Rent]]-Table2[[#This Row],[Due_Amount]]</f>
        <v>-209.8133333333335</v>
      </c>
      <c r="L598" s="6">
        <f>IF(Table2[[#This Row],[Current Rent Gap]]&gt;0,Table2[[#This Row],[Current Rent Gap]]/Table2[[#This Row],[Estimated_Market_Rent]],0)</f>
        <v>0</v>
      </c>
      <c r="M598" s="3" t="str">
        <f>IF(Table2[[#This Row],[Under_Market %]]&gt;0.1,"Underpriced","OK")</f>
        <v>OK</v>
      </c>
      <c r="N598" s="5">
        <f>SUMIFS(Table2[[#This Row],[Current Rent Gap]],Table2[[#This Row],[Current Rent Gap]],"&gt;0")</f>
        <v>0</v>
      </c>
    </row>
    <row r="599" spans="1:14" x14ac:dyDescent="0.35">
      <c r="A599" t="s">
        <v>175</v>
      </c>
      <c r="B599" t="s">
        <v>749</v>
      </c>
      <c r="C599">
        <v>6832</v>
      </c>
      <c r="D599">
        <v>6808</v>
      </c>
      <c r="E599">
        <f>Table2[[#This Row],[Due_Amount]]-Table2[[#This Row],[Paid_Amount]]</f>
        <v>24</v>
      </c>
      <c r="F599" s="1">
        <v>45825</v>
      </c>
      <c r="G599">
        <v>19</v>
      </c>
      <c r="H599">
        <f>Table2[[#This Row],[Due_Amount]]*Table2[[#This Row],[Delay_Days]]</f>
        <v>129808</v>
      </c>
      <c r="I599" s="3" t="str">
        <f>IF(Table2[[#This Row],[Delay_Days]]=0,"On Time",IF(Table2[[#This Row],[Delay_Days]]&lt;=7,"Low Risk(1-7)",IF(Table2[[#This Row],[Delay_Days]]&lt;=15,"Medium Risk(8-15)",IF(Table2[[#This Row],[Delay_Days]]&lt;=30,"High Risk(16-30)","Severe Risk(30+)"))))</f>
        <v>High Risk(16-30)</v>
      </c>
      <c r="J599" s="5">
        <f>AVERAGE(Table2[Due_Amount])</f>
        <v>4635.1866666666665</v>
      </c>
      <c r="K599" s="5">
        <f>Table2[[#This Row],[Estimated_Market_Rent]]-Table2[[#This Row],[Due_Amount]]</f>
        <v>-2196.8133333333335</v>
      </c>
      <c r="L599" s="6">
        <f>IF(Table2[[#This Row],[Current Rent Gap]]&gt;0,Table2[[#This Row],[Current Rent Gap]]/Table2[[#This Row],[Estimated_Market_Rent]],0)</f>
        <v>0</v>
      </c>
      <c r="M599" s="3" t="str">
        <f>IF(Table2[[#This Row],[Under_Market %]]&gt;0.1,"Underpriced","OK")</f>
        <v>OK</v>
      </c>
      <c r="N599" s="5">
        <f>SUMIFS(Table2[[#This Row],[Current Rent Gap]],Table2[[#This Row],[Current Rent Gap]],"&gt;0")</f>
        <v>0</v>
      </c>
    </row>
    <row r="600" spans="1:14" x14ac:dyDescent="0.35">
      <c r="A600" t="s">
        <v>485</v>
      </c>
      <c r="B600" t="s">
        <v>754</v>
      </c>
      <c r="C600">
        <v>2172</v>
      </c>
      <c r="D600">
        <v>1679</v>
      </c>
      <c r="E600">
        <f>Table2[[#This Row],[Due_Amount]]-Table2[[#This Row],[Paid_Amount]]</f>
        <v>493</v>
      </c>
      <c r="F600" s="1">
        <v>45856</v>
      </c>
      <c r="G600">
        <v>13</v>
      </c>
      <c r="H600">
        <f>Table2[[#This Row],[Due_Amount]]*Table2[[#This Row],[Delay_Days]]</f>
        <v>28236</v>
      </c>
      <c r="I600" s="3" t="str">
        <f>IF(Table2[[#This Row],[Delay_Days]]=0,"On Time",IF(Table2[[#This Row],[Delay_Days]]&lt;=7,"Low Risk(1-7)",IF(Table2[[#This Row],[Delay_Days]]&lt;=15,"Medium Risk(8-15)",IF(Table2[[#This Row],[Delay_Days]]&lt;=30,"High Risk(16-30)","Severe Risk(30+)"))))</f>
        <v>Medium Risk(8-15)</v>
      </c>
      <c r="J600" s="5">
        <f>AVERAGE(Table2[Due_Amount])</f>
        <v>4635.1866666666665</v>
      </c>
      <c r="K600" s="5">
        <f>Table2[[#This Row],[Estimated_Market_Rent]]-Table2[[#This Row],[Due_Amount]]</f>
        <v>2463.1866666666665</v>
      </c>
      <c r="L600" s="6">
        <f>IF(Table2[[#This Row],[Current Rent Gap]]&gt;0,Table2[[#This Row],[Current Rent Gap]]/Table2[[#This Row],[Estimated_Market_Rent]],0)</f>
        <v>0.53141045739977388</v>
      </c>
      <c r="M600" s="3" t="str">
        <f>IF(Table2[[#This Row],[Under_Market %]]&gt;0.1,"Underpriced","OK")</f>
        <v>Underpriced</v>
      </c>
      <c r="N600" s="5">
        <f>SUMIFS(Table2[[#This Row],[Current Rent Gap]],Table2[[#This Row],[Current Rent Gap]],"&gt;0")</f>
        <v>2463.1866666666665</v>
      </c>
    </row>
    <row r="601" spans="1:14" x14ac:dyDescent="0.35">
      <c r="A601" t="s">
        <v>282</v>
      </c>
      <c r="B601" t="s">
        <v>753</v>
      </c>
      <c r="C601">
        <v>6185</v>
      </c>
      <c r="D601">
        <v>5927</v>
      </c>
      <c r="E601">
        <f>Table2[[#This Row],[Due_Amount]]-Table2[[#This Row],[Paid_Amount]]</f>
        <v>258</v>
      </c>
      <c r="F601" s="1">
        <v>45824</v>
      </c>
      <c r="G601">
        <v>10</v>
      </c>
      <c r="H601">
        <f>Table2[[#This Row],[Due_Amount]]*Table2[[#This Row],[Delay_Days]]</f>
        <v>61850</v>
      </c>
      <c r="I601" s="3" t="str">
        <f>IF(Table2[[#This Row],[Delay_Days]]=0,"On Time",IF(Table2[[#This Row],[Delay_Days]]&lt;=7,"Low Risk(1-7)",IF(Table2[[#This Row],[Delay_Days]]&lt;=15,"Medium Risk(8-15)",IF(Table2[[#This Row],[Delay_Days]]&lt;=30,"High Risk(16-30)","Severe Risk(30+)"))))</f>
        <v>Medium Risk(8-15)</v>
      </c>
      <c r="J601" s="5">
        <f>AVERAGE(Table2[Due_Amount])</f>
        <v>4635.1866666666665</v>
      </c>
      <c r="K601" s="5">
        <f>Table2[[#This Row],[Estimated_Market_Rent]]-Table2[[#This Row],[Due_Amount]]</f>
        <v>-1549.8133333333335</v>
      </c>
      <c r="L601" s="6">
        <f>IF(Table2[[#This Row],[Current Rent Gap]]&gt;0,Table2[[#This Row],[Current Rent Gap]]/Table2[[#This Row],[Estimated_Market_Rent]],0)</f>
        <v>0</v>
      </c>
      <c r="M601" s="3" t="str">
        <f>IF(Table2[[#This Row],[Under_Market %]]&gt;0.1,"Underpriced","OK")</f>
        <v>OK</v>
      </c>
      <c r="N601" s="5">
        <f>SUMIFS(Table2[[#This Row],[Current Rent Gap]],Table2[[#This Row],[Current Rent Gap]],"&gt;0")</f>
        <v>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1"/>
  <sheetViews>
    <sheetView workbookViewId="0">
      <selection activeCell="D3" sqref="D3"/>
    </sheetView>
  </sheetViews>
  <sheetFormatPr defaultRowHeight="14.5" x14ac:dyDescent="0.35"/>
  <cols>
    <col min="1" max="1" width="13.1796875" customWidth="1"/>
    <col min="2" max="2" width="15" customWidth="1"/>
    <col min="3" max="3" width="12.54296875" customWidth="1"/>
    <col min="4" max="4" width="9.36328125" customWidth="1"/>
    <col min="6" max="6" width="15.453125" bestFit="1" customWidth="1"/>
  </cols>
  <sheetData>
    <row r="1" spans="1:6" x14ac:dyDescent="0.35">
      <c r="A1" t="s">
        <v>1</v>
      </c>
      <c r="B1" t="s">
        <v>755</v>
      </c>
      <c r="C1" t="s">
        <v>756</v>
      </c>
      <c r="D1" t="s">
        <v>757</v>
      </c>
      <c r="E1" t="s">
        <v>758</v>
      </c>
      <c r="F1" s="4" t="s">
        <v>759</v>
      </c>
    </row>
    <row r="2" spans="1:6" x14ac:dyDescent="0.35">
      <c r="A2" t="s">
        <v>128</v>
      </c>
      <c r="B2" s="1">
        <v>45999</v>
      </c>
      <c r="C2" t="s">
        <v>760</v>
      </c>
      <c r="D2" t="s">
        <v>761</v>
      </c>
      <c r="E2">
        <v>11818</v>
      </c>
      <c r="F2" s="4">
        <v>16</v>
      </c>
    </row>
    <row r="3" spans="1:6" x14ac:dyDescent="0.35">
      <c r="A3" t="s">
        <v>28</v>
      </c>
      <c r="B3" s="1">
        <v>45839</v>
      </c>
      <c r="C3" t="s">
        <v>762</v>
      </c>
      <c r="D3" t="s">
        <v>761</v>
      </c>
      <c r="E3">
        <v>18584</v>
      </c>
      <c r="F3" s="4">
        <v>17</v>
      </c>
    </row>
    <row r="4" spans="1:6" x14ac:dyDescent="0.35">
      <c r="A4" t="s">
        <v>210</v>
      </c>
      <c r="B4" s="1">
        <v>45666</v>
      </c>
      <c r="C4" t="s">
        <v>762</v>
      </c>
      <c r="D4" t="s">
        <v>763</v>
      </c>
      <c r="E4">
        <v>3646</v>
      </c>
      <c r="F4" s="4">
        <v>17</v>
      </c>
    </row>
    <row r="5" spans="1:6" x14ac:dyDescent="0.35">
      <c r="A5" t="s">
        <v>105</v>
      </c>
      <c r="B5" s="1">
        <v>45862</v>
      </c>
      <c r="C5" t="s">
        <v>764</v>
      </c>
      <c r="D5" t="s">
        <v>765</v>
      </c>
      <c r="E5">
        <v>14282</v>
      </c>
      <c r="F5" s="4">
        <v>9</v>
      </c>
    </row>
    <row r="6" spans="1:6" x14ac:dyDescent="0.35">
      <c r="A6" t="s">
        <v>119</v>
      </c>
      <c r="B6" s="1">
        <v>45829</v>
      </c>
      <c r="C6" t="s">
        <v>762</v>
      </c>
      <c r="D6" t="s">
        <v>761</v>
      </c>
      <c r="E6">
        <v>11484</v>
      </c>
      <c r="F6" s="4">
        <v>4</v>
      </c>
    </row>
    <row r="7" spans="1:6" x14ac:dyDescent="0.35">
      <c r="A7" t="s">
        <v>494</v>
      </c>
      <c r="B7" s="1">
        <v>45860</v>
      </c>
      <c r="C7" t="s">
        <v>760</v>
      </c>
      <c r="D7" t="s">
        <v>761</v>
      </c>
      <c r="E7">
        <v>17888</v>
      </c>
      <c r="F7" s="4">
        <v>3</v>
      </c>
    </row>
    <row r="8" spans="1:6" x14ac:dyDescent="0.35">
      <c r="A8" t="s">
        <v>204</v>
      </c>
      <c r="B8" s="1">
        <v>45922</v>
      </c>
      <c r="C8" t="s">
        <v>760</v>
      </c>
      <c r="D8" t="s">
        <v>761</v>
      </c>
      <c r="E8">
        <v>3185</v>
      </c>
      <c r="F8" s="4">
        <v>9</v>
      </c>
    </row>
    <row r="9" spans="1:6" x14ac:dyDescent="0.35">
      <c r="A9" t="s">
        <v>34</v>
      </c>
      <c r="B9" s="1">
        <v>45704</v>
      </c>
      <c r="C9" t="s">
        <v>762</v>
      </c>
      <c r="D9" t="s">
        <v>761</v>
      </c>
      <c r="E9">
        <v>4708</v>
      </c>
      <c r="F9" s="4">
        <v>9</v>
      </c>
    </row>
    <row r="10" spans="1:6" x14ac:dyDescent="0.35">
      <c r="A10" t="s">
        <v>177</v>
      </c>
      <c r="B10" s="1">
        <v>45698</v>
      </c>
      <c r="C10" t="s">
        <v>760</v>
      </c>
      <c r="D10" t="s">
        <v>763</v>
      </c>
      <c r="E10">
        <v>11453</v>
      </c>
      <c r="F10" s="4">
        <v>7</v>
      </c>
    </row>
    <row r="11" spans="1:6" x14ac:dyDescent="0.35">
      <c r="A11" t="s">
        <v>343</v>
      </c>
      <c r="B11" s="1">
        <v>45912</v>
      </c>
      <c r="C11" t="s">
        <v>766</v>
      </c>
      <c r="D11" t="s">
        <v>763</v>
      </c>
      <c r="E11">
        <v>23017</v>
      </c>
      <c r="F11" s="4">
        <v>20</v>
      </c>
    </row>
    <row r="12" spans="1:6" x14ac:dyDescent="0.35">
      <c r="A12" t="s">
        <v>370</v>
      </c>
      <c r="B12" s="1">
        <v>45780</v>
      </c>
      <c r="C12" t="s">
        <v>762</v>
      </c>
      <c r="D12" t="s">
        <v>765</v>
      </c>
      <c r="E12">
        <v>15381</v>
      </c>
      <c r="F12" s="4">
        <v>2</v>
      </c>
    </row>
    <row r="13" spans="1:6" x14ac:dyDescent="0.35">
      <c r="A13" t="s">
        <v>767</v>
      </c>
      <c r="B13" s="1">
        <v>45741</v>
      </c>
      <c r="C13" t="s">
        <v>764</v>
      </c>
      <c r="D13" t="s">
        <v>765</v>
      </c>
      <c r="E13">
        <v>19545</v>
      </c>
      <c r="F13" s="4">
        <v>3</v>
      </c>
    </row>
    <row r="14" spans="1:6" x14ac:dyDescent="0.35">
      <c r="A14" t="s">
        <v>602</v>
      </c>
      <c r="B14" s="1">
        <v>45896</v>
      </c>
      <c r="C14" t="s">
        <v>762</v>
      </c>
      <c r="D14" t="s">
        <v>763</v>
      </c>
      <c r="E14">
        <v>6849</v>
      </c>
      <c r="F14" s="4">
        <v>10</v>
      </c>
    </row>
    <row r="15" spans="1:6" x14ac:dyDescent="0.35">
      <c r="A15" t="s">
        <v>163</v>
      </c>
      <c r="B15" s="1">
        <v>45970</v>
      </c>
      <c r="C15" t="s">
        <v>764</v>
      </c>
      <c r="D15" t="s">
        <v>763</v>
      </c>
      <c r="E15">
        <v>3753</v>
      </c>
      <c r="F15" s="4">
        <v>8</v>
      </c>
    </row>
    <row r="16" spans="1:6" x14ac:dyDescent="0.35">
      <c r="A16" t="s">
        <v>192</v>
      </c>
      <c r="B16" s="1">
        <v>45890</v>
      </c>
      <c r="C16" t="s">
        <v>760</v>
      </c>
      <c r="D16" t="s">
        <v>765</v>
      </c>
      <c r="E16">
        <v>4084</v>
      </c>
      <c r="F16" s="4">
        <v>1</v>
      </c>
    </row>
    <row r="17" spans="1:6" x14ac:dyDescent="0.35">
      <c r="A17" t="s">
        <v>113</v>
      </c>
      <c r="B17" s="1">
        <v>45914</v>
      </c>
      <c r="C17" t="s">
        <v>766</v>
      </c>
      <c r="D17" t="s">
        <v>763</v>
      </c>
      <c r="E17">
        <v>17306</v>
      </c>
      <c r="F17" s="4">
        <v>12</v>
      </c>
    </row>
    <row r="18" spans="1:6" x14ac:dyDescent="0.35">
      <c r="A18" t="s">
        <v>336</v>
      </c>
      <c r="B18" s="1">
        <v>45862</v>
      </c>
      <c r="C18" t="s">
        <v>766</v>
      </c>
      <c r="D18" t="s">
        <v>765</v>
      </c>
      <c r="E18">
        <v>19019</v>
      </c>
      <c r="F18" s="4">
        <v>13</v>
      </c>
    </row>
    <row r="19" spans="1:6" x14ac:dyDescent="0.35">
      <c r="A19" t="s">
        <v>57</v>
      </c>
      <c r="B19" s="1">
        <v>46015</v>
      </c>
      <c r="C19" t="s">
        <v>760</v>
      </c>
      <c r="D19" t="s">
        <v>763</v>
      </c>
      <c r="E19">
        <v>24687</v>
      </c>
      <c r="F19" s="4">
        <v>16</v>
      </c>
    </row>
    <row r="20" spans="1:6" x14ac:dyDescent="0.35">
      <c r="A20" t="s">
        <v>768</v>
      </c>
      <c r="B20" s="1">
        <v>45679</v>
      </c>
      <c r="C20" t="s">
        <v>766</v>
      </c>
      <c r="D20" t="s">
        <v>765</v>
      </c>
      <c r="E20">
        <v>9584</v>
      </c>
      <c r="F20" s="4">
        <v>6</v>
      </c>
    </row>
    <row r="21" spans="1:6" x14ac:dyDescent="0.35">
      <c r="A21" t="s">
        <v>54</v>
      </c>
      <c r="B21" s="1">
        <v>45880</v>
      </c>
      <c r="C21" t="s">
        <v>764</v>
      </c>
      <c r="D21" t="s">
        <v>761</v>
      </c>
      <c r="E21">
        <v>13695</v>
      </c>
      <c r="F21" s="4">
        <v>18</v>
      </c>
    </row>
    <row r="22" spans="1:6" x14ac:dyDescent="0.35">
      <c r="A22" t="s">
        <v>541</v>
      </c>
      <c r="B22" s="1">
        <v>46014</v>
      </c>
      <c r="C22" t="s">
        <v>760</v>
      </c>
      <c r="D22" t="s">
        <v>763</v>
      </c>
      <c r="E22">
        <v>9906</v>
      </c>
      <c r="F22" s="4">
        <v>11</v>
      </c>
    </row>
    <row r="23" spans="1:6" x14ac:dyDescent="0.35">
      <c r="A23" t="s">
        <v>144</v>
      </c>
      <c r="B23" s="1">
        <v>45731</v>
      </c>
      <c r="C23" t="s">
        <v>764</v>
      </c>
      <c r="D23" t="s">
        <v>763</v>
      </c>
      <c r="E23">
        <v>14055</v>
      </c>
      <c r="F23" s="4">
        <v>15</v>
      </c>
    </row>
    <row r="24" spans="1:6" x14ac:dyDescent="0.35">
      <c r="A24" t="s">
        <v>393</v>
      </c>
      <c r="B24" s="1">
        <v>45887</v>
      </c>
      <c r="C24" t="s">
        <v>764</v>
      </c>
      <c r="D24" t="s">
        <v>763</v>
      </c>
      <c r="E24">
        <v>21239</v>
      </c>
      <c r="F24" s="4">
        <v>19</v>
      </c>
    </row>
    <row r="25" spans="1:6" x14ac:dyDescent="0.35">
      <c r="A25" t="s">
        <v>523</v>
      </c>
      <c r="B25" s="1">
        <v>45965</v>
      </c>
      <c r="C25" t="s">
        <v>762</v>
      </c>
      <c r="D25" t="s">
        <v>765</v>
      </c>
      <c r="E25">
        <v>20712</v>
      </c>
      <c r="F25" s="4">
        <v>20</v>
      </c>
    </row>
    <row r="26" spans="1:6" x14ac:dyDescent="0.35">
      <c r="A26" t="s">
        <v>362</v>
      </c>
      <c r="B26" s="1">
        <v>45864</v>
      </c>
      <c r="C26" t="s">
        <v>764</v>
      </c>
      <c r="D26" t="s">
        <v>761</v>
      </c>
      <c r="E26">
        <v>12381</v>
      </c>
      <c r="F26" s="4">
        <v>5</v>
      </c>
    </row>
    <row r="27" spans="1:6" x14ac:dyDescent="0.35">
      <c r="A27" t="s">
        <v>54</v>
      </c>
      <c r="B27" s="1">
        <v>45902</v>
      </c>
      <c r="C27" t="s">
        <v>766</v>
      </c>
      <c r="D27" t="s">
        <v>761</v>
      </c>
      <c r="E27">
        <v>23288</v>
      </c>
      <c r="F27" s="4">
        <v>10</v>
      </c>
    </row>
    <row r="28" spans="1:6" x14ac:dyDescent="0.35">
      <c r="A28" t="s">
        <v>286</v>
      </c>
      <c r="B28" s="1">
        <v>45836</v>
      </c>
      <c r="C28" t="s">
        <v>766</v>
      </c>
      <c r="D28" t="s">
        <v>763</v>
      </c>
      <c r="E28">
        <v>10308</v>
      </c>
      <c r="F28" s="4">
        <v>15</v>
      </c>
    </row>
    <row r="29" spans="1:6" x14ac:dyDescent="0.35">
      <c r="A29" t="s">
        <v>432</v>
      </c>
      <c r="B29" s="1">
        <v>45757</v>
      </c>
      <c r="C29" t="s">
        <v>762</v>
      </c>
      <c r="D29" t="s">
        <v>765</v>
      </c>
      <c r="E29">
        <v>11043</v>
      </c>
      <c r="F29" s="4">
        <v>13</v>
      </c>
    </row>
    <row r="30" spans="1:6" x14ac:dyDescent="0.35">
      <c r="A30" t="s">
        <v>523</v>
      </c>
      <c r="B30" s="1">
        <v>45729</v>
      </c>
      <c r="C30" t="s">
        <v>762</v>
      </c>
      <c r="D30" t="s">
        <v>761</v>
      </c>
      <c r="E30">
        <v>14575</v>
      </c>
      <c r="F30" s="4">
        <v>6</v>
      </c>
    </row>
    <row r="31" spans="1:6" x14ac:dyDescent="0.35">
      <c r="A31" t="s">
        <v>18</v>
      </c>
      <c r="B31" s="1">
        <v>45885</v>
      </c>
      <c r="C31" t="s">
        <v>766</v>
      </c>
      <c r="D31" t="s">
        <v>761</v>
      </c>
      <c r="E31">
        <v>9065</v>
      </c>
      <c r="F31" s="4">
        <v>15</v>
      </c>
    </row>
    <row r="32" spans="1:6" x14ac:dyDescent="0.35">
      <c r="A32" t="s">
        <v>570</v>
      </c>
      <c r="B32" s="1">
        <v>45850</v>
      </c>
      <c r="C32" t="s">
        <v>766</v>
      </c>
      <c r="D32" t="s">
        <v>761</v>
      </c>
      <c r="E32">
        <v>2111</v>
      </c>
      <c r="F32" s="4">
        <v>4</v>
      </c>
    </row>
    <row r="33" spans="1:6" x14ac:dyDescent="0.35">
      <c r="A33" t="s">
        <v>144</v>
      </c>
      <c r="B33" s="1">
        <v>45856</v>
      </c>
      <c r="C33" t="s">
        <v>764</v>
      </c>
      <c r="D33" t="s">
        <v>761</v>
      </c>
      <c r="E33">
        <v>10918</v>
      </c>
      <c r="F33" s="4">
        <v>1</v>
      </c>
    </row>
    <row r="34" spans="1:6" x14ac:dyDescent="0.35">
      <c r="A34" t="s">
        <v>560</v>
      </c>
      <c r="B34" s="1">
        <v>45721</v>
      </c>
      <c r="C34" t="s">
        <v>760</v>
      </c>
      <c r="D34" t="s">
        <v>763</v>
      </c>
      <c r="E34">
        <v>10633</v>
      </c>
      <c r="F34" s="4">
        <v>18</v>
      </c>
    </row>
    <row r="35" spans="1:6" x14ac:dyDescent="0.35">
      <c r="A35" t="s">
        <v>441</v>
      </c>
      <c r="B35" s="1">
        <v>45946</v>
      </c>
      <c r="C35" t="s">
        <v>762</v>
      </c>
      <c r="D35" t="s">
        <v>763</v>
      </c>
      <c r="E35">
        <v>8715</v>
      </c>
      <c r="F35" s="4">
        <v>18</v>
      </c>
    </row>
    <row r="36" spans="1:6" x14ac:dyDescent="0.35">
      <c r="A36" t="s">
        <v>471</v>
      </c>
      <c r="B36" s="1">
        <v>45756</v>
      </c>
      <c r="C36" t="s">
        <v>762</v>
      </c>
      <c r="D36" t="s">
        <v>765</v>
      </c>
      <c r="E36">
        <v>4460</v>
      </c>
      <c r="F36" s="4">
        <v>20</v>
      </c>
    </row>
    <row r="37" spans="1:6" x14ac:dyDescent="0.35">
      <c r="A37" t="s">
        <v>182</v>
      </c>
      <c r="B37" s="1">
        <v>45729</v>
      </c>
      <c r="C37" t="s">
        <v>766</v>
      </c>
      <c r="D37" t="s">
        <v>765</v>
      </c>
      <c r="E37">
        <v>13998</v>
      </c>
      <c r="F37" s="4">
        <v>17</v>
      </c>
    </row>
    <row r="38" spans="1:6" x14ac:dyDescent="0.35">
      <c r="A38" t="s">
        <v>471</v>
      </c>
      <c r="B38" s="1">
        <v>45861</v>
      </c>
      <c r="C38" t="s">
        <v>766</v>
      </c>
      <c r="D38" t="s">
        <v>761</v>
      </c>
      <c r="E38">
        <v>15119</v>
      </c>
      <c r="F38" s="4">
        <v>5</v>
      </c>
    </row>
    <row r="39" spans="1:6" x14ac:dyDescent="0.35">
      <c r="A39" t="s">
        <v>14</v>
      </c>
      <c r="B39" s="1">
        <v>45948</v>
      </c>
      <c r="C39" t="s">
        <v>760</v>
      </c>
      <c r="D39" t="s">
        <v>761</v>
      </c>
      <c r="E39">
        <v>18833</v>
      </c>
      <c r="F39" s="4">
        <v>4</v>
      </c>
    </row>
    <row r="40" spans="1:6" x14ac:dyDescent="0.35">
      <c r="A40" t="s">
        <v>303</v>
      </c>
      <c r="B40" s="1">
        <v>45775</v>
      </c>
      <c r="C40" t="s">
        <v>760</v>
      </c>
      <c r="D40" t="s">
        <v>761</v>
      </c>
      <c r="E40">
        <v>23275</v>
      </c>
      <c r="F40" s="4">
        <v>3</v>
      </c>
    </row>
    <row r="41" spans="1:6" x14ac:dyDescent="0.35">
      <c r="A41" t="s">
        <v>220</v>
      </c>
      <c r="B41" s="1">
        <v>45963</v>
      </c>
      <c r="C41" t="s">
        <v>760</v>
      </c>
      <c r="D41" t="s">
        <v>765</v>
      </c>
      <c r="E41">
        <v>23453</v>
      </c>
      <c r="F41" s="4">
        <v>8</v>
      </c>
    </row>
    <row r="42" spans="1:6" x14ac:dyDescent="0.35">
      <c r="A42" t="s">
        <v>135</v>
      </c>
      <c r="B42" s="1">
        <v>45732</v>
      </c>
      <c r="C42" t="s">
        <v>760</v>
      </c>
      <c r="D42" t="s">
        <v>761</v>
      </c>
      <c r="E42">
        <v>11309</v>
      </c>
      <c r="F42" s="4">
        <v>6</v>
      </c>
    </row>
    <row r="43" spans="1:6" x14ac:dyDescent="0.35">
      <c r="A43" t="s">
        <v>286</v>
      </c>
      <c r="B43" s="1">
        <v>45666</v>
      </c>
      <c r="C43" t="s">
        <v>760</v>
      </c>
      <c r="D43" t="s">
        <v>765</v>
      </c>
      <c r="E43">
        <v>18120</v>
      </c>
      <c r="F43" s="4">
        <v>16</v>
      </c>
    </row>
    <row r="44" spans="1:6" x14ac:dyDescent="0.35">
      <c r="A44" t="s">
        <v>14</v>
      </c>
      <c r="B44" s="1">
        <v>45739</v>
      </c>
      <c r="C44" t="s">
        <v>762</v>
      </c>
      <c r="D44" t="s">
        <v>763</v>
      </c>
      <c r="E44">
        <v>16106</v>
      </c>
      <c r="F44" s="4">
        <v>10</v>
      </c>
    </row>
    <row r="45" spans="1:6" x14ac:dyDescent="0.35">
      <c r="A45" t="s">
        <v>560</v>
      </c>
      <c r="B45" s="1">
        <v>46004</v>
      </c>
      <c r="C45" t="s">
        <v>766</v>
      </c>
      <c r="D45" t="s">
        <v>763</v>
      </c>
      <c r="E45">
        <v>17313</v>
      </c>
      <c r="F45" s="4">
        <v>2</v>
      </c>
    </row>
    <row r="46" spans="1:6" x14ac:dyDescent="0.35">
      <c r="A46" t="s">
        <v>317</v>
      </c>
      <c r="B46" s="1">
        <v>45903</v>
      </c>
      <c r="C46" t="s">
        <v>762</v>
      </c>
      <c r="D46" t="s">
        <v>761</v>
      </c>
      <c r="E46">
        <v>23336</v>
      </c>
      <c r="F46" s="4">
        <v>18</v>
      </c>
    </row>
    <row r="47" spans="1:6" x14ac:dyDescent="0.35">
      <c r="A47" t="s">
        <v>113</v>
      </c>
      <c r="B47" s="1">
        <v>45853</v>
      </c>
      <c r="C47" t="s">
        <v>762</v>
      </c>
      <c r="D47" t="s">
        <v>763</v>
      </c>
      <c r="E47">
        <v>19000</v>
      </c>
      <c r="F47" s="4">
        <v>7</v>
      </c>
    </row>
    <row r="48" spans="1:6" x14ac:dyDescent="0.35">
      <c r="A48" t="s">
        <v>317</v>
      </c>
      <c r="B48" s="1">
        <v>45982</v>
      </c>
      <c r="C48" t="s">
        <v>766</v>
      </c>
      <c r="D48" t="s">
        <v>763</v>
      </c>
      <c r="E48">
        <v>24851</v>
      </c>
      <c r="F48" s="4">
        <v>14</v>
      </c>
    </row>
    <row r="49" spans="1:6" x14ac:dyDescent="0.35">
      <c r="A49" t="s">
        <v>272</v>
      </c>
      <c r="B49" s="1">
        <v>45815</v>
      </c>
      <c r="C49" t="s">
        <v>764</v>
      </c>
      <c r="D49" t="s">
        <v>765</v>
      </c>
      <c r="E49">
        <v>8505</v>
      </c>
      <c r="F49" s="4">
        <v>14</v>
      </c>
    </row>
    <row r="50" spans="1:6" x14ac:dyDescent="0.35">
      <c r="A50" t="s">
        <v>87</v>
      </c>
      <c r="B50" s="1">
        <v>45733</v>
      </c>
      <c r="C50" t="s">
        <v>764</v>
      </c>
      <c r="D50" t="s">
        <v>763</v>
      </c>
      <c r="E50">
        <v>8899</v>
      </c>
      <c r="F50" s="4">
        <v>4</v>
      </c>
    </row>
    <row r="51" spans="1:6" x14ac:dyDescent="0.35">
      <c r="A51" t="s">
        <v>14</v>
      </c>
      <c r="B51" s="1">
        <v>45791</v>
      </c>
      <c r="C51" t="s">
        <v>762</v>
      </c>
      <c r="D51" t="s">
        <v>765</v>
      </c>
      <c r="E51">
        <v>16941</v>
      </c>
      <c r="F51" s="4">
        <v>12</v>
      </c>
    </row>
    <row r="52" spans="1:6" x14ac:dyDescent="0.35">
      <c r="A52" t="s">
        <v>409</v>
      </c>
      <c r="B52" s="1">
        <v>45948</v>
      </c>
      <c r="C52" t="s">
        <v>760</v>
      </c>
      <c r="D52" t="s">
        <v>763</v>
      </c>
      <c r="E52">
        <v>20502</v>
      </c>
      <c r="F52" s="4">
        <v>16</v>
      </c>
    </row>
    <row r="53" spans="1:6" x14ac:dyDescent="0.35">
      <c r="A53" t="s">
        <v>769</v>
      </c>
      <c r="B53" s="1">
        <v>45922</v>
      </c>
      <c r="C53" t="s">
        <v>766</v>
      </c>
      <c r="D53" t="s">
        <v>761</v>
      </c>
      <c r="E53">
        <v>5330</v>
      </c>
      <c r="F53" s="4">
        <v>10</v>
      </c>
    </row>
    <row r="54" spans="1:6" x14ac:dyDescent="0.35">
      <c r="A54" t="s">
        <v>236</v>
      </c>
      <c r="B54" s="1">
        <v>45797</v>
      </c>
      <c r="C54" t="s">
        <v>764</v>
      </c>
      <c r="D54" t="s">
        <v>763</v>
      </c>
      <c r="E54">
        <v>4454</v>
      </c>
      <c r="F54" s="4">
        <v>19</v>
      </c>
    </row>
    <row r="55" spans="1:6" x14ac:dyDescent="0.35">
      <c r="A55" t="s">
        <v>770</v>
      </c>
      <c r="B55" s="1">
        <v>45731</v>
      </c>
      <c r="C55" t="s">
        <v>766</v>
      </c>
      <c r="D55" t="s">
        <v>761</v>
      </c>
      <c r="E55">
        <v>15867</v>
      </c>
      <c r="F55" s="4">
        <v>7</v>
      </c>
    </row>
    <row r="56" spans="1:6" x14ac:dyDescent="0.35">
      <c r="A56" t="s">
        <v>412</v>
      </c>
      <c r="B56" s="1">
        <v>45731</v>
      </c>
      <c r="C56" t="s">
        <v>766</v>
      </c>
      <c r="D56" t="s">
        <v>765</v>
      </c>
      <c r="E56">
        <v>2637</v>
      </c>
      <c r="F56" s="4">
        <v>12</v>
      </c>
    </row>
    <row r="57" spans="1:6" x14ac:dyDescent="0.35">
      <c r="A57" t="s">
        <v>204</v>
      </c>
      <c r="B57" s="1">
        <v>45789</v>
      </c>
      <c r="C57" t="s">
        <v>762</v>
      </c>
      <c r="D57" t="s">
        <v>761</v>
      </c>
      <c r="E57">
        <v>8550</v>
      </c>
      <c r="F57" s="4">
        <v>4</v>
      </c>
    </row>
    <row r="58" spans="1:6" x14ac:dyDescent="0.35">
      <c r="A58" t="s">
        <v>77</v>
      </c>
      <c r="B58" s="1">
        <v>45680</v>
      </c>
      <c r="C58" t="s">
        <v>762</v>
      </c>
      <c r="D58" t="s">
        <v>761</v>
      </c>
      <c r="E58">
        <v>6373</v>
      </c>
      <c r="F58" s="4">
        <v>9</v>
      </c>
    </row>
    <row r="59" spans="1:6" x14ac:dyDescent="0.35">
      <c r="A59" t="s">
        <v>771</v>
      </c>
      <c r="B59" s="1">
        <v>45682</v>
      </c>
      <c r="C59" t="s">
        <v>762</v>
      </c>
      <c r="D59" t="s">
        <v>765</v>
      </c>
      <c r="E59">
        <v>7063</v>
      </c>
      <c r="F59" s="4">
        <v>6</v>
      </c>
    </row>
    <row r="60" spans="1:6" x14ac:dyDescent="0.35">
      <c r="A60" t="s">
        <v>393</v>
      </c>
      <c r="B60" s="1">
        <v>45753</v>
      </c>
      <c r="C60" t="s">
        <v>764</v>
      </c>
      <c r="D60" t="s">
        <v>765</v>
      </c>
      <c r="E60">
        <v>15006</v>
      </c>
      <c r="F60" s="4">
        <v>10</v>
      </c>
    </row>
    <row r="61" spans="1:6" x14ac:dyDescent="0.35">
      <c r="A61" t="s">
        <v>192</v>
      </c>
      <c r="B61" s="1">
        <v>45935</v>
      </c>
      <c r="C61" t="s">
        <v>760</v>
      </c>
      <c r="D61" t="s">
        <v>763</v>
      </c>
      <c r="E61">
        <v>21592</v>
      </c>
      <c r="F61" s="4">
        <v>7</v>
      </c>
    </row>
    <row r="62" spans="1:6" x14ac:dyDescent="0.35">
      <c r="A62" t="s">
        <v>769</v>
      </c>
      <c r="B62" s="1">
        <v>46004</v>
      </c>
      <c r="C62" t="s">
        <v>766</v>
      </c>
      <c r="D62" t="s">
        <v>765</v>
      </c>
      <c r="E62">
        <v>3692</v>
      </c>
      <c r="F62" s="4">
        <v>2</v>
      </c>
    </row>
    <row r="63" spans="1:6" x14ac:dyDescent="0.35">
      <c r="A63" t="s">
        <v>187</v>
      </c>
      <c r="B63" s="1">
        <v>45995</v>
      </c>
      <c r="C63" t="s">
        <v>762</v>
      </c>
      <c r="D63" t="s">
        <v>765</v>
      </c>
      <c r="E63">
        <v>5882</v>
      </c>
      <c r="F63" s="4">
        <v>16</v>
      </c>
    </row>
    <row r="64" spans="1:6" x14ac:dyDescent="0.35">
      <c r="A64" t="s">
        <v>390</v>
      </c>
      <c r="B64" s="1">
        <v>45685</v>
      </c>
      <c r="C64" t="s">
        <v>760</v>
      </c>
      <c r="D64" t="s">
        <v>761</v>
      </c>
      <c r="E64">
        <v>2224</v>
      </c>
      <c r="F64" s="4">
        <v>19</v>
      </c>
    </row>
    <row r="65" spans="1:6" x14ac:dyDescent="0.35">
      <c r="A65" t="s">
        <v>429</v>
      </c>
      <c r="B65" s="1">
        <v>45707</v>
      </c>
      <c r="C65" t="s">
        <v>762</v>
      </c>
      <c r="D65" t="s">
        <v>763</v>
      </c>
      <c r="E65">
        <v>2830</v>
      </c>
      <c r="F65" s="4">
        <v>12</v>
      </c>
    </row>
    <row r="66" spans="1:6" x14ac:dyDescent="0.35">
      <c r="A66" t="s">
        <v>772</v>
      </c>
      <c r="B66" s="1">
        <v>45798</v>
      </c>
      <c r="C66" t="s">
        <v>762</v>
      </c>
      <c r="D66" t="s">
        <v>765</v>
      </c>
      <c r="E66">
        <v>21033</v>
      </c>
      <c r="F66" s="4">
        <v>13</v>
      </c>
    </row>
    <row r="67" spans="1:6" x14ac:dyDescent="0.35">
      <c r="A67" t="s">
        <v>773</v>
      </c>
      <c r="B67" s="1">
        <v>45826</v>
      </c>
      <c r="C67" t="s">
        <v>762</v>
      </c>
      <c r="D67" t="s">
        <v>761</v>
      </c>
      <c r="E67">
        <v>24358</v>
      </c>
      <c r="F67" s="4">
        <v>10</v>
      </c>
    </row>
    <row r="68" spans="1:6" x14ac:dyDescent="0.35">
      <c r="A68" t="s">
        <v>370</v>
      </c>
      <c r="B68" s="1">
        <v>45882</v>
      </c>
      <c r="C68" t="s">
        <v>760</v>
      </c>
      <c r="D68" t="s">
        <v>761</v>
      </c>
      <c r="E68">
        <v>10598</v>
      </c>
      <c r="F68" s="4">
        <v>1</v>
      </c>
    </row>
    <row r="69" spans="1:6" x14ac:dyDescent="0.35">
      <c r="A69" t="s">
        <v>774</v>
      </c>
      <c r="B69" s="1">
        <v>45672</v>
      </c>
      <c r="C69" t="s">
        <v>760</v>
      </c>
      <c r="D69" t="s">
        <v>765</v>
      </c>
      <c r="E69">
        <v>6166</v>
      </c>
      <c r="F69" s="4">
        <v>11</v>
      </c>
    </row>
    <row r="70" spans="1:6" x14ac:dyDescent="0.35">
      <c r="A70" t="s">
        <v>523</v>
      </c>
      <c r="B70" s="1">
        <v>45714</v>
      </c>
      <c r="C70" t="s">
        <v>766</v>
      </c>
      <c r="D70" t="s">
        <v>761</v>
      </c>
      <c r="E70">
        <v>11494</v>
      </c>
      <c r="F70" s="4">
        <v>18</v>
      </c>
    </row>
    <row r="71" spans="1:6" x14ac:dyDescent="0.35">
      <c r="A71" t="s">
        <v>775</v>
      </c>
      <c r="B71" s="1">
        <v>45863</v>
      </c>
      <c r="C71" t="s">
        <v>762</v>
      </c>
      <c r="D71" t="s">
        <v>761</v>
      </c>
      <c r="E71">
        <v>14360</v>
      </c>
      <c r="F71" s="4">
        <v>8</v>
      </c>
    </row>
    <row r="72" spans="1:6" x14ac:dyDescent="0.35">
      <c r="A72" t="s">
        <v>22</v>
      </c>
      <c r="B72" s="1">
        <v>45706</v>
      </c>
      <c r="C72" t="s">
        <v>762</v>
      </c>
      <c r="D72" t="s">
        <v>763</v>
      </c>
      <c r="E72">
        <v>21655</v>
      </c>
      <c r="F72" s="4">
        <v>19</v>
      </c>
    </row>
    <row r="73" spans="1:6" x14ac:dyDescent="0.35">
      <c r="A73" t="s">
        <v>74</v>
      </c>
      <c r="B73" s="1">
        <v>45906</v>
      </c>
      <c r="C73" t="s">
        <v>762</v>
      </c>
      <c r="D73" t="s">
        <v>763</v>
      </c>
      <c r="E73">
        <v>7095</v>
      </c>
      <c r="F73" s="4">
        <v>4</v>
      </c>
    </row>
    <row r="74" spans="1:6" x14ac:dyDescent="0.35">
      <c r="A74" t="s">
        <v>18</v>
      </c>
      <c r="B74" s="1">
        <v>45871</v>
      </c>
      <c r="C74" t="s">
        <v>762</v>
      </c>
      <c r="D74" t="s">
        <v>765</v>
      </c>
      <c r="E74">
        <v>2153</v>
      </c>
      <c r="F74" s="4">
        <v>20</v>
      </c>
    </row>
    <row r="75" spans="1:6" x14ac:dyDescent="0.35">
      <c r="A75" t="s">
        <v>62</v>
      </c>
      <c r="B75" s="1">
        <v>45788</v>
      </c>
      <c r="C75" t="s">
        <v>760</v>
      </c>
      <c r="D75" t="s">
        <v>761</v>
      </c>
      <c r="E75">
        <v>12868</v>
      </c>
      <c r="F75" s="4">
        <v>14</v>
      </c>
    </row>
    <row r="76" spans="1:6" x14ac:dyDescent="0.35">
      <c r="A76" t="s">
        <v>767</v>
      </c>
      <c r="B76" s="1">
        <v>45756</v>
      </c>
      <c r="C76" t="s">
        <v>764</v>
      </c>
      <c r="D76" t="s">
        <v>761</v>
      </c>
      <c r="E76">
        <v>18564</v>
      </c>
      <c r="F76" s="4">
        <v>3</v>
      </c>
    </row>
    <row r="77" spans="1:6" x14ac:dyDescent="0.35">
      <c r="A77" t="s">
        <v>776</v>
      </c>
      <c r="B77" s="1">
        <v>46005</v>
      </c>
      <c r="C77" t="s">
        <v>760</v>
      </c>
      <c r="D77" t="s">
        <v>761</v>
      </c>
      <c r="E77">
        <v>14124</v>
      </c>
      <c r="F77" s="4">
        <v>20</v>
      </c>
    </row>
    <row r="78" spans="1:6" x14ac:dyDescent="0.35">
      <c r="A78" t="s">
        <v>242</v>
      </c>
      <c r="B78" s="1">
        <v>45972</v>
      </c>
      <c r="C78" t="s">
        <v>766</v>
      </c>
      <c r="D78" t="s">
        <v>765</v>
      </c>
      <c r="E78">
        <v>17575</v>
      </c>
      <c r="F78" s="4">
        <v>4</v>
      </c>
    </row>
    <row r="79" spans="1:6" x14ac:dyDescent="0.35">
      <c r="A79" t="s">
        <v>40</v>
      </c>
      <c r="B79" s="1">
        <v>45781</v>
      </c>
      <c r="C79" t="s">
        <v>760</v>
      </c>
      <c r="D79" t="s">
        <v>765</v>
      </c>
      <c r="E79">
        <v>14749</v>
      </c>
      <c r="F79" s="4">
        <v>8</v>
      </c>
    </row>
    <row r="80" spans="1:6" x14ac:dyDescent="0.35">
      <c r="A80" t="s">
        <v>147</v>
      </c>
      <c r="B80" s="1">
        <v>45992</v>
      </c>
      <c r="C80" t="s">
        <v>762</v>
      </c>
      <c r="D80" t="s">
        <v>765</v>
      </c>
      <c r="E80">
        <v>7140</v>
      </c>
      <c r="F80" s="4">
        <v>9</v>
      </c>
    </row>
    <row r="81" spans="1:6" x14ac:dyDescent="0.35">
      <c r="A81" t="s">
        <v>770</v>
      </c>
      <c r="B81" s="1">
        <v>45844</v>
      </c>
      <c r="C81" t="s">
        <v>760</v>
      </c>
      <c r="D81" t="s">
        <v>761</v>
      </c>
      <c r="E81">
        <v>13844</v>
      </c>
      <c r="F81" s="4">
        <v>17</v>
      </c>
    </row>
    <row r="82" spans="1:6" x14ac:dyDescent="0.35">
      <c r="A82" t="s">
        <v>322</v>
      </c>
      <c r="B82" s="1">
        <v>45864</v>
      </c>
      <c r="C82" t="s">
        <v>764</v>
      </c>
      <c r="D82" t="s">
        <v>765</v>
      </c>
      <c r="E82">
        <v>23589</v>
      </c>
      <c r="F82" s="4">
        <v>4</v>
      </c>
    </row>
    <row r="83" spans="1:6" x14ac:dyDescent="0.35">
      <c r="A83" t="s">
        <v>14</v>
      </c>
      <c r="B83" s="1">
        <v>45882</v>
      </c>
      <c r="C83" t="s">
        <v>764</v>
      </c>
      <c r="D83" t="s">
        <v>761</v>
      </c>
      <c r="E83">
        <v>4760</v>
      </c>
      <c r="F83" s="4">
        <v>18</v>
      </c>
    </row>
    <row r="84" spans="1:6" x14ac:dyDescent="0.35">
      <c r="A84" t="s">
        <v>362</v>
      </c>
      <c r="B84" s="1">
        <v>45716</v>
      </c>
      <c r="C84" t="s">
        <v>762</v>
      </c>
      <c r="D84" t="s">
        <v>765</v>
      </c>
      <c r="E84">
        <v>4910</v>
      </c>
      <c r="F84" s="4">
        <v>20</v>
      </c>
    </row>
    <row r="85" spans="1:6" x14ac:dyDescent="0.35">
      <c r="A85" t="s">
        <v>777</v>
      </c>
      <c r="B85" s="1">
        <v>45709</v>
      </c>
      <c r="C85" t="s">
        <v>764</v>
      </c>
      <c r="D85" t="s">
        <v>765</v>
      </c>
      <c r="E85">
        <v>19415</v>
      </c>
      <c r="F85" s="4">
        <v>18</v>
      </c>
    </row>
    <row r="86" spans="1:6" x14ac:dyDescent="0.35">
      <c r="A86" t="s">
        <v>102</v>
      </c>
      <c r="B86" s="1">
        <v>45978</v>
      </c>
      <c r="C86" t="s">
        <v>760</v>
      </c>
      <c r="D86" t="s">
        <v>761</v>
      </c>
      <c r="E86">
        <v>5647</v>
      </c>
      <c r="F86" s="4">
        <v>16</v>
      </c>
    </row>
    <row r="87" spans="1:6" x14ac:dyDescent="0.35">
      <c r="A87" t="s">
        <v>147</v>
      </c>
      <c r="B87" s="1">
        <v>45710</v>
      </c>
      <c r="C87" t="s">
        <v>762</v>
      </c>
      <c r="D87" t="s">
        <v>765</v>
      </c>
      <c r="E87">
        <v>11460</v>
      </c>
      <c r="F87" s="4">
        <v>9</v>
      </c>
    </row>
    <row r="88" spans="1:6" x14ac:dyDescent="0.35">
      <c r="A88" t="s">
        <v>317</v>
      </c>
      <c r="B88" s="1">
        <v>45862</v>
      </c>
      <c r="C88" t="s">
        <v>764</v>
      </c>
      <c r="D88" t="s">
        <v>765</v>
      </c>
      <c r="E88">
        <v>12820</v>
      </c>
      <c r="F88" s="4">
        <v>8</v>
      </c>
    </row>
    <row r="89" spans="1:6" x14ac:dyDescent="0.35">
      <c r="A89" t="s">
        <v>429</v>
      </c>
      <c r="B89" s="1">
        <v>45918</v>
      </c>
      <c r="C89" t="s">
        <v>764</v>
      </c>
      <c r="D89" t="s">
        <v>765</v>
      </c>
      <c r="E89">
        <v>17124</v>
      </c>
      <c r="F89" s="4">
        <v>18</v>
      </c>
    </row>
    <row r="90" spans="1:6" x14ac:dyDescent="0.35">
      <c r="A90" t="s">
        <v>778</v>
      </c>
      <c r="B90" s="1">
        <v>45700</v>
      </c>
      <c r="C90" t="s">
        <v>764</v>
      </c>
      <c r="D90" t="s">
        <v>765</v>
      </c>
      <c r="E90">
        <v>18266</v>
      </c>
      <c r="F90" s="4">
        <v>10</v>
      </c>
    </row>
    <row r="91" spans="1:6" x14ac:dyDescent="0.35">
      <c r="A91" t="s">
        <v>577</v>
      </c>
      <c r="B91" s="1">
        <v>45940</v>
      </c>
      <c r="C91" t="s">
        <v>762</v>
      </c>
      <c r="D91" t="s">
        <v>761</v>
      </c>
      <c r="E91">
        <v>17293</v>
      </c>
      <c r="F91" s="4">
        <v>4</v>
      </c>
    </row>
    <row r="92" spans="1:6" x14ac:dyDescent="0.35">
      <c r="A92" t="s">
        <v>34</v>
      </c>
      <c r="B92" s="1">
        <v>45865</v>
      </c>
      <c r="C92" t="s">
        <v>766</v>
      </c>
      <c r="D92" t="s">
        <v>761</v>
      </c>
      <c r="E92">
        <v>7807</v>
      </c>
      <c r="F92" s="4">
        <v>9</v>
      </c>
    </row>
    <row r="93" spans="1:6" x14ac:dyDescent="0.35">
      <c r="A93" t="s">
        <v>84</v>
      </c>
      <c r="B93" s="1">
        <v>45710</v>
      </c>
      <c r="C93" t="s">
        <v>766</v>
      </c>
      <c r="D93" t="s">
        <v>761</v>
      </c>
      <c r="E93">
        <v>21780</v>
      </c>
      <c r="F93" s="4">
        <v>12</v>
      </c>
    </row>
    <row r="94" spans="1:6" x14ac:dyDescent="0.35">
      <c r="A94" t="s">
        <v>516</v>
      </c>
      <c r="B94" s="1">
        <v>45854</v>
      </c>
      <c r="C94" t="s">
        <v>766</v>
      </c>
      <c r="D94" t="s">
        <v>765</v>
      </c>
      <c r="E94">
        <v>9743</v>
      </c>
      <c r="F94" s="4">
        <v>2</v>
      </c>
    </row>
    <row r="95" spans="1:6" x14ac:dyDescent="0.35">
      <c r="A95" t="s">
        <v>362</v>
      </c>
      <c r="B95" s="1">
        <v>45854</v>
      </c>
      <c r="C95" t="s">
        <v>764</v>
      </c>
      <c r="D95" t="s">
        <v>761</v>
      </c>
      <c r="E95">
        <v>6681</v>
      </c>
      <c r="F95" s="4">
        <v>11</v>
      </c>
    </row>
    <row r="96" spans="1:6" x14ac:dyDescent="0.35">
      <c r="A96" t="s">
        <v>703</v>
      </c>
      <c r="B96" s="1">
        <v>45843</v>
      </c>
      <c r="C96" t="s">
        <v>762</v>
      </c>
      <c r="D96" t="s">
        <v>761</v>
      </c>
      <c r="E96">
        <v>2802</v>
      </c>
      <c r="F96" s="4">
        <v>19</v>
      </c>
    </row>
    <row r="97" spans="1:6" x14ac:dyDescent="0.35">
      <c r="A97" t="s">
        <v>577</v>
      </c>
      <c r="B97" s="1">
        <v>45810</v>
      </c>
      <c r="C97" t="s">
        <v>760</v>
      </c>
      <c r="D97" t="s">
        <v>765</v>
      </c>
      <c r="E97">
        <v>10202</v>
      </c>
      <c r="F97" s="4">
        <v>16</v>
      </c>
    </row>
    <row r="98" spans="1:6" x14ac:dyDescent="0.35">
      <c r="A98" t="s">
        <v>272</v>
      </c>
      <c r="B98" s="1">
        <v>45792</v>
      </c>
      <c r="C98" t="s">
        <v>760</v>
      </c>
      <c r="D98" t="s">
        <v>761</v>
      </c>
      <c r="E98">
        <v>12675</v>
      </c>
      <c r="F98" s="4">
        <v>7</v>
      </c>
    </row>
    <row r="99" spans="1:6" x14ac:dyDescent="0.35">
      <c r="A99" t="s">
        <v>169</v>
      </c>
      <c r="B99" s="1">
        <v>45835</v>
      </c>
      <c r="C99" t="s">
        <v>762</v>
      </c>
      <c r="D99" t="s">
        <v>761</v>
      </c>
      <c r="E99">
        <v>7208</v>
      </c>
      <c r="F99" s="4">
        <v>18</v>
      </c>
    </row>
    <row r="100" spans="1:6" x14ac:dyDescent="0.35">
      <c r="A100" t="s">
        <v>528</v>
      </c>
      <c r="B100" s="1">
        <v>45684</v>
      </c>
      <c r="C100" t="s">
        <v>766</v>
      </c>
      <c r="D100" t="s">
        <v>761</v>
      </c>
      <c r="E100">
        <v>3996</v>
      </c>
      <c r="F100" s="4">
        <v>6</v>
      </c>
    </row>
    <row r="101" spans="1:6" x14ac:dyDescent="0.35">
      <c r="A101" t="s">
        <v>544</v>
      </c>
      <c r="B101" s="1">
        <v>45891</v>
      </c>
      <c r="C101" t="s">
        <v>762</v>
      </c>
      <c r="D101" t="s">
        <v>765</v>
      </c>
      <c r="E101">
        <v>23648</v>
      </c>
      <c r="F101" s="4">
        <v>19</v>
      </c>
    </row>
    <row r="102" spans="1:6" x14ac:dyDescent="0.35">
      <c r="A102" t="s">
        <v>777</v>
      </c>
      <c r="B102" s="1">
        <v>45940</v>
      </c>
      <c r="C102" t="s">
        <v>766</v>
      </c>
      <c r="D102" t="s">
        <v>765</v>
      </c>
      <c r="E102">
        <v>22817</v>
      </c>
      <c r="F102" s="4">
        <v>15</v>
      </c>
    </row>
    <row r="103" spans="1:6" x14ac:dyDescent="0.35">
      <c r="A103" t="s">
        <v>87</v>
      </c>
      <c r="B103" s="1">
        <v>45766</v>
      </c>
      <c r="C103" t="s">
        <v>760</v>
      </c>
      <c r="D103" t="s">
        <v>765</v>
      </c>
      <c r="E103">
        <v>22629</v>
      </c>
      <c r="F103" s="4">
        <v>14</v>
      </c>
    </row>
    <row r="104" spans="1:6" x14ac:dyDescent="0.35">
      <c r="A104" t="s">
        <v>774</v>
      </c>
      <c r="B104" s="1">
        <v>45719</v>
      </c>
      <c r="C104" t="s">
        <v>762</v>
      </c>
      <c r="D104" t="s">
        <v>763</v>
      </c>
      <c r="E104">
        <v>20805</v>
      </c>
      <c r="F104" s="4">
        <v>20</v>
      </c>
    </row>
    <row r="105" spans="1:6" x14ac:dyDescent="0.35">
      <c r="A105" t="s">
        <v>544</v>
      </c>
      <c r="B105" s="1">
        <v>45934</v>
      </c>
      <c r="C105" t="s">
        <v>764</v>
      </c>
      <c r="D105" t="s">
        <v>761</v>
      </c>
      <c r="E105">
        <v>23190</v>
      </c>
      <c r="F105" s="4">
        <v>15</v>
      </c>
    </row>
    <row r="106" spans="1:6" x14ac:dyDescent="0.35">
      <c r="A106" t="s">
        <v>698</v>
      </c>
      <c r="B106" s="1">
        <v>45822</v>
      </c>
      <c r="C106" t="s">
        <v>766</v>
      </c>
      <c r="D106" t="s">
        <v>761</v>
      </c>
      <c r="E106">
        <v>15231</v>
      </c>
      <c r="F106" s="4">
        <v>6</v>
      </c>
    </row>
    <row r="107" spans="1:6" x14ac:dyDescent="0.35">
      <c r="A107" t="s">
        <v>770</v>
      </c>
      <c r="B107" s="1">
        <v>45680</v>
      </c>
      <c r="C107" t="s">
        <v>766</v>
      </c>
      <c r="D107" t="s">
        <v>761</v>
      </c>
      <c r="E107">
        <v>21842</v>
      </c>
      <c r="F107" s="4">
        <v>2</v>
      </c>
    </row>
    <row r="108" spans="1:6" x14ac:dyDescent="0.35">
      <c r="A108" t="s">
        <v>429</v>
      </c>
      <c r="B108" s="1">
        <v>45970</v>
      </c>
      <c r="C108" t="s">
        <v>764</v>
      </c>
      <c r="D108" t="s">
        <v>765</v>
      </c>
      <c r="E108">
        <v>17125</v>
      </c>
      <c r="F108" s="4">
        <v>8</v>
      </c>
    </row>
    <row r="109" spans="1:6" x14ac:dyDescent="0.35">
      <c r="A109" t="s">
        <v>346</v>
      </c>
      <c r="B109" s="1">
        <v>45816</v>
      </c>
      <c r="C109" t="s">
        <v>764</v>
      </c>
      <c r="D109" t="s">
        <v>761</v>
      </c>
      <c r="E109">
        <v>9324</v>
      </c>
      <c r="F109" s="4">
        <v>18</v>
      </c>
    </row>
    <row r="110" spans="1:6" x14ac:dyDescent="0.35">
      <c r="A110" t="s">
        <v>409</v>
      </c>
      <c r="B110" s="1">
        <v>45926</v>
      </c>
      <c r="C110" t="s">
        <v>762</v>
      </c>
      <c r="D110" t="s">
        <v>761</v>
      </c>
      <c r="E110">
        <v>17287</v>
      </c>
      <c r="F110" s="4">
        <v>8</v>
      </c>
    </row>
    <row r="111" spans="1:6" x14ac:dyDescent="0.35">
      <c r="A111" t="s">
        <v>43</v>
      </c>
      <c r="B111" s="1">
        <v>45768</v>
      </c>
      <c r="C111" t="s">
        <v>762</v>
      </c>
      <c r="D111" t="s">
        <v>765</v>
      </c>
      <c r="E111">
        <v>24221</v>
      </c>
      <c r="F111" s="4">
        <v>20</v>
      </c>
    </row>
    <row r="112" spans="1:6" x14ac:dyDescent="0.35">
      <c r="A112" t="s">
        <v>362</v>
      </c>
      <c r="B112" s="1">
        <v>45984</v>
      </c>
      <c r="C112" t="s">
        <v>764</v>
      </c>
      <c r="D112" t="s">
        <v>765</v>
      </c>
      <c r="E112">
        <v>11795</v>
      </c>
      <c r="F112" s="4">
        <v>4</v>
      </c>
    </row>
    <row r="113" spans="1:6" x14ac:dyDescent="0.35">
      <c r="A113" t="s">
        <v>195</v>
      </c>
      <c r="B113" s="1">
        <v>45905</v>
      </c>
      <c r="C113" t="s">
        <v>764</v>
      </c>
      <c r="D113" t="s">
        <v>765</v>
      </c>
      <c r="E113">
        <v>4953</v>
      </c>
      <c r="F113" s="4">
        <v>20</v>
      </c>
    </row>
    <row r="114" spans="1:6" x14ac:dyDescent="0.35">
      <c r="A114" t="s">
        <v>698</v>
      </c>
      <c r="B114" s="1">
        <v>45703</v>
      </c>
      <c r="C114" t="s">
        <v>762</v>
      </c>
      <c r="D114" t="s">
        <v>761</v>
      </c>
      <c r="E114">
        <v>12259</v>
      </c>
      <c r="F114" s="4">
        <v>2</v>
      </c>
    </row>
    <row r="115" spans="1:6" x14ac:dyDescent="0.35">
      <c r="A115" t="s">
        <v>28</v>
      </c>
      <c r="B115" s="1">
        <v>45989</v>
      </c>
      <c r="C115" t="s">
        <v>766</v>
      </c>
      <c r="D115" t="s">
        <v>761</v>
      </c>
      <c r="E115">
        <v>21771</v>
      </c>
      <c r="F115" s="4">
        <v>8</v>
      </c>
    </row>
    <row r="116" spans="1:6" x14ac:dyDescent="0.35">
      <c r="A116" t="s">
        <v>779</v>
      </c>
      <c r="B116" s="1">
        <v>45691</v>
      </c>
      <c r="C116" t="s">
        <v>766</v>
      </c>
      <c r="D116" t="s">
        <v>761</v>
      </c>
      <c r="E116">
        <v>12565</v>
      </c>
      <c r="F116" s="4">
        <v>16</v>
      </c>
    </row>
    <row r="117" spans="1:6" x14ac:dyDescent="0.35">
      <c r="A117" t="s">
        <v>516</v>
      </c>
      <c r="B117" s="1">
        <v>45758</v>
      </c>
      <c r="C117" t="s">
        <v>760</v>
      </c>
      <c r="D117" t="s">
        <v>765</v>
      </c>
      <c r="E117">
        <v>22677</v>
      </c>
      <c r="F117" s="4">
        <v>3</v>
      </c>
    </row>
    <row r="118" spans="1:6" x14ac:dyDescent="0.35">
      <c r="A118" t="s">
        <v>220</v>
      </c>
      <c r="B118" s="1">
        <v>45755</v>
      </c>
      <c r="C118" t="s">
        <v>766</v>
      </c>
      <c r="D118" t="s">
        <v>763</v>
      </c>
      <c r="E118">
        <v>13868</v>
      </c>
      <c r="F118" s="4">
        <v>16</v>
      </c>
    </row>
    <row r="119" spans="1:6" x14ac:dyDescent="0.35">
      <c r="A119" t="s">
        <v>777</v>
      </c>
      <c r="B119" s="1">
        <v>45752</v>
      </c>
      <c r="C119" t="s">
        <v>762</v>
      </c>
      <c r="D119" t="s">
        <v>765</v>
      </c>
      <c r="E119">
        <v>17773</v>
      </c>
      <c r="F119" s="4">
        <v>13</v>
      </c>
    </row>
    <row r="120" spans="1:6" x14ac:dyDescent="0.35">
      <c r="A120" t="s">
        <v>87</v>
      </c>
      <c r="B120" s="1">
        <v>45788</v>
      </c>
      <c r="C120" t="s">
        <v>766</v>
      </c>
      <c r="D120" t="s">
        <v>761</v>
      </c>
      <c r="E120">
        <v>24515</v>
      </c>
      <c r="F120" s="4">
        <v>2</v>
      </c>
    </row>
    <row r="121" spans="1:6" x14ac:dyDescent="0.35">
      <c r="A121" t="s">
        <v>34</v>
      </c>
      <c r="B121" s="1">
        <v>45992</v>
      </c>
      <c r="C121" t="s">
        <v>766</v>
      </c>
      <c r="D121" t="s">
        <v>765</v>
      </c>
      <c r="E121">
        <v>4810</v>
      </c>
      <c r="F121" s="4">
        <v>8</v>
      </c>
    </row>
    <row r="122" spans="1:6" x14ac:dyDescent="0.35">
      <c r="A122" t="s">
        <v>602</v>
      </c>
      <c r="B122" s="1">
        <v>45941</v>
      </c>
      <c r="C122" t="s">
        <v>762</v>
      </c>
      <c r="D122" t="s">
        <v>765</v>
      </c>
      <c r="E122">
        <v>8381</v>
      </c>
      <c r="F122" s="4">
        <v>14</v>
      </c>
    </row>
    <row r="123" spans="1:6" x14ac:dyDescent="0.35">
      <c r="A123" t="s">
        <v>84</v>
      </c>
      <c r="B123" s="1">
        <v>45815</v>
      </c>
      <c r="C123" t="s">
        <v>764</v>
      </c>
      <c r="D123" t="s">
        <v>765</v>
      </c>
      <c r="E123">
        <v>22664</v>
      </c>
      <c r="F123" s="4">
        <v>6</v>
      </c>
    </row>
    <row r="124" spans="1:6" x14ac:dyDescent="0.35">
      <c r="A124" t="s">
        <v>780</v>
      </c>
      <c r="B124" s="1">
        <v>45896</v>
      </c>
      <c r="C124" t="s">
        <v>762</v>
      </c>
      <c r="D124" t="s">
        <v>765</v>
      </c>
      <c r="E124">
        <v>3076</v>
      </c>
      <c r="F124" s="4">
        <v>15</v>
      </c>
    </row>
    <row r="125" spans="1:6" x14ac:dyDescent="0.35">
      <c r="A125" t="s">
        <v>108</v>
      </c>
      <c r="B125" s="1">
        <v>45987</v>
      </c>
      <c r="C125" t="s">
        <v>762</v>
      </c>
      <c r="D125" t="s">
        <v>763</v>
      </c>
      <c r="E125">
        <v>4258</v>
      </c>
      <c r="F125" s="4">
        <v>5</v>
      </c>
    </row>
    <row r="126" spans="1:6" x14ac:dyDescent="0.35">
      <c r="A126" t="s">
        <v>220</v>
      </c>
      <c r="B126" s="1">
        <v>45770</v>
      </c>
      <c r="C126" t="s">
        <v>762</v>
      </c>
      <c r="D126" t="s">
        <v>763</v>
      </c>
      <c r="E126">
        <v>21072</v>
      </c>
      <c r="F126" s="4">
        <v>19</v>
      </c>
    </row>
    <row r="127" spans="1:6" x14ac:dyDescent="0.35">
      <c r="A127" t="s">
        <v>673</v>
      </c>
      <c r="B127" s="1">
        <v>45789</v>
      </c>
      <c r="C127" t="s">
        <v>764</v>
      </c>
      <c r="D127" t="s">
        <v>765</v>
      </c>
      <c r="E127">
        <v>11552</v>
      </c>
      <c r="F127" s="4">
        <v>2</v>
      </c>
    </row>
    <row r="128" spans="1:6" x14ac:dyDescent="0.35">
      <c r="A128" t="s">
        <v>22</v>
      </c>
      <c r="B128" s="1">
        <v>45942</v>
      </c>
      <c r="C128" t="s">
        <v>764</v>
      </c>
      <c r="D128" t="s">
        <v>761</v>
      </c>
      <c r="E128">
        <v>3542</v>
      </c>
      <c r="F128" s="4">
        <v>5</v>
      </c>
    </row>
    <row r="129" spans="1:6" x14ac:dyDescent="0.35">
      <c r="A129" t="s">
        <v>781</v>
      </c>
      <c r="B129" s="1">
        <v>45695</v>
      </c>
      <c r="C129" t="s">
        <v>764</v>
      </c>
      <c r="D129" t="s">
        <v>765</v>
      </c>
      <c r="E129">
        <v>2295</v>
      </c>
      <c r="F129" s="4">
        <v>15</v>
      </c>
    </row>
    <row r="130" spans="1:6" x14ac:dyDescent="0.35">
      <c r="A130" t="s">
        <v>210</v>
      </c>
      <c r="B130" s="1">
        <v>45733</v>
      </c>
      <c r="C130" t="s">
        <v>760</v>
      </c>
      <c r="D130" t="s">
        <v>761</v>
      </c>
      <c r="E130">
        <v>11913</v>
      </c>
      <c r="F130" s="4">
        <v>1</v>
      </c>
    </row>
    <row r="131" spans="1:6" x14ac:dyDescent="0.35">
      <c r="A131" t="s">
        <v>303</v>
      </c>
      <c r="B131" s="1">
        <v>45692</v>
      </c>
      <c r="C131" t="s">
        <v>762</v>
      </c>
      <c r="D131" t="s">
        <v>763</v>
      </c>
      <c r="E131">
        <v>6047</v>
      </c>
      <c r="F131" s="4">
        <v>2</v>
      </c>
    </row>
    <row r="132" spans="1:6" x14ac:dyDescent="0.35">
      <c r="A132" t="s">
        <v>620</v>
      </c>
      <c r="B132" s="1">
        <v>45778</v>
      </c>
      <c r="C132" t="s">
        <v>762</v>
      </c>
      <c r="D132" t="s">
        <v>761</v>
      </c>
      <c r="E132">
        <v>23639</v>
      </c>
      <c r="F132" s="4">
        <v>11</v>
      </c>
    </row>
    <row r="133" spans="1:6" x14ac:dyDescent="0.35">
      <c r="A133" t="s">
        <v>782</v>
      </c>
      <c r="B133" s="1">
        <v>45916</v>
      </c>
      <c r="C133" t="s">
        <v>764</v>
      </c>
      <c r="D133" t="s">
        <v>765</v>
      </c>
      <c r="E133">
        <v>9721</v>
      </c>
      <c r="F133" s="4">
        <v>10</v>
      </c>
    </row>
    <row r="134" spans="1:6" x14ac:dyDescent="0.35">
      <c r="A134" t="s">
        <v>102</v>
      </c>
      <c r="B134" s="1">
        <v>45892</v>
      </c>
      <c r="C134" t="s">
        <v>766</v>
      </c>
      <c r="D134" t="s">
        <v>763</v>
      </c>
      <c r="E134">
        <v>11129</v>
      </c>
      <c r="F134" s="4">
        <v>4</v>
      </c>
    </row>
    <row r="135" spans="1:6" x14ac:dyDescent="0.35">
      <c r="A135" t="s">
        <v>160</v>
      </c>
      <c r="B135" s="1">
        <v>45767</v>
      </c>
      <c r="C135" t="s">
        <v>764</v>
      </c>
      <c r="D135" t="s">
        <v>761</v>
      </c>
      <c r="E135">
        <v>23303</v>
      </c>
      <c r="F135" s="4">
        <v>17</v>
      </c>
    </row>
    <row r="136" spans="1:6" x14ac:dyDescent="0.35">
      <c r="A136" t="s">
        <v>84</v>
      </c>
      <c r="B136" s="1">
        <v>45699</v>
      </c>
      <c r="C136" t="s">
        <v>764</v>
      </c>
      <c r="D136" t="s">
        <v>765</v>
      </c>
      <c r="E136">
        <v>6723</v>
      </c>
      <c r="F136" s="4">
        <v>7</v>
      </c>
    </row>
    <row r="137" spans="1:6" x14ac:dyDescent="0.35">
      <c r="A137" t="s">
        <v>37</v>
      </c>
      <c r="B137" s="1">
        <v>45878</v>
      </c>
      <c r="C137" t="s">
        <v>766</v>
      </c>
      <c r="D137" t="s">
        <v>761</v>
      </c>
      <c r="E137">
        <v>21374</v>
      </c>
      <c r="F137" s="4">
        <v>20</v>
      </c>
    </row>
    <row r="138" spans="1:6" x14ac:dyDescent="0.35">
      <c r="A138" t="s">
        <v>119</v>
      </c>
      <c r="B138" s="1">
        <v>45685</v>
      </c>
      <c r="C138" t="s">
        <v>760</v>
      </c>
      <c r="D138" t="s">
        <v>761</v>
      </c>
      <c r="E138">
        <v>17919</v>
      </c>
      <c r="F138" s="4">
        <v>18</v>
      </c>
    </row>
    <row r="139" spans="1:6" x14ac:dyDescent="0.35">
      <c r="A139" t="s">
        <v>51</v>
      </c>
      <c r="B139" s="1">
        <v>45703</v>
      </c>
      <c r="C139" t="s">
        <v>764</v>
      </c>
      <c r="D139" t="s">
        <v>765</v>
      </c>
      <c r="E139">
        <v>24335</v>
      </c>
      <c r="F139" s="4">
        <v>6</v>
      </c>
    </row>
    <row r="140" spans="1:6" x14ac:dyDescent="0.35">
      <c r="A140" t="s">
        <v>771</v>
      </c>
      <c r="B140" s="1">
        <v>45669</v>
      </c>
      <c r="C140" t="s">
        <v>760</v>
      </c>
      <c r="D140" t="s">
        <v>763</v>
      </c>
      <c r="E140">
        <v>3655</v>
      </c>
      <c r="F140" s="4">
        <v>14</v>
      </c>
    </row>
    <row r="141" spans="1:6" x14ac:dyDescent="0.35">
      <c r="A141" t="s">
        <v>577</v>
      </c>
      <c r="B141" s="1">
        <v>45684</v>
      </c>
      <c r="C141" t="s">
        <v>764</v>
      </c>
      <c r="D141" t="s">
        <v>761</v>
      </c>
      <c r="E141">
        <v>9668</v>
      </c>
      <c r="F141" s="4">
        <v>4</v>
      </c>
    </row>
    <row r="142" spans="1:6" x14ac:dyDescent="0.35">
      <c r="A142" t="s">
        <v>122</v>
      </c>
      <c r="B142" s="1">
        <v>45855</v>
      </c>
      <c r="C142" t="s">
        <v>762</v>
      </c>
      <c r="D142" t="s">
        <v>765</v>
      </c>
      <c r="E142">
        <v>6477</v>
      </c>
      <c r="F142" s="4">
        <v>8</v>
      </c>
    </row>
    <row r="143" spans="1:6" x14ac:dyDescent="0.35">
      <c r="A143" t="s">
        <v>303</v>
      </c>
      <c r="B143" s="1">
        <v>45715</v>
      </c>
      <c r="C143" t="s">
        <v>764</v>
      </c>
      <c r="D143" t="s">
        <v>765</v>
      </c>
      <c r="E143">
        <v>4618</v>
      </c>
      <c r="F143" s="4">
        <v>19</v>
      </c>
    </row>
    <row r="144" spans="1:6" x14ac:dyDescent="0.35">
      <c r="A144" t="s">
        <v>239</v>
      </c>
      <c r="B144" s="1">
        <v>45700</v>
      </c>
      <c r="C144" t="s">
        <v>766</v>
      </c>
      <c r="D144" t="s">
        <v>761</v>
      </c>
      <c r="E144">
        <v>12298</v>
      </c>
      <c r="F144" s="4">
        <v>1</v>
      </c>
    </row>
    <row r="145" spans="1:6" x14ac:dyDescent="0.35">
      <c r="A145" t="s">
        <v>673</v>
      </c>
      <c r="B145" s="1">
        <v>45849</v>
      </c>
      <c r="C145" t="s">
        <v>764</v>
      </c>
      <c r="D145" t="s">
        <v>765</v>
      </c>
      <c r="E145">
        <v>10973</v>
      </c>
      <c r="F145" s="4">
        <v>8</v>
      </c>
    </row>
    <row r="146" spans="1:6" x14ac:dyDescent="0.35">
      <c r="A146" t="s">
        <v>577</v>
      </c>
      <c r="B146" s="1">
        <v>45977</v>
      </c>
      <c r="C146" t="s">
        <v>762</v>
      </c>
      <c r="D146" t="s">
        <v>763</v>
      </c>
      <c r="E146">
        <v>4096</v>
      </c>
      <c r="F146" s="4">
        <v>15</v>
      </c>
    </row>
    <row r="147" spans="1:6" x14ac:dyDescent="0.35">
      <c r="A147" t="s">
        <v>777</v>
      </c>
      <c r="B147" s="1">
        <v>45732</v>
      </c>
      <c r="C147" t="s">
        <v>764</v>
      </c>
      <c r="D147" t="s">
        <v>761</v>
      </c>
      <c r="E147">
        <v>4372</v>
      </c>
      <c r="F147" s="4">
        <v>4</v>
      </c>
    </row>
    <row r="148" spans="1:6" x14ac:dyDescent="0.35">
      <c r="A148" t="s">
        <v>783</v>
      </c>
      <c r="B148" s="1">
        <v>45987</v>
      </c>
      <c r="C148" t="s">
        <v>764</v>
      </c>
      <c r="D148" t="s">
        <v>761</v>
      </c>
      <c r="E148">
        <v>4790</v>
      </c>
      <c r="F148" s="4">
        <v>17</v>
      </c>
    </row>
    <row r="149" spans="1:6" x14ac:dyDescent="0.35">
      <c r="A149" t="s">
        <v>617</v>
      </c>
      <c r="B149" s="1">
        <v>45710</v>
      </c>
      <c r="C149" t="s">
        <v>762</v>
      </c>
      <c r="D149" t="s">
        <v>765</v>
      </c>
      <c r="E149">
        <v>5734</v>
      </c>
      <c r="F149" s="4">
        <v>15</v>
      </c>
    </row>
    <row r="150" spans="1:6" x14ac:dyDescent="0.35">
      <c r="A150" t="s">
        <v>359</v>
      </c>
      <c r="B150" s="1">
        <v>45830</v>
      </c>
      <c r="C150" t="s">
        <v>766</v>
      </c>
      <c r="D150" t="s">
        <v>761</v>
      </c>
      <c r="E150">
        <v>18015</v>
      </c>
      <c r="F150" s="4">
        <v>16</v>
      </c>
    </row>
    <row r="151" spans="1:6" x14ac:dyDescent="0.35">
      <c r="A151" t="s">
        <v>432</v>
      </c>
      <c r="B151" s="1">
        <v>45660</v>
      </c>
      <c r="C151" t="s">
        <v>766</v>
      </c>
      <c r="D151" t="s">
        <v>761</v>
      </c>
      <c r="E151">
        <v>17089</v>
      </c>
      <c r="F151" s="4">
        <v>8</v>
      </c>
    </row>
    <row r="152" spans="1:6" x14ac:dyDescent="0.35">
      <c r="A152" t="s">
        <v>152</v>
      </c>
      <c r="B152" s="1">
        <v>45785</v>
      </c>
      <c r="C152" t="s">
        <v>766</v>
      </c>
      <c r="D152" t="s">
        <v>761</v>
      </c>
      <c r="E152">
        <v>23216</v>
      </c>
      <c r="F152" s="4">
        <v>10</v>
      </c>
    </row>
    <row r="153" spans="1:6" x14ac:dyDescent="0.35">
      <c r="A153" t="s">
        <v>102</v>
      </c>
      <c r="B153" s="1">
        <v>45786</v>
      </c>
      <c r="C153" t="s">
        <v>762</v>
      </c>
      <c r="D153" t="s">
        <v>761</v>
      </c>
      <c r="E153">
        <v>19293</v>
      </c>
      <c r="F153" s="4">
        <v>8</v>
      </c>
    </row>
    <row r="154" spans="1:6" x14ac:dyDescent="0.35">
      <c r="A154" t="s">
        <v>336</v>
      </c>
      <c r="B154" s="1">
        <v>45973</v>
      </c>
      <c r="C154" t="s">
        <v>760</v>
      </c>
      <c r="D154" t="s">
        <v>765</v>
      </c>
      <c r="E154">
        <v>17729</v>
      </c>
      <c r="F154" s="4">
        <v>19</v>
      </c>
    </row>
    <row r="155" spans="1:6" x14ac:dyDescent="0.35">
      <c r="A155" t="s">
        <v>584</v>
      </c>
      <c r="B155" s="1">
        <v>45798</v>
      </c>
      <c r="C155" t="s">
        <v>762</v>
      </c>
      <c r="D155" t="s">
        <v>761</v>
      </c>
      <c r="E155">
        <v>18895</v>
      </c>
      <c r="F155" s="4">
        <v>8</v>
      </c>
    </row>
    <row r="156" spans="1:6" x14ac:dyDescent="0.35">
      <c r="A156" t="s">
        <v>57</v>
      </c>
      <c r="B156" s="1">
        <v>45883</v>
      </c>
      <c r="C156" t="s">
        <v>766</v>
      </c>
      <c r="D156" t="s">
        <v>761</v>
      </c>
      <c r="E156">
        <v>15425</v>
      </c>
      <c r="F156" s="4">
        <v>3</v>
      </c>
    </row>
    <row r="157" spans="1:6" x14ac:dyDescent="0.35">
      <c r="A157" t="s">
        <v>125</v>
      </c>
      <c r="B157" s="1">
        <v>45871</v>
      </c>
      <c r="C157" t="s">
        <v>762</v>
      </c>
      <c r="D157" t="s">
        <v>761</v>
      </c>
      <c r="E157">
        <v>21653</v>
      </c>
      <c r="F157" s="4">
        <v>2</v>
      </c>
    </row>
    <row r="158" spans="1:6" x14ac:dyDescent="0.35">
      <c r="A158" t="s">
        <v>466</v>
      </c>
      <c r="B158" s="1">
        <v>45820</v>
      </c>
      <c r="C158" t="s">
        <v>760</v>
      </c>
      <c r="D158" t="s">
        <v>763</v>
      </c>
      <c r="E158">
        <v>16147</v>
      </c>
      <c r="F158" s="4">
        <v>20</v>
      </c>
    </row>
    <row r="159" spans="1:6" x14ac:dyDescent="0.35">
      <c r="A159" t="s">
        <v>40</v>
      </c>
      <c r="B159" s="1">
        <v>45836</v>
      </c>
      <c r="C159" t="s">
        <v>762</v>
      </c>
      <c r="D159" t="s">
        <v>761</v>
      </c>
      <c r="E159">
        <v>11372</v>
      </c>
      <c r="F159" s="4">
        <v>11</v>
      </c>
    </row>
    <row r="160" spans="1:6" x14ac:dyDescent="0.35">
      <c r="A160" t="s">
        <v>774</v>
      </c>
      <c r="B160" s="1">
        <v>45907</v>
      </c>
      <c r="C160" t="s">
        <v>760</v>
      </c>
      <c r="D160" t="s">
        <v>765</v>
      </c>
      <c r="E160">
        <v>2505</v>
      </c>
      <c r="F160" s="4">
        <v>5</v>
      </c>
    </row>
    <row r="161" spans="1:6" x14ac:dyDescent="0.35">
      <c r="A161" t="s">
        <v>220</v>
      </c>
      <c r="B161" s="1">
        <v>45786</v>
      </c>
      <c r="C161" t="s">
        <v>766</v>
      </c>
      <c r="D161" t="s">
        <v>763</v>
      </c>
      <c r="E161">
        <v>20144</v>
      </c>
      <c r="F161" s="4">
        <v>18</v>
      </c>
    </row>
    <row r="162" spans="1:6" x14ac:dyDescent="0.35">
      <c r="A162" t="s">
        <v>227</v>
      </c>
      <c r="B162" s="1">
        <v>45921</v>
      </c>
      <c r="C162" t="s">
        <v>760</v>
      </c>
      <c r="D162" t="s">
        <v>763</v>
      </c>
      <c r="E162">
        <v>4826</v>
      </c>
      <c r="F162" s="4">
        <v>6</v>
      </c>
    </row>
    <row r="163" spans="1:6" x14ac:dyDescent="0.35">
      <c r="A163" t="s">
        <v>48</v>
      </c>
      <c r="B163" s="1">
        <v>45758</v>
      </c>
      <c r="C163" t="s">
        <v>762</v>
      </c>
      <c r="D163" t="s">
        <v>765</v>
      </c>
      <c r="E163">
        <v>8533</v>
      </c>
      <c r="F163" s="4">
        <v>20</v>
      </c>
    </row>
    <row r="164" spans="1:6" x14ac:dyDescent="0.35">
      <c r="A164" t="s">
        <v>144</v>
      </c>
      <c r="B164" s="1">
        <v>45717</v>
      </c>
      <c r="C164" t="s">
        <v>762</v>
      </c>
      <c r="D164" t="s">
        <v>765</v>
      </c>
      <c r="E164">
        <v>20281</v>
      </c>
      <c r="F164" s="4">
        <v>15</v>
      </c>
    </row>
    <row r="165" spans="1:6" x14ac:dyDescent="0.35">
      <c r="A165" t="s">
        <v>781</v>
      </c>
      <c r="B165" s="1">
        <v>45749</v>
      </c>
      <c r="C165" t="s">
        <v>760</v>
      </c>
      <c r="D165" t="s">
        <v>763</v>
      </c>
      <c r="E165">
        <v>9012</v>
      </c>
      <c r="F165" s="4">
        <v>5</v>
      </c>
    </row>
    <row r="166" spans="1:6" x14ac:dyDescent="0.35">
      <c r="A166" t="s">
        <v>147</v>
      </c>
      <c r="B166" s="1">
        <v>45902</v>
      </c>
      <c r="C166" t="s">
        <v>764</v>
      </c>
      <c r="D166" t="s">
        <v>765</v>
      </c>
      <c r="E166">
        <v>24934</v>
      </c>
      <c r="F166" s="4">
        <v>16</v>
      </c>
    </row>
    <row r="167" spans="1:6" x14ac:dyDescent="0.35">
      <c r="A167" t="s">
        <v>317</v>
      </c>
      <c r="B167" s="1">
        <v>45709</v>
      </c>
      <c r="C167" t="s">
        <v>766</v>
      </c>
      <c r="D167" t="s">
        <v>765</v>
      </c>
      <c r="E167">
        <v>19690</v>
      </c>
      <c r="F167" s="4">
        <v>11</v>
      </c>
    </row>
    <row r="168" spans="1:6" x14ac:dyDescent="0.35">
      <c r="A168" t="s">
        <v>99</v>
      </c>
      <c r="B168" s="1">
        <v>45665</v>
      </c>
      <c r="C168" t="s">
        <v>762</v>
      </c>
      <c r="D168" t="s">
        <v>763</v>
      </c>
      <c r="E168">
        <v>5756</v>
      </c>
      <c r="F168" s="4">
        <v>17</v>
      </c>
    </row>
    <row r="169" spans="1:6" x14ac:dyDescent="0.35">
      <c r="A169" t="s">
        <v>116</v>
      </c>
      <c r="B169" s="1">
        <v>45663</v>
      </c>
      <c r="C169" t="s">
        <v>766</v>
      </c>
      <c r="D169" t="s">
        <v>765</v>
      </c>
      <c r="E169">
        <v>4875</v>
      </c>
      <c r="F169" s="4">
        <v>18</v>
      </c>
    </row>
    <row r="170" spans="1:6" x14ac:dyDescent="0.35">
      <c r="A170" t="s">
        <v>784</v>
      </c>
      <c r="B170" s="1">
        <v>45748</v>
      </c>
      <c r="C170" t="s">
        <v>766</v>
      </c>
      <c r="D170" t="s">
        <v>763</v>
      </c>
      <c r="E170">
        <v>12690</v>
      </c>
      <c r="F170" s="4">
        <v>18</v>
      </c>
    </row>
    <row r="171" spans="1:6" x14ac:dyDescent="0.35">
      <c r="A171" t="s">
        <v>272</v>
      </c>
      <c r="B171" s="1">
        <v>45993</v>
      </c>
      <c r="C171" t="s">
        <v>766</v>
      </c>
      <c r="D171" t="s">
        <v>763</v>
      </c>
      <c r="E171">
        <v>9729</v>
      </c>
      <c r="F171" s="4">
        <v>7</v>
      </c>
    </row>
    <row r="172" spans="1:6" x14ac:dyDescent="0.35">
      <c r="A172" t="s">
        <v>772</v>
      </c>
      <c r="B172" s="1">
        <v>45696</v>
      </c>
      <c r="C172" t="s">
        <v>760</v>
      </c>
      <c r="D172" t="s">
        <v>763</v>
      </c>
      <c r="E172">
        <v>4749</v>
      </c>
      <c r="F172" s="4">
        <v>2</v>
      </c>
    </row>
    <row r="173" spans="1:6" x14ac:dyDescent="0.35">
      <c r="A173" t="s">
        <v>68</v>
      </c>
      <c r="B173" s="1">
        <v>46000</v>
      </c>
      <c r="C173" t="s">
        <v>762</v>
      </c>
      <c r="D173" t="s">
        <v>761</v>
      </c>
      <c r="E173">
        <v>15527</v>
      </c>
      <c r="F173" s="4">
        <v>7</v>
      </c>
    </row>
    <row r="174" spans="1:6" x14ac:dyDescent="0.35">
      <c r="A174" t="s">
        <v>71</v>
      </c>
      <c r="B174" s="1">
        <v>46002</v>
      </c>
      <c r="C174" t="s">
        <v>764</v>
      </c>
      <c r="D174" t="s">
        <v>761</v>
      </c>
      <c r="E174">
        <v>17095</v>
      </c>
      <c r="F174" s="4">
        <v>13</v>
      </c>
    </row>
    <row r="175" spans="1:6" x14ac:dyDescent="0.35">
      <c r="A175" t="s">
        <v>300</v>
      </c>
      <c r="B175" s="1">
        <v>45975</v>
      </c>
      <c r="C175" t="s">
        <v>766</v>
      </c>
      <c r="D175" t="s">
        <v>763</v>
      </c>
      <c r="E175">
        <v>15753</v>
      </c>
      <c r="F175" s="4">
        <v>6</v>
      </c>
    </row>
    <row r="176" spans="1:6" x14ac:dyDescent="0.35">
      <c r="A176" t="s">
        <v>776</v>
      </c>
      <c r="B176" s="1">
        <v>45914</v>
      </c>
      <c r="C176" t="s">
        <v>766</v>
      </c>
      <c r="D176" t="s">
        <v>763</v>
      </c>
      <c r="E176">
        <v>21206</v>
      </c>
      <c r="F176" s="4">
        <v>6</v>
      </c>
    </row>
    <row r="177" spans="1:6" x14ac:dyDescent="0.35">
      <c r="A177" t="s">
        <v>10</v>
      </c>
      <c r="B177" s="1">
        <v>45756</v>
      </c>
      <c r="C177" t="s">
        <v>764</v>
      </c>
      <c r="D177" t="s">
        <v>765</v>
      </c>
      <c r="E177">
        <v>24960</v>
      </c>
      <c r="F177" s="4">
        <v>3</v>
      </c>
    </row>
    <row r="178" spans="1:6" x14ac:dyDescent="0.35">
      <c r="A178" t="s">
        <v>784</v>
      </c>
      <c r="B178" s="1">
        <v>45851</v>
      </c>
      <c r="C178" t="s">
        <v>766</v>
      </c>
      <c r="D178" t="s">
        <v>761</v>
      </c>
      <c r="E178">
        <v>4105</v>
      </c>
      <c r="F178" s="4">
        <v>13</v>
      </c>
    </row>
    <row r="179" spans="1:6" x14ac:dyDescent="0.35">
      <c r="A179" t="s">
        <v>782</v>
      </c>
      <c r="B179" s="1">
        <v>45840</v>
      </c>
      <c r="C179" t="s">
        <v>760</v>
      </c>
      <c r="D179" t="s">
        <v>765</v>
      </c>
      <c r="E179">
        <v>9801</v>
      </c>
      <c r="F179" s="4">
        <v>7</v>
      </c>
    </row>
    <row r="180" spans="1:6" x14ac:dyDescent="0.35">
      <c r="A180" t="s">
        <v>43</v>
      </c>
      <c r="B180" s="1">
        <v>45773</v>
      </c>
      <c r="C180" t="s">
        <v>760</v>
      </c>
      <c r="D180" t="s">
        <v>765</v>
      </c>
      <c r="E180">
        <v>6549</v>
      </c>
      <c r="F180" s="4">
        <v>5</v>
      </c>
    </row>
    <row r="181" spans="1:6" x14ac:dyDescent="0.35">
      <c r="A181" t="s">
        <v>105</v>
      </c>
      <c r="B181" s="1">
        <v>45719</v>
      </c>
      <c r="C181" t="s">
        <v>762</v>
      </c>
      <c r="D181" t="s">
        <v>763</v>
      </c>
      <c r="E181">
        <v>5544</v>
      </c>
      <c r="F181" s="4">
        <v>20</v>
      </c>
    </row>
    <row r="182" spans="1:6" x14ac:dyDescent="0.35">
      <c r="A182" t="s">
        <v>767</v>
      </c>
      <c r="B182" s="1">
        <v>45962</v>
      </c>
      <c r="C182" t="s">
        <v>764</v>
      </c>
      <c r="D182" t="s">
        <v>765</v>
      </c>
      <c r="E182">
        <v>3677</v>
      </c>
      <c r="F182" s="4">
        <v>7</v>
      </c>
    </row>
    <row r="183" spans="1:6" x14ac:dyDescent="0.35">
      <c r="A183" t="s">
        <v>303</v>
      </c>
      <c r="B183" s="1">
        <v>45799</v>
      </c>
      <c r="C183" t="s">
        <v>762</v>
      </c>
      <c r="D183" t="s">
        <v>763</v>
      </c>
      <c r="E183">
        <v>5236</v>
      </c>
      <c r="F183" s="4">
        <v>4</v>
      </c>
    </row>
    <row r="184" spans="1:6" x14ac:dyDescent="0.35">
      <c r="A184" t="s">
        <v>10</v>
      </c>
      <c r="B184" s="1">
        <v>45851</v>
      </c>
      <c r="C184" t="s">
        <v>760</v>
      </c>
      <c r="D184" t="s">
        <v>765</v>
      </c>
      <c r="E184">
        <v>2959</v>
      </c>
      <c r="F184" s="4">
        <v>11</v>
      </c>
    </row>
    <row r="185" spans="1:6" x14ac:dyDescent="0.35">
      <c r="A185" t="s">
        <v>68</v>
      </c>
      <c r="B185" s="1">
        <v>45702</v>
      </c>
      <c r="C185" t="s">
        <v>766</v>
      </c>
      <c r="D185" t="s">
        <v>765</v>
      </c>
      <c r="E185">
        <v>10413</v>
      </c>
      <c r="F185" s="4">
        <v>16</v>
      </c>
    </row>
    <row r="186" spans="1:6" x14ac:dyDescent="0.35">
      <c r="A186" t="s">
        <v>773</v>
      </c>
      <c r="B186" s="1">
        <v>45874</v>
      </c>
      <c r="C186" t="s">
        <v>762</v>
      </c>
      <c r="D186" t="s">
        <v>761</v>
      </c>
      <c r="E186">
        <v>7554</v>
      </c>
      <c r="F186" s="4">
        <v>15</v>
      </c>
    </row>
    <row r="187" spans="1:6" x14ac:dyDescent="0.35">
      <c r="A187" t="s">
        <v>560</v>
      </c>
      <c r="B187" s="1">
        <v>45999</v>
      </c>
      <c r="C187" t="s">
        <v>760</v>
      </c>
      <c r="D187" t="s">
        <v>761</v>
      </c>
      <c r="E187">
        <v>2268</v>
      </c>
      <c r="F187" s="4">
        <v>20</v>
      </c>
    </row>
    <row r="188" spans="1:6" x14ac:dyDescent="0.35">
      <c r="A188" t="s">
        <v>516</v>
      </c>
      <c r="B188" s="1">
        <v>45904</v>
      </c>
      <c r="C188" t="s">
        <v>760</v>
      </c>
      <c r="D188" t="s">
        <v>765</v>
      </c>
      <c r="E188">
        <v>24066</v>
      </c>
      <c r="F188" s="4">
        <v>15</v>
      </c>
    </row>
    <row r="189" spans="1:6" x14ac:dyDescent="0.35">
      <c r="A189" t="s">
        <v>768</v>
      </c>
      <c r="B189" s="1">
        <v>45796</v>
      </c>
      <c r="C189" t="s">
        <v>760</v>
      </c>
      <c r="D189" t="s">
        <v>765</v>
      </c>
      <c r="E189">
        <v>15288</v>
      </c>
      <c r="F189" s="4">
        <v>1</v>
      </c>
    </row>
    <row r="190" spans="1:6" x14ac:dyDescent="0.35">
      <c r="A190" t="s">
        <v>783</v>
      </c>
      <c r="B190" s="1">
        <v>45944</v>
      </c>
      <c r="C190" t="s">
        <v>764</v>
      </c>
      <c r="D190" t="s">
        <v>763</v>
      </c>
      <c r="E190">
        <v>18768</v>
      </c>
      <c r="F190" s="4">
        <v>10</v>
      </c>
    </row>
    <row r="191" spans="1:6" x14ac:dyDescent="0.35">
      <c r="A191" t="s">
        <v>22</v>
      </c>
      <c r="B191" s="1">
        <v>45970</v>
      </c>
      <c r="C191" t="s">
        <v>766</v>
      </c>
      <c r="D191" t="s">
        <v>765</v>
      </c>
      <c r="E191">
        <v>3083</v>
      </c>
      <c r="F191" s="4">
        <v>19</v>
      </c>
    </row>
    <row r="192" spans="1:6" x14ac:dyDescent="0.35">
      <c r="A192" t="s">
        <v>34</v>
      </c>
      <c r="B192" s="1">
        <v>45683</v>
      </c>
      <c r="C192" t="s">
        <v>762</v>
      </c>
      <c r="D192" t="s">
        <v>763</v>
      </c>
      <c r="E192">
        <v>22801</v>
      </c>
      <c r="F192" s="4">
        <v>15</v>
      </c>
    </row>
    <row r="193" spans="1:6" x14ac:dyDescent="0.35">
      <c r="A193" t="s">
        <v>484</v>
      </c>
      <c r="B193" s="1">
        <v>45800</v>
      </c>
      <c r="C193" t="s">
        <v>762</v>
      </c>
      <c r="D193" t="s">
        <v>763</v>
      </c>
      <c r="E193">
        <v>24726</v>
      </c>
      <c r="F193" s="4">
        <v>17</v>
      </c>
    </row>
    <row r="194" spans="1:6" x14ac:dyDescent="0.35">
      <c r="A194" t="s">
        <v>785</v>
      </c>
      <c r="B194" s="1">
        <v>45956</v>
      </c>
      <c r="C194" t="s">
        <v>764</v>
      </c>
      <c r="D194" t="s">
        <v>763</v>
      </c>
      <c r="E194">
        <v>10862</v>
      </c>
      <c r="F194" s="4">
        <v>19</v>
      </c>
    </row>
    <row r="195" spans="1:6" x14ac:dyDescent="0.35">
      <c r="A195" t="s">
        <v>138</v>
      </c>
      <c r="B195" s="1">
        <v>45670</v>
      </c>
      <c r="C195" t="s">
        <v>762</v>
      </c>
      <c r="D195" t="s">
        <v>765</v>
      </c>
      <c r="E195">
        <v>21908</v>
      </c>
      <c r="F195" s="4">
        <v>4</v>
      </c>
    </row>
    <row r="196" spans="1:6" x14ac:dyDescent="0.35">
      <c r="A196" t="s">
        <v>166</v>
      </c>
      <c r="B196" s="1">
        <v>46017</v>
      </c>
      <c r="C196" t="s">
        <v>766</v>
      </c>
      <c r="D196" t="s">
        <v>761</v>
      </c>
      <c r="E196">
        <v>16688</v>
      </c>
      <c r="F196" s="4">
        <v>3</v>
      </c>
    </row>
    <row r="197" spans="1:6" x14ac:dyDescent="0.35">
      <c r="A197" t="s">
        <v>544</v>
      </c>
      <c r="B197" s="1">
        <v>45691</v>
      </c>
      <c r="C197" t="s">
        <v>760</v>
      </c>
      <c r="D197" t="s">
        <v>761</v>
      </c>
      <c r="E197">
        <v>9501</v>
      </c>
      <c r="F197" s="4">
        <v>19</v>
      </c>
    </row>
    <row r="198" spans="1:6" x14ac:dyDescent="0.35">
      <c r="A198" t="s">
        <v>99</v>
      </c>
      <c r="B198" s="1">
        <v>45815</v>
      </c>
      <c r="C198" t="s">
        <v>766</v>
      </c>
      <c r="D198" t="s">
        <v>765</v>
      </c>
      <c r="E198">
        <v>20993</v>
      </c>
      <c r="F198" s="4">
        <v>11</v>
      </c>
    </row>
    <row r="199" spans="1:6" x14ac:dyDescent="0.35">
      <c r="A199" t="s">
        <v>776</v>
      </c>
      <c r="B199" s="1">
        <v>45903</v>
      </c>
      <c r="C199" t="s">
        <v>764</v>
      </c>
      <c r="D199" t="s">
        <v>765</v>
      </c>
      <c r="E199">
        <v>2154</v>
      </c>
      <c r="F199" s="4">
        <v>9</v>
      </c>
    </row>
    <row r="200" spans="1:6" x14ac:dyDescent="0.35">
      <c r="A200" t="s">
        <v>113</v>
      </c>
      <c r="B200" s="1">
        <v>45968</v>
      </c>
      <c r="C200" t="s">
        <v>762</v>
      </c>
      <c r="D200" t="s">
        <v>761</v>
      </c>
      <c r="E200">
        <v>13528</v>
      </c>
      <c r="F200" s="4">
        <v>14</v>
      </c>
    </row>
    <row r="201" spans="1:6" x14ac:dyDescent="0.35">
      <c r="A201" t="s">
        <v>281</v>
      </c>
      <c r="B201" s="1">
        <v>45982</v>
      </c>
      <c r="C201" t="s">
        <v>762</v>
      </c>
      <c r="D201" t="s">
        <v>763</v>
      </c>
      <c r="E201">
        <v>21194</v>
      </c>
      <c r="F201" s="4">
        <v>9</v>
      </c>
    </row>
    <row r="202" spans="1:6" x14ac:dyDescent="0.35">
      <c r="A202" t="s">
        <v>48</v>
      </c>
      <c r="B202" s="1">
        <v>45873</v>
      </c>
      <c r="C202" t="s">
        <v>766</v>
      </c>
      <c r="D202" t="s">
        <v>761</v>
      </c>
      <c r="E202">
        <v>11803</v>
      </c>
      <c r="F202" s="4">
        <v>18</v>
      </c>
    </row>
    <row r="203" spans="1:6" x14ac:dyDescent="0.35">
      <c r="A203" t="s">
        <v>777</v>
      </c>
      <c r="B203" s="1">
        <v>45903</v>
      </c>
      <c r="C203" t="s">
        <v>766</v>
      </c>
      <c r="D203" t="s">
        <v>761</v>
      </c>
      <c r="E203">
        <v>14372</v>
      </c>
      <c r="F203" s="4">
        <v>13</v>
      </c>
    </row>
    <row r="204" spans="1:6" x14ac:dyDescent="0.35">
      <c r="A204" t="s">
        <v>329</v>
      </c>
      <c r="B204" s="1">
        <v>45712</v>
      </c>
      <c r="C204" t="s">
        <v>764</v>
      </c>
      <c r="D204" t="s">
        <v>765</v>
      </c>
      <c r="E204">
        <v>4210</v>
      </c>
      <c r="F204" s="4">
        <v>3</v>
      </c>
    </row>
    <row r="205" spans="1:6" x14ac:dyDescent="0.35">
      <c r="A205" t="s">
        <v>233</v>
      </c>
      <c r="B205" s="1">
        <v>45689</v>
      </c>
      <c r="C205" t="s">
        <v>760</v>
      </c>
      <c r="D205" t="s">
        <v>765</v>
      </c>
      <c r="E205">
        <v>17761</v>
      </c>
      <c r="F205" s="4">
        <v>13</v>
      </c>
    </row>
    <row r="206" spans="1:6" x14ac:dyDescent="0.35">
      <c r="A206" t="s">
        <v>163</v>
      </c>
      <c r="B206" s="1">
        <v>45887</v>
      </c>
      <c r="C206" t="s">
        <v>760</v>
      </c>
      <c r="D206" t="s">
        <v>765</v>
      </c>
      <c r="E206">
        <v>20235</v>
      </c>
      <c r="F206" s="4">
        <v>18</v>
      </c>
    </row>
    <row r="207" spans="1:6" x14ac:dyDescent="0.35">
      <c r="A207" t="s">
        <v>18</v>
      </c>
      <c r="B207" s="1">
        <v>45844</v>
      </c>
      <c r="C207" t="s">
        <v>766</v>
      </c>
      <c r="D207" t="s">
        <v>765</v>
      </c>
      <c r="E207">
        <v>23928</v>
      </c>
      <c r="F207" s="4">
        <v>17</v>
      </c>
    </row>
    <row r="208" spans="1:6" x14ac:dyDescent="0.35">
      <c r="A208" t="s">
        <v>375</v>
      </c>
      <c r="B208" s="1">
        <v>45731</v>
      </c>
      <c r="C208" t="s">
        <v>766</v>
      </c>
      <c r="D208" t="s">
        <v>761</v>
      </c>
      <c r="E208">
        <v>13949</v>
      </c>
      <c r="F208" s="4">
        <v>2</v>
      </c>
    </row>
    <row r="209" spans="1:6" x14ac:dyDescent="0.35">
      <c r="A209" t="s">
        <v>560</v>
      </c>
      <c r="B209" s="1">
        <v>45967</v>
      </c>
      <c r="C209" t="s">
        <v>764</v>
      </c>
      <c r="D209" t="s">
        <v>761</v>
      </c>
      <c r="E209">
        <v>15770</v>
      </c>
      <c r="F209" s="4">
        <v>20</v>
      </c>
    </row>
    <row r="210" spans="1:6" x14ac:dyDescent="0.35">
      <c r="A210" t="s">
        <v>786</v>
      </c>
      <c r="B210" s="1">
        <v>45952</v>
      </c>
      <c r="C210" t="s">
        <v>764</v>
      </c>
      <c r="D210" t="s">
        <v>765</v>
      </c>
      <c r="E210">
        <v>11624</v>
      </c>
      <c r="F210" s="4">
        <v>18</v>
      </c>
    </row>
    <row r="211" spans="1:6" x14ac:dyDescent="0.35">
      <c r="A211" t="s">
        <v>767</v>
      </c>
      <c r="B211" s="1">
        <v>45717</v>
      </c>
      <c r="C211" t="s">
        <v>762</v>
      </c>
      <c r="D211" t="s">
        <v>765</v>
      </c>
      <c r="E211">
        <v>10929</v>
      </c>
      <c r="F211" s="4">
        <v>15</v>
      </c>
    </row>
    <row r="212" spans="1:6" x14ac:dyDescent="0.35">
      <c r="A212" t="s">
        <v>523</v>
      </c>
      <c r="B212" s="1">
        <v>45692</v>
      </c>
      <c r="C212" t="s">
        <v>766</v>
      </c>
      <c r="D212" t="s">
        <v>763</v>
      </c>
      <c r="E212">
        <v>15601</v>
      </c>
      <c r="F212" s="4">
        <v>11</v>
      </c>
    </row>
    <row r="213" spans="1:6" x14ac:dyDescent="0.35">
      <c r="A213" t="s">
        <v>771</v>
      </c>
      <c r="B213" s="1">
        <v>45690</v>
      </c>
      <c r="C213" t="s">
        <v>762</v>
      </c>
      <c r="D213" t="s">
        <v>765</v>
      </c>
      <c r="E213">
        <v>6330</v>
      </c>
      <c r="F213" s="4">
        <v>9</v>
      </c>
    </row>
    <row r="214" spans="1:6" x14ac:dyDescent="0.35">
      <c r="A214" t="s">
        <v>90</v>
      </c>
      <c r="B214" s="1">
        <v>45894</v>
      </c>
      <c r="C214" t="s">
        <v>764</v>
      </c>
      <c r="D214" t="s">
        <v>761</v>
      </c>
      <c r="E214">
        <v>14635</v>
      </c>
      <c r="F214" s="4">
        <v>17</v>
      </c>
    </row>
    <row r="215" spans="1:6" x14ac:dyDescent="0.35">
      <c r="A215" t="s">
        <v>336</v>
      </c>
      <c r="B215" s="1">
        <v>45975</v>
      </c>
      <c r="C215" t="s">
        <v>764</v>
      </c>
      <c r="D215" t="s">
        <v>765</v>
      </c>
      <c r="E215">
        <v>4038</v>
      </c>
      <c r="F215" s="4">
        <v>9</v>
      </c>
    </row>
    <row r="216" spans="1:6" x14ac:dyDescent="0.35">
      <c r="A216" t="s">
        <v>125</v>
      </c>
      <c r="B216" s="1">
        <v>45828</v>
      </c>
      <c r="C216" t="s">
        <v>766</v>
      </c>
      <c r="D216" t="s">
        <v>763</v>
      </c>
      <c r="E216">
        <v>5996</v>
      </c>
      <c r="F216" s="4">
        <v>2</v>
      </c>
    </row>
    <row r="217" spans="1:6" x14ac:dyDescent="0.35">
      <c r="A217" t="s">
        <v>195</v>
      </c>
      <c r="B217" s="1">
        <v>45906</v>
      </c>
      <c r="C217" t="s">
        <v>762</v>
      </c>
      <c r="D217" t="s">
        <v>761</v>
      </c>
      <c r="E217">
        <v>6641</v>
      </c>
      <c r="F217" s="4">
        <v>13</v>
      </c>
    </row>
    <row r="218" spans="1:6" x14ac:dyDescent="0.35">
      <c r="A218" t="s">
        <v>141</v>
      </c>
      <c r="B218" s="1">
        <v>45794</v>
      </c>
      <c r="C218" t="s">
        <v>762</v>
      </c>
      <c r="D218" t="s">
        <v>765</v>
      </c>
      <c r="E218">
        <v>10859</v>
      </c>
      <c r="F218" s="4">
        <v>13</v>
      </c>
    </row>
    <row r="219" spans="1:6" x14ac:dyDescent="0.35">
      <c r="A219" t="s">
        <v>400</v>
      </c>
      <c r="B219" s="1">
        <v>46012</v>
      </c>
      <c r="C219" t="s">
        <v>762</v>
      </c>
      <c r="D219" t="s">
        <v>761</v>
      </c>
      <c r="E219">
        <v>20527</v>
      </c>
      <c r="F219" s="4">
        <v>7</v>
      </c>
    </row>
    <row r="220" spans="1:6" x14ac:dyDescent="0.35">
      <c r="A220" t="s">
        <v>570</v>
      </c>
      <c r="B220" s="1">
        <v>45676</v>
      </c>
      <c r="C220" t="s">
        <v>760</v>
      </c>
      <c r="D220" t="s">
        <v>765</v>
      </c>
      <c r="E220">
        <v>16940</v>
      </c>
      <c r="F220" s="4">
        <v>18</v>
      </c>
    </row>
    <row r="221" spans="1:6" x14ac:dyDescent="0.35">
      <c r="A221" t="s">
        <v>783</v>
      </c>
      <c r="B221" s="1">
        <v>45989</v>
      </c>
      <c r="C221" t="s">
        <v>766</v>
      </c>
      <c r="D221" t="s">
        <v>763</v>
      </c>
      <c r="E221">
        <v>19469</v>
      </c>
      <c r="F221" s="4">
        <v>13</v>
      </c>
    </row>
    <row r="222" spans="1:6" x14ac:dyDescent="0.35">
      <c r="A222" t="s">
        <v>370</v>
      </c>
      <c r="B222" s="1">
        <v>45798</v>
      </c>
      <c r="C222" t="s">
        <v>764</v>
      </c>
      <c r="D222" t="s">
        <v>765</v>
      </c>
      <c r="E222">
        <v>10949</v>
      </c>
      <c r="F222" s="4">
        <v>20</v>
      </c>
    </row>
    <row r="223" spans="1:6" x14ac:dyDescent="0.35">
      <c r="A223" t="s">
        <v>48</v>
      </c>
      <c r="B223" s="1">
        <v>45758</v>
      </c>
      <c r="C223" t="s">
        <v>760</v>
      </c>
      <c r="D223" t="s">
        <v>763</v>
      </c>
      <c r="E223">
        <v>11045</v>
      </c>
      <c r="F223" s="4">
        <v>4</v>
      </c>
    </row>
    <row r="224" spans="1:6" x14ac:dyDescent="0.35">
      <c r="A224" t="s">
        <v>135</v>
      </c>
      <c r="B224" s="1">
        <v>45670</v>
      </c>
      <c r="C224" t="s">
        <v>766</v>
      </c>
      <c r="D224" t="s">
        <v>761</v>
      </c>
      <c r="E224">
        <v>8454</v>
      </c>
      <c r="F224" s="4">
        <v>20</v>
      </c>
    </row>
    <row r="225" spans="1:6" x14ac:dyDescent="0.35">
      <c r="A225" t="s">
        <v>62</v>
      </c>
      <c r="B225" s="1">
        <v>45952</v>
      </c>
      <c r="C225" t="s">
        <v>764</v>
      </c>
      <c r="D225" t="s">
        <v>761</v>
      </c>
      <c r="E225">
        <v>2190</v>
      </c>
      <c r="F225" s="4">
        <v>20</v>
      </c>
    </row>
    <row r="226" spans="1:6" x14ac:dyDescent="0.35">
      <c r="A226" t="s">
        <v>541</v>
      </c>
      <c r="B226" s="1">
        <v>45814</v>
      </c>
      <c r="C226" t="s">
        <v>762</v>
      </c>
      <c r="D226" t="s">
        <v>761</v>
      </c>
      <c r="E226">
        <v>2904</v>
      </c>
      <c r="F226" s="4">
        <v>8</v>
      </c>
    </row>
    <row r="227" spans="1:6" x14ac:dyDescent="0.35">
      <c r="A227" t="s">
        <v>93</v>
      </c>
      <c r="B227" s="1">
        <v>45773</v>
      </c>
      <c r="C227" t="s">
        <v>764</v>
      </c>
      <c r="D227" t="s">
        <v>765</v>
      </c>
      <c r="E227">
        <v>21244</v>
      </c>
      <c r="F227" s="4">
        <v>2</v>
      </c>
    </row>
    <row r="228" spans="1:6" x14ac:dyDescent="0.35">
      <c r="A228" t="s">
        <v>108</v>
      </c>
      <c r="B228" s="1">
        <v>45827</v>
      </c>
      <c r="C228" t="s">
        <v>760</v>
      </c>
      <c r="D228" t="s">
        <v>763</v>
      </c>
      <c r="E228">
        <v>8286</v>
      </c>
      <c r="F228" s="4">
        <v>2</v>
      </c>
    </row>
    <row r="229" spans="1:6" x14ac:dyDescent="0.35">
      <c r="A229" t="s">
        <v>784</v>
      </c>
      <c r="B229" s="1">
        <v>45666</v>
      </c>
      <c r="C229" t="s">
        <v>766</v>
      </c>
      <c r="D229" t="s">
        <v>765</v>
      </c>
      <c r="E229">
        <v>5110</v>
      </c>
      <c r="F229" s="4">
        <v>11</v>
      </c>
    </row>
    <row r="230" spans="1:6" x14ac:dyDescent="0.35">
      <c r="A230" t="s">
        <v>703</v>
      </c>
      <c r="B230" s="1">
        <v>45945</v>
      </c>
      <c r="C230" t="s">
        <v>760</v>
      </c>
      <c r="D230" t="s">
        <v>765</v>
      </c>
      <c r="E230">
        <v>24142</v>
      </c>
      <c r="F230" s="4">
        <v>4</v>
      </c>
    </row>
    <row r="231" spans="1:6" x14ac:dyDescent="0.35">
      <c r="A231" t="s">
        <v>400</v>
      </c>
      <c r="B231" s="1">
        <v>45878</v>
      </c>
      <c r="C231" t="s">
        <v>760</v>
      </c>
      <c r="D231" t="s">
        <v>761</v>
      </c>
      <c r="E231">
        <v>17419</v>
      </c>
      <c r="F231" s="4">
        <v>4</v>
      </c>
    </row>
    <row r="232" spans="1:6" x14ac:dyDescent="0.35">
      <c r="A232" t="s">
        <v>174</v>
      </c>
      <c r="B232" s="1">
        <v>45781</v>
      </c>
      <c r="C232" t="s">
        <v>762</v>
      </c>
      <c r="D232" t="s">
        <v>765</v>
      </c>
      <c r="E232">
        <v>18855</v>
      </c>
      <c r="F232" s="4">
        <v>5</v>
      </c>
    </row>
    <row r="233" spans="1:6" x14ac:dyDescent="0.35">
      <c r="A233" t="s">
        <v>192</v>
      </c>
      <c r="B233" s="1">
        <v>45782</v>
      </c>
      <c r="C233" t="s">
        <v>764</v>
      </c>
      <c r="D233" t="s">
        <v>763</v>
      </c>
      <c r="E233">
        <v>10830</v>
      </c>
      <c r="F233" s="4">
        <v>1</v>
      </c>
    </row>
    <row r="234" spans="1:6" x14ac:dyDescent="0.35">
      <c r="A234" t="s">
        <v>354</v>
      </c>
      <c r="B234" s="1">
        <v>46003</v>
      </c>
      <c r="C234" t="s">
        <v>764</v>
      </c>
      <c r="D234" t="s">
        <v>761</v>
      </c>
      <c r="E234">
        <v>19600</v>
      </c>
      <c r="F234" s="4">
        <v>18</v>
      </c>
    </row>
    <row r="235" spans="1:6" x14ac:dyDescent="0.35">
      <c r="A235" t="s">
        <v>412</v>
      </c>
      <c r="B235" s="1">
        <v>45846</v>
      </c>
      <c r="C235" t="s">
        <v>760</v>
      </c>
      <c r="D235" t="s">
        <v>763</v>
      </c>
      <c r="E235">
        <v>9146</v>
      </c>
      <c r="F235" s="4">
        <v>1</v>
      </c>
    </row>
    <row r="236" spans="1:6" x14ac:dyDescent="0.35">
      <c r="A236" t="s">
        <v>62</v>
      </c>
      <c r="B236" s="1">
        <v>45701</v>
      </c>
      <c r="C236" t="s">
        <v>762</v>
      </c>
      <c r="D236" t="s">
        <v>761</v>
      </c>
      <c r="E236">
        <v>3054</v>
      </c>
      <c r="F236" s="4">
        <v>9</v>
      </c>
    </row>
    <row r="237" spans="1:6" x14ac:dyDescent="0.35">
      <c r="A237" t="s">
        <v>99</v>
      </c>
      <c r="B237" s="1">
        <v>45856</v>
      </c>
      <c r="C237" t="s">
        <v>760</v>
      </c>
      <c r="D237" t="s">
        <v>763</v>
      </c>
      <c r="E237">
        <v>23012</v>
      </c>
      <c r="F237" s="4">
        <v>3</v>
      </c>
    </row>
    <row r="238" spans="1:6" x14ac:dyDescent="0.35">
      <c r="A238" t="s">
        <v>768</v>
      </c>
      <c r="B238" s="1">
        <v>45720</v>
      </c>
      <c r="C238" t="s">
        <v>766</v>
      </c>
      <c r="D238" t="s">
        <v>765</v>
      </c>
      <c r="E238">
        <v>14478</v>
      </c>
      <c r="F238" s="4">
        <v>2</v>
      </c>
    </row>
    <row r="239" spans="1:6" x14ac:dyDescent="0.35">
      <c r="A239" t="s">
        <v>48</v>
      </c>
      <c r="B239" s="1">
        <v>45676</v>
      </c>
      <c r="C239" t="s">
        <v>760</v>
      </c>
      <c r="D239" t="s">
        <v>763</v>
      </c>
      <c r="E239">
        <v>23750</v>
      </c>
      <c r="F239" s="4">
        <v>14</v>
      </c>
    </row>
    <row r="240" spans="1:6" x14ac:dyDescent="0.35">
      <c r="A240" t="s">
        <v>257</v>
      </c>
      <c r="B240" s="1">
        <v>45774</v>
      </c>
      <c r="C240" t="s">
        <v>760</v>
      </c>
      <c r="D240" t="s">
        <v>763</v>
      </c>
      <c r="E240">
        <v>4171</v>
      </c>
      <c r="F240" s="4">
        <v>10</v>
      </c>
    </row>
    <row r="241" spans="1:6" x14ac:dyDescent="0.35">
      <c r="A241" t="s">
        <v>51</v>
      </c>
      <c r="B241" s="1">
        <v>45847</v>
      </c>
      <c r="C241" t="s">
        <v>762</v>
      </c>
      <c r="D241" t="s">
        <v>765</v>
      </c>
      <c r="E241">
        <v>17068</v>
      </c>
      <c r="F241" s="4">
        <v>5</v>
      </c>
    </row>
    <row r="242" spans="1:6" x14ac:dyDescent="0.35">
      <c r="A242" t="s">
        <v>768</v>
      </c>
      <c r="B242" s="1">
        <v>45936</v>
      </c>
      <c r="C242" t="s">
        <v>762</v>
      </c>
      <c r="D242" t="s">
        <v>761</v>
      </c>
      <c r="E242">
        <v>12461</v>
      </c>
      <c r="F242" s="4">
        <v>2</v>
      </c>
    </row>
    <row r="243" spans="1:6" x14ac:dyDescent="0.35">
      <c r="A243" t="s">
        <v>230</v>
      </c>
      <c r="B243" s="1">
        <v>45803</v>
      </c>
      <c r="C243" t="s">
        <v>764</v>
      </c>
      <c r="D243" t="s">
        <v>761</v>
      </c>
      <c r="E243">
        <v>3854</v>
      </c>
      <c r="F243" s="4">
        <v>15</v>
      </c>
    </row>
    <row r="244" spans="1:6" x14ac:dyDescent="0.35">
      <c r="A244" t="s">
        <v>432</v>
      </c>
      <c r="B244" s="1">
        <v>45788</v>
      </c>
      <c r="C244" t="s">
        <v>762</v>
      </c>
      <c r="D244" t="s">
        <v>763</v>
      </c>
      <c r="E244">
        <v>21510</v>
      </c>
      <c r="F244" s="4">
        <v>11</v>
      </c>
    </row>
    <row r="245" spans="1:6" x14ac:dyDescent="0.35">
      <c r="A245" t="s">
        <v>329</v>
      </c>
      <c r="B245" s="1">
        <v>45843</v>
      </c>
      <c r="C245" t="s">
        <v>766</v>
      </c>
      <c r="D245" t="s">
        <v>761</v>
      </c>
      <c r="E245">
        <v>5187</v>
      </c>
      <c r="F245" s="4">
        <v>20</v>
      </c>
    </row>
    <row r="246" spans="1:6" x14ac:dyDescent="0.35">
      <c r="A246" t="s">
        <v>336</v>
      </c>
      <c r="B246" s="1">
        <v>45864</v>
      </c>
      <c r="C246" t="s">
        <v>766</v>
      </c>
      <c r="D246" t="s">
        <v>765</v>
      </c>
      <c r="E246">
        <v>2196</v>
      </c>
      <c r="F246" s="4">
        <v>5</v>
      </c>
    </row>
    <row r="247" spans="1:6" x14ac:dyDescent="0.35">
      <c r="A247" t="s">
        <v>456</v>
      </c>
      <c r="B247" s="1">
        <v>45730</v>
      </c>
      <c r="C247" t="s">
        <v>762</v>
      </c>
      <c r="D247" t="s">
        <v>761</v>
      </c>
      <c r="E247">
        <v>14235</v>
      </c>
      <c r="F247" s="4">
        <v>11</v>
      </c>
    </row>
    <row r="248" spans="1:6" x14ac:dyDescent="0.35">
      <c r="A248" t="s">
        <v>204</v>
      </c>
      <c r="B248" s="1">
        <v>45999</v>
      </c>
      <c r="C248" t="s">
        <v>762</v>
      </c>
      <c r="D248" t="s">
        <v>763</v>
      </c>
      <c r="E248">
        <v>23853</v>
      </c>
      <c r="F248" s="4">
        <v>10</v>
      </c>
    </row>
    <row r="249" spans="1:6" x14ac:dyDescent="0.35">
      <c r="A249" t="s">
        <v>400</v>
      </c>
      <c r="B249" s="1">
        <v>45662</v>
      </c>
      <c r="C249" t="s">
        <v>766</v>
      </c>
      <c r="D249" t="s">
        <v>761</v>
      </c>
      <c r="E249">
        <v>3411</v>
      </c>
      <c r="F249" s="4">
        <v>8</v>
      </c>
    </row>
    <row r="250" spans="1:6" x14ac:dyDescent="0.35">
      <c r="A250" t="s">
        <v>34</v>
      </c>
      <c r="B250" s="1">
        <v>45812</v>
      </c>
      <c r="C250" t="s">
        <v>766</v>
      </c>
      <c r="D250" t="s">
        <v>765</v>
      </c>
      <c r="E250">
        <v>13964</v>
      </c>
      <c r="F250" s="4">
        <v>13</v>
      </c>
    </row>
    <row r="251" spans="1:6" x14ac:dyDescent="0.35">
      <c r="A251" t="s">
        <v>625</v>
      </c>
      <c r="B251" s="1">
        <v>45674</v>
      </c>
      <c r="C251" t="s">
        <v>764</v>
      </c>
      <c r="D251" t="s">
        <v>765</v>
      </c>
      <c r="E251">
        <v>14961</v>
      </c>
      <c r="F251" s="4">
        <v>12</v>
      </c>
    </row>
    <row r="252" spans="1:6" x14ac:dyDescent="0.35">
      <c r="A252" t="s">
        <v>210</v>
      </c>
      <c r="B252" s="1">
        <v>45906</v>
      </c>
      <c r="C252" t="s">
        <v>760</v>
      </c>
      <c r="D252" t="s">
        <v>761</v>
      </c>
      <c r="E252">
        <v>21330</v>
      </c>
      <c r="F252" s="4">
        <v>11</v>
      </c>
    </row>
    <row r="253" spans="1:6" x14ac:dyDescent="0.35">
      <c r="A253" t="s">
        <v>349</v>
      </c>
      <c r="B253" s="1">
        <v>45661</v>
      </c>
      <c r="C253" t="s">
        <v>762</v>
      </c>
      <c r="D253" t="s">
        <v>765</v>
      </c>
      <c r="E253">
        <v>21262</v>
      </c>
      <c r="F253" s="4">
        <v>19</v>
      </c>
    </row>
    <row r="254" spans="1:6" x14ac:dyDescent="0.35">
      <c r="A254" t="s">
        <v>541</v>
      </c>
      <c r="B254" s="1">
        <v>45728</v>
      </c>
      <c r="C254" t="s">
        <v>766</v>
      </c>
      <c r="D254" t="s">
        <v>765</v>
      </c>
      <c r="E254">
        <v>10517</v>
      </c>
      <c r="F254" s="4">
        <v>1</v>
      </c>
    </row>
    <row r="255" spans="1:6" x14ac:dyDescent="0.35">
      <c r="A255" t="s">
        <v>577</v>
      </c>
      <c r="B255" s="1">
        <v>45830</v>
      </c>
      <c r="C255" t="s">
        <v>766</v>
      </c>
      <c r="D255" t="s">
        <v>765</v>
      </c>
      <c r="E255">
        <v>15649</v>
      </c>
      <c r="F255" s="4">
        <v>14</v>
      </c>
    </row>
    <row r="256" spans="1:6" x14ac:dyDescent="0.35">
      <c r="A256" t="s">
        <v>785</v>
      </c>
      <c r="B256" s="1">
        <v>45901</v>
      </c>
      <c r="C256" t="s">
        <v>766</v>
      </c>
      <c r="D256" t="s">
        <v>765</v>
      </c>
      <c r="E256">
        <v>19316</v>
      </c>
      <c r="F256" s="4">
        <v>11</v>
      </c>
    </row>
    <row r="257" spans="1:6" x14ac:dyDescent="0.35">
      <c r="A257" t="s">
        <v>770</v>
      </c>
      <c r="B257" s="1">
        <v>45958</v>
      </c>
      <c r="C257" t="s">
        <v>762</v>
      </c>
      <c r="D257" t="s">
        <v>765</v>
      </c>
      <c r="E257">
        <v>15668</v>
      </c>
      <c r="F257" s="4">
        <v>1</v>
      </c>
    </row>
    <row r="258" spans="1:6" x14ac:dyDescent="0.35">
      <c r="A258" t="s">
        <v>787</v>
      </c>
      <c r="B258" s="1">
        <v>45905</v>
      </c>
      <c r="C258" t="s">
        <v>764</v>
      </c>
      <c r="D258" t="s">
        <v>761</v>
      </c>
      <c r="E258">
        <v>4647</v>
      </c>
      <c r="F258" s="4">
        <v>16</v>
      </c>
    </row>
    <row r="259" spans="1:6" x14ac:dyDescent="0.35">
      <c r="A259" t="s">
        <v>22</v>
      </c>
      <c r="B259" s="1">
        <v>45972</v>
      </c>
      <c r="C259" t="s">
        <v>762</v>
      </c>
      <c r="D259" t="s">
        <v>765</v>
      </c>
      <c r="E259">
        <v>22577</v>
      </c>
      <c r="F259" s="4">
        <v>13</v>
      </c>
    </row>
    <row r="260" spans="1:6" x14ac:dyDescent="0.35">
      <c r="A260" t="s">
        <v>204</v>
      </c>
      <c r="B260" s="1">
        <v>45662</v>
      </c>
      <c r="C260" t="s">
        <v>766</v>
      </c>
      <c r="D260" t="s">
        <v>765</v>
      </c>
      <c r="E260">
        <v>11895</v>
      </c>
      <c r="F260" s="4">
        <v>10</v>
      </c>
    </row>
    <row r="261" spans="1:6" x14ac:dyDescent="0.35">
      <c r="A261" t="s">
        <v>400</v>
      </c>
      <c r="B261" s="1">
        <v>45893</v>
      </c>
      <c r="C261" t="s">
        <v>766</v>
      </c>
      <c r="D261" t="s">
        <v>761</v>
      </c>
      <c r="E261">
        <v>13335</v>
      </c>
      <c r="F261" s="4">
        <v>15</v>
      </c>
    </row>
    <row r="262" spans="1:6" x14ac:dyDescent="0.35">
      <c r="A262" t="s">
        <v>617</v>
      </c>
      <c r="B262" s="1">
        <v>45695</v>
      </c>
      <c r="C262" t="s">
        <v>764</v>
      </c>
      <c r="D262" t="s">
        <v>761</v>
      </c>
      <c r="E262">
        <v>17587</v>
      </c>
      <c r="F262" s="4">
        <v>11</v>
      </c>
    </row>
    <row r="263" spans="1:6" x14ac:dyDescent="0.35">
      <c r="A263" t="s">
        <v>174</v>
      </c>
      <c r="B263" s="1">
        <v>45668</v>
      </c>
      <c r="C263" t="s">
        <v>764</v>
      </c>
      <c r="D263" t="s">
        <v>765</v>
      </c>
      <c r="E263">
        <v>22984</v>
      </c>
      <c r="F263" s="4">
        <v>13</v>
      </c>
    </row>
    <row r="264" spans="1:6" x14ac:dyDescent="0.35">
      <c r="A264" t="s">
        <v>620</v>
      </c>
      <c r="B264" s="1">
        <v>45940</v>
      </c>
      <c r="C264" t="s">
        <v>764</v>
      </c>
      <c r="D264" t="s">
        <v>761</v>
      </c>
      <c r="E264">
        <v>6803</v>
      </c>
      <c r="F264" s="4">
        <v>3</v>
      </c>
    </row>
    <row r="265" spans="1:6" x14ac:dyDescent="0.35">
      <c r="A265" t="s">
        <v>204</v>
      </c>
      <c r="B265" s="1">
        <v>45742</v>
      </c>
      <c r="C265" t="s">
        <v>766</v>
      </c>
      <c r="D265" t="s">
        <v>763</v>
      </c>
      <c r="E265">
        <v>8238</v>
      </c>
      <c r="F265" s="4">
        <v>7</v>
      </c>
    </row>
    <row r="266" spans="1:6" x14ac:dyDescent="0.35">
      <c r="A266" t="s">
        <v>560</v>
      </c>
      <c r="B266" s="1">
        <v>45980</v>
      </c>
      <c r="C266" t="s">
        <v>760</v>
      </c>
      <c r="D266" t="s">
        <v>763</v>
      </c>
      <c r="E266">
        <v>9372</v>
      </c>
      <c r="F266" s="4">
        <v>5</v>
      </c>
    </row>
    <row r="267" spans="1:6" x14ac:dyDescent="0.35">
      <c r="A267" t="s">
        <v>22</v>
      </c>
      <c r="B267" s="1">
        <v>45953</v>
      </c>
      <c r="C267" t="s">
        <v>764</v>
      </c>
      <c r="D267" t="s">
        <v>765</v>
      </c>
      <c r="E267">
        <v>4512</v>
      </c>
      <c r="F267" s="4">
        <v>14</v>
      </c>
    </row>
    <row r="268" spans="1:6" x14ac:dyDescent="0.35">
      <c r="A268" t="s">
        <v>775</v>
      </c>
      <c r="B268" s="1">
        <v>45893</v>
      </c>
      <c r="C268" t="s">
        <v>766</v>
      </c>
      <c r="D268" t="s">
        <v>765</v>
      </c>
      <c r="E268">
        <v>24559</v>
      </c>
      <c r="F268" s="4">
        <v>17</v>
      </c>
    </row>
    <row r="269" spans="1:6" x14ac:dyDescent="0.35">
      <c r="A269" t="s">
        <v>734</v>
      </c>
      <c r="B269" s="1">
        <v>45717</v>
      </c>
      <c r="C269" t="s">
        <v>766</v>
      </c>
      <c r="D269" t="s">
        <v>763</v>
      </c>
      <c r="E269">
        <v>21097</v>
      </c>
      <c r="F269" s="4">
        <v>15</v>
      </c>
    </row>
    <row r="270" spans="1:6" x14ac:dyDescent="0.35">
      <c r="A270" t="s">
        <v>698</v>
      </c>
      <c r="B270" s="1">
        <v>45874</v>
      </c>
      <c r="C270" t="s">
        <v>766</v>
      </c>
      <c r="D270" t="s">
        <v>763</v>
      </c>
      <c r="E270">
        <v>8363</v>
      </c>
      <c r="F270" s="4">
        <v>7</v>
      </c>
    </row>
    <row r="271" spans="1:6" x14ac:dyDescent="0.35">
      <c r="A271" t="s">
        <v>187</v>
      </c>
      <c r="B271" s="1">
        <v>45950</v>
      </c>
      <c r="C271" t="s">
        <v>760</v>
      </c>
      <c r="D271" t="s">
        <v>763</v>
      </c>
      <c r="E271">
        <v>22052</v>
      </c>
      <c r="F271" s="4">
        <v>14</v>
      </c>
    </row>
    <row r="272" spans="1:6" x14ac:dyDescent="0.35">
      <c r="A272" t="s">
        <v>349</v>
      </c>
      <c r="B272" s="1">
        <v>45944</v>
      </c>
      <c r="C272" t="s">
        <v>764</v>
      </c>
      <c r="D272" t="s">
        <v>763</v>
      </c>
      <c r="E272">
        <v>15451</v>
      </c>
      <c r="F272" s="4">
        <v>9</v>
      </c>
    </row>
    <row r="273" spans="1:6" x14ac:dyDescent="0.35">
      <c r="A273" t="s">
        <v>220</v>
      </c>
      <c r="B273" s="1">
        <v>45791</v>
      </c>
      <c r="C273" t="s">
        <v>764</v>
      </c>
      <c r="D273" t="s">
        <v>763</v>
      </c>
      <c r="E273">
        <v>24063</v>
      </c>
      <c r="F273" s="4">
        <v>10</v>
      </c>
    </row>
    <row r="274" spans="1:6" x14ac:dyDescent="0.35">
      <c r="A274" t="s">
        <v>400</v>
      </c>
      <c r="B274" s="1">
        <v>45763</v>
      </c>
      <c r="C274" t="s">
        <v>762</v>
      </c>
      <c r="D274" t="s">
        <v>761</v>
      </c>
      <c r="E274">
        <v>23030</v>
      </c>
      <c r="F274" s="4">
        <v>15</v>
      </c>
    </row>
    <row r="275" spans="1:6" x14ac:dyDescent="0.35">
      <c r="A275" t="s">
        <v>272</v>
      </c>
      <c r="B275" s="1">
        <v>45987</v>
      </c>
      <c r="C275" t="s">
        <v>764</v>
      </c>
      <c r="D275" t="s">
        <v>761</v>
      </c>
      <c r="E275">
        <v>18244</v>
      </c>
      <c r="F275" s="4">
        <v>13</v>
      </c>
    </row>
    <row r="276" spans="1:6" x14ac:dyDescent="0.35">
      <c r="A276" t="s">
        <v>625</v>
      </c>
      <c r="B276" s="1">
        <v>45952</v>
      </c>
      <c r="C276" t="s">
        <v>764</v>
      </c>
      <c r="D276" t="s">
        <v>761</v>
      </c>
      <c r="E276">
        <v>2794</v>
      </c>
      <c r="F276" s="4">
        <v>20</v>
      </c>
    </row>
    <row r="277" spans="1:6" x14ac:dyDescent="0.35">
      <c r="A277" t="s">
        <v>786</v>
      </c>
      <c r="B277" s="1">
        <v>45939</v>
      </c>
      <c r="C277" t="s">
        <v>766</v>
      </c>
      <c r="D277" t="s">
        <v>765</v>
      </c>
      <c r="E277">
        <v>8897</v>
      </c>
      <c r="F277" s="4">
        <v>4</v>
      </c>
    </row>
    <row r="278" spans="1:6" x14ac:dyDescent="0.35">
      <c r="A278" t="s">
        <v>463</v>
      </c>
      <c r="B278" s="1">
        <v>45799</v>
      </c>
      <c r="C278" t="s">
        <v>766</v>
      </c>
      <c r="D278" t="s">
        <v>763</v>
      </c>
      <c r="E278">
        <v>2933</v>
      </c>
      <c r="F278" s="4">
        <v>14</v>
      </c>
    </row>
    <row r="279" spans="1:6" x14ac:dyDescent="0.35">
      <c r="A279" t="s">
        <v>10</v>
      </c>
      <c r="B279" s="1">
        <v>45820</v>
      </c>
      <c r="C279" t="s">
        <v>762</v>
      </c>
      <c r="D279" t="s">
        <v>763</v>
      </c>
      <c r="E279">
        <v>9431</v>
      </c>
      <c r="F279" s="4">
        <v>5</v>
      </c>
    </row>
    <row r="280" spans="1:6" x14ac:dyDescent="0.35">
      <c r="A280" t="s">
        <v>774</v>
      </c>
      <c r="B280" s="1">
        <v>45843</v>
      </c>
      <c r="C280" t="s">
        <v>764</v>
      </c>
      <c r="D280" t="s">
        <v>763</v>
      </c>
      <c r="E280">
        <v>2558</v>
      </c>
      <c r="F280" s="4">
        <v>5</v>
      </c>
    </row>
    <row r="281" spans="1:6" x14ac:dyDescent="0.35">
      <c r="A281" t="s">
        <v>74</v>
      </c>
      <c r="B281" s="1">
        <v>45696</v>
      </c>
      <c r="C281" t="s">
        <v>760</v>
      </c>
      <c r="D281" t="s">
        <v>765</v>
      </c>
      <c r="E281">
        <v>8805</v>
      </c>
      <c r="F281" s="4">
        <v>5</v>
      </c>
    </row>
    <row r="282" spans="1:6" x14ac:dyDescent="0.35">
      <c r="A282" t="s">
        <v>781</v>
      </c>
      <c r="B282" s="1">
        <v>45683</v>
      </c>
      <c r="C282" t="s">
        <v>760</v>
      </c>
      <c r="D282" t="s">
        <v>765</v>
      </c>
      <c r="E282">
        <v>20935</v>
      </c>
      <c r="F282" s="4">
        <v>11</v>
      </c>
    </row>
    <row r="283" spans="1:6" x14ac:dyDescent="0.35">
      <c r="A283" t="s">
        <v>463</v>
      </c>
      <c r="B283" s="1">
        <v>45883</v>
      </c>
      <c r="C283" t="s">
        <v>760</v>
      </c>
      <c r="D283" t="s">
        <v>763</v>
      </c>
      <c r="E283">
        <v>7255</v>
      </c>
      <c r="F283" s="4">
        <v>16</v>
      </c>
    </row>
    <row r="284" spans="1:6" x14ac:dyDescent="0.35">
      <c r="A284" t="s">
        <v>516</v>
      </c>
      <c r="B284" s="1">
        <v>45693</v>
      </c>
      <c r="C284" t="s">
        <v>766</v>
      </c>
      <c r="D284" t="s">
        <v>763</v>
      </c>
      <c r="E284">
        <v>20713</v>
      </c>
      <c r="F284" s="4">
        <v>16</v>
      </c>
    </row>
    <row r="285" spans="1:6" x14ac:dyDescent="0.35">
      <c r="A285" t="s">
        <v>28</v>
      </c>
      <c r="B285" s="1">
        <v>45853</v>
      </c>
      <c r="C285" t="s">
        <v>766</v>
      </c>
      <c r="D285" t="s">
        <v>761</v>
      </c>
      <c r="E285">
        <v>15966</v>
      </c>
      <c r="F285" s="4">
        <v>5</v>
      </c>
    </row>
    <row r="286" spans="1:6" x14ac:dyDescent="0.35">
      <c r="A286" t="s">
        <v>329</v>
      </c>
      <c r="B286" s="1">
        <v>45801</v>
      </c>
      <c r="C286" t="s">
        <v>766</v>
      </c>
      <c r="D286" t="s">
        <v>761</v>
      </c>
      <c r="E286">
        <v>12806</v>
      </c>
      <c r="F286" s="4">
        <v>3</v>
      </c>
    </row>
    <row r="287" spans="1:6" x14ac:dyDescent="0.35">
      <c r="A287" t="s">
        <v>567</v>
      </c>
      <c r="B287" s="1">
        <v>45695</v>
      </c>
      <c r="C287" t="s">
        <v>760</v>
      </c>
      <c r="D287" t="s">
        <v>761</v>
      </c>
      <c r="E287">
        <v>23725</v>
      </c>
      <c r="F287" s="4">
        <v>14</v>
      </c>
    </row>
    <row r="288" spans="1:6" x14ac:dyDescent="0.35">
      <c r="A288" t="s">
        <v>34</v>
      </c>
      <c r="B288" s="1">
        <v>45681</v>
      </c>
      <c r="C288" t="s">
        <v>760</v>
      </c>
      <c r="D288" t="s">
        <v>765</v>
      </c>
      <c r="E288">
        <v>3027</v>
      </c>
      <c r="F288" s="4">
        <v>1</v>
      </c>
    </row>
    <row r="289" spans="1:6" x14ac:dyDescent="0.35">
      <c r="A289" t="s">
        <v>779</v>
      </c>
      <c r="B289" s="1">
        <v>45842</v>
      </c>
      <c r="C289" t="s">
        <v>766</v>
      </c>
      <c r="D289" t="s">
        <v>761</v>
      </c>
      <c r="E289">
        <v>4572</v>
      </c>
      <c r="F289" s="4">
        <v>15</v>
      </c>
    </row>
    <row r="290" spans="1:6" x14ac:dyDescent="0.35">
      <c r="A290" t="s">
        <v>432</v>
      </c>
      <c r="B290" s="1">
        <v>45985</v>
      </c>
      <c r="C290" t="s">
        <v>766</v>
      </c>
      <c r="D290" t="s">
        <v>765</v>
      </c>
      <c r="E290">
        <v>20062</v>
      </c>
      <c r="F290" s="4">
        <v>14</v>
      </c>
    </row>
    <row r="291" spans="1:6" x14ac:dyDescent="0.35">
      <c r="A291" t="s">
        <v>784</v>
      </c>
      <c r="B291" s="1">
        <v>45667</v>
      </c>
      <c r="C291" t="s">
        <v>760</v>
      </c>
      <c r="D291" t="s">
        <v>763</v>
      </c>
      <c r="E291">
        <v>19092</v>
      </c>
      <c r="F291" s="4">
        <v>7</v>
      </c>
    </row>
    <row r="292" spans="1:6" x14ac:dyDescent="0.35">
      <c r="A292" t="s">
        <v>169</v>
      </c>
      <c r="B292" s="1">
        <v>45723</v>
      </c>
      <c r="C292" t="s">
        <v>762</v>
      </c>
      <c r="D292" t="s">
        <v>765</v>
      </c>
      <c r="E292">
        <v>13417</v>
      </c>
      <c r="F292" s="4">
        <v>16</v>
      </c>
    </row>
    <row r="293" spans="1:6" x14ac:dyDescent="0.35">
      <c r="A293" t="s">
        <v>786</v>
      </c>
      <c r="B293" s="1">
        <v>45783</v>
      </c>
      <c r="C293" t="s">
        <v>762</v>
      </c>
      <c r="D293" t="s">
        <v>763</v>
      </c>
      <c r="E293">
        <v>24136</v>
      </c>
      <c r="F293" s="4">
        <v>20</v>
      </c>
    </row>
    <row r="294" spans="1:6" x14ac:dyDescent="0.35">
      <c r="A294" t="s">
        <v>777</v>
      </c>
      <c r="B294" s="1">
        <v>46009</v>
      </c>
      <c r="C294" t="s">
        <v>764</v>
      </c>
      <c r="D294" t="s">
        <v>765</v>
      </c>
      <c r="E294">
        <v>19128</v>
      </c>
      <c r="F294" s="4">
        <v>8</v>
      </c>
    </row>
    <row r="295" spans="1:6" x14ac:dyDescent="0.35">
      <c r="A295" t="s">
        <v>343</v>
      </c>
      <c r="B295" s="1">
        <v>45913</v>
      </c>
      <c r="C295" t="s">
        <v>760</v>
      </c>
      <c r="D295" t="s">
        <v>761</v>
      </c>
      <c r="E295">
        <v>4610</v>
      </c>
      <c r="F295" s="4">
        <v>1</v>
      </c>
    </row>
    <row r="296" spans="1:6" x14ac:dyDescent="0.35">
      <c r="A296" t="s">
        <v>783</v>
      </c>
      <c r="B296" s="1">
        <v>45885</v>
      </c>
      <c r="C296" t="s">
        <v>760</v>
      </c>
      <c r="D296" t="s">
        <v>765</v>
      </c>
      <c r="E296">
        <v>17368</v>
      </c>
      <c r="F296" s="4">
        <v>5</v>
      </c>
    </row>
    <row r="297" spans="1:6" x14ac:dyDescent="0.35">
      <c r="A297" t="s">
        <v>71</v>
      </c>
      <c r="B297" s="1">
        <v>45753</v>
      </c>
      <c r="C297" t="s">
        <v>764</v>
      </c>
      <c r="D297" t="s">
        <v>761</v>
      </c>
      <c r="E297">
        <v>22354</v>
      </c>
      <c r="F297" s="4">
        <v>19</v>
      </c>
    </row>
    <row r="298" spans="1:6" x14ac:dyDescent="0.35">
      <c r="A298" t="s">
        <v>102</v>
      </c>
      <c r="B298" s="1">
        <v>45874</v>
      </c>
      <c r="C298" t="s">
        <v>762</v>
      </c>
      <c r="D298" t="s">
        <v>761</v>
      </c>
      <c r="E298">
        <v>17792</v>
      </c>
      <c r="F298" s="4">
        <v>6</v>
      </c>
    </row>
    <row r="299" spans="1:6" x14ac:dyDescent="0.35">
      <c r="A299" t="s">
        <v>242</v>
      </c>
      <c r="B299" s="1">
        <v>45818</v>
      </c>
      <c r="C299" t="s">
        <v>760</v>
      </c>
      <c r="D299" t="s">
        <v>761</v>
      </c>
      <c r="E299">
        <v>10208</v>
      </c>
      <c r="F299" s="4">
        <v>12</v>
      </c>
    </row>
    <row r="300" spans="1:6" x14ac:dyDescent="0.35">
      <c r="A300" t="s">
        <v>207</v>
      </c>
      <c r="B300" s="1">
        <v>45707</v>
      </c>
      <c r="C300" t="s">
        <v>762</v>
      </c>
      <c r="D300" t="s">
        <v>761</v>
      </c>
      <c r="E300">
        <v>9196</v>
      </c>
      <c r="F300" s="4">
        <v>14</v>
      </c>
    </row>
    <row r="301" spans="1:6" x14ac:dyDescent="0.35">
      <c r="A301" t="s">
        <v>441</v>
      </c>
      <c r="B301" s="1">
        <v>45758</v>
      </c>
      <c r="C301" t="s">
        <v>762</v>
      </c>
      <c r="D301" t="s">
        <v>763</v>
      </c>
      <c r="E301">
        <v>12273</v>
      </c>
      <c r="F301" s="4">
        <v>8</v>
      </c>
    </row>
    <row r="302" spans="1:6" x14ac:dyDescent="0.35">
      <c r="A302" t="s">
        <v>625</v>
      </c>
      <c r="B302" s="1">
        <v>45847</v>
      </c>
      <c r="C302" t="s">
        <v>760</v>
      </c>
      <c r="D302" t="s">
        <v>763</v>
      </c>
      <c r="E302">
        <v>23516</v>
      </c>
      <c r="F302" s="4">
        <v>19</v>
      </c>
    </row>
    <row r="303" spans="1:6" x14ac:dyDescent="0.35">
      <c r="A303" t="s">
        <v>286</v>
      </c>
      <c r="B303" s="1">
        <v>45662</v>
      </c>
      <c r="C303" t="s">
        <v>762</v>
      </c>
      <c r="D303" t="s">
        <v>761</v>
      </c>
      <c r="E303">
        <v>13753</v>
      </c>
      <c r="F303" s="4">
        <v>7</v>
      </c>
    </row>
    <row r="304" spans="1:6" x14ac:dyDescent="0.35">
      <c r="A304" t="s">
        <v>777</v>
      </c>
      <c r="B304" s="1">
        <v>45672</v>
      </c>
      <c r="C304" t="s">
        <v>764</v>
      </c>
      <c r="D304" t="s">
        <v>761</v>
      </c>
      <c r="E304">
        <v>15299</v>
      </c>
      <c r="F304" s="4">
        <v>17</v>
      </c>
    </row>
    <row r="305" spans="1:6" x14ac:dyDescent="0.35">
      <c r="A305" t="s">
        <v>359</v>
      </c>
      <c r="B305" s="1">
        <v>45934</v>
      </c>
      <c r="C305" t="s">
        <v>764</v>
      </c>
      <c r="D305" t="s">
        <v>763</v>
      </c>
      <c r="E305">
        <v>17290</v>
      </c>
      <c r="F305" s="4">
        <v>1</v>
      </c>
    </row>
    <row r="306" spans="1:6" x14ac:dyDescent="0.35">
      <c r="A306" t="s">
        <v>349</v>
      </c>
      <c r="B306" s="1">
        <v>45954</v>
      </c>
      <c r="C306" t="s">
        <v>762</v>
      </c>
      <c r="D306" t="s">
        <v>765</v>
      </c>
      <c r="E306">
        <v>24576</v>
      </c>
      <c r="F306" s="4">
        <v>5</v>
      </c>
    </row>
    <row r="307" spans="1:6" x14ac:dyDescent="0.35">
      <c r="A307" t="s">
        <v>523</v>
      </c>
      <c r="B307" s="1">
        <v>45667</v>
      </c>
      <c r="C307" t="s">
        <v>760</v>
      </c>
      <c r="D307" t="s">
        <v>761</v>
      </c>
      <c r="E307">
        <v>18613</v>
      </c>
      <c r="F307" s="4">
        <v>12</v>
      </c>
    </row>
    <row r="308" spans="1:6" x14ac:dyDescent="0.35">
      <c r="A308" t="s">
        <v>544</v>
      </c>
      <c r="B308" s="1">
        <v>45915</v>
      </c>
      <c r="C308" t="s">
        <v>764</v>
      </c>
      <c r="D308" t="s">
        <v>765</v>
      </c>
      <c r="E308">
        <v>15961</v>
      </c>
      <c r="F308" s="4">
        <v>10</v>
      </c>
    </row>
    <row r="309" spans="1:6" x14ac:dyDescent="0.35">
      <c r="A309" t="s">
        <v>272</v>
      </c>
      <c r="B309" s="1">
        <v>45730</v>
      </c>
      <c r="C309" t="s">
        <v>760</v>
      </c>
      <c r="D309" t="s">
        <v>763</v>
      </c>
      <c r="E309">
        <v>18508</v>
      </c>
      <c r="F309" s="4">
        <v>13</v>
      </c>
    </row>
    <row r="310" spans="1:6" x14ac:dyDescent="0.35">
      <c r="A310" t="s">
        <v>673</v>
      </c>
      <c r="B310" s="1">
        <v>45927</v>
      </c>
      <c r="C310" t="s">
        <v>766</v>
      </c>
      <c r="D310" t="s">
        <v>761</v>
      </c>
      <c r="E310">
        <v>17438</v>
      </c>
      <c r="F310" s="4">
        <v>11</v>
      </c>
    </row>
    <row r="311" spans="1:6" x14ac:dyDescent="0.35">
      <c r="A311" t="s">
        <v>773</v>
      </c>
      <c r="B311" s="1">
        <v>45741</v>
      </c>
      <c r="C311" t="s">
        <v>764</v>
      </c>
      <c r="D311" t="s">
        <v>763</v>
      </c>
      <c r="E311">
        <v>4407</v>
      </c>
      <c r="F311" s="4">
        <v>2</v>
      </c>
    </row>
    <row r="312" spans="1:6" x14ac:dyDescent="0.35">
      <c r="A312" t="s">
        <v>65</v>
      </c>
      <c r="B312" s="1">
        <v>45820</v>
      </c>
      <c r="C312" t="s">
        <v>760</v>
      </c>
      <c r="D312" t="s">
        <v>763</v>
      </c>
      <c r="E312">
        <v>4137</v>
      </c>
      <c r="F312" s="4">
        <v>19</v>
      </c>
    </row>
    <row r="313" spans="1:6" x14ac:dyDescent="0.35">
      <c r="A313" t="s">
        <v>317</v>
      </c>
      <c r="B313" s="1">
        <v>45673</v>
      </c>
      <c r="C313" t="s">
        <v>764</v>
      </c>
      <c r="D313" t="s">
        <v>765</v>
      </c>
      <c r="E313">
        <v>17888</v>
      </c>
      <c r="F313" s="4">
        <v>17</v>
      </c>
    </row>
    <row r="314" spans="1:6" x14ac:dyDescent="0.35">
      <c r="A314" t="s">
        <v>138</v>
      </c>
      <c r="B314" s="1">
        <v>45725</v>
      </c>
      <c r="C314" t="s">
        <v>764</v>
      </c>
      <c r="D314" t="s">
        <v>761</v>
      </c>
      <c r="E314">
        <v>8505</v>
      </c>
      <c r="F314" s="4">
        <v>13</v>
      </c>
    </row>
    <row r="315" spans="1:6" x14ac:dyDescent="0.35">
      <c r="A315" t="s">
        <v>43</v>
      </c>
      <c r="B315" s="1">
        <v>45729</v>
      </c>
      <c r="C315" t="s">
        <v>762</v>
      </c>
      <c r="D315" t="s">
        <v>765</v>
      </c>
      <c r="E315">
        <v>12307</v>
      </c>
      <c r="F315" s="4">
        <v>12</v>
      </c>
    </row>
    <row r="316" spans="1:6" x14ac:dyDescent="0.35">
      <c r="A316" t="s">
        <v>779</v>
      </c>
      <c r="B316" s="1">
        <v>45727</v>
      </c>
      <c r="C316" t="s">
        <v>762</v>
      </c>
      <c r="D316" t="s">
        <v>761</v>
      </c>
      <c r="E316">
        <v>18274</v>
      </c>
      <c r="F316" s="4">
        <v>10</v>
      </c>
    </row>
    <row r="317" spans="1:6" x14ac:dyDescent="0.35">
      <c r="A317" t="s">
        <v>776</v>
      </c>
      <c r="B317" s="1">
        <v>45796</v>
      </c>
      <c r="C317" t="s">
        <v>764</v>
      </c>
      <c r="D317" t="s">
        <v>765</v>
      </c>
      <c r="E317">
        <v>23478</v>
      </c>
      <c r="F317" s="4">
        <v>8</v>
      </c>
    </row>
    <row r="318" spans="1:6" x14ac:dyDescent="0.35">
      <c r="A318" t="s">
        <v>768</v>
      </c>
      <c r="B318" s="1">
        <v>45922</v>
      </c>
      <c r="C318" t="s">
        <v>764</v>
      </c>
      <c r="D318" t="s">
        <v>763</v>
      </c>
      <c r="E318">
        <v>24361</v>
      </c>
      <c r="F318" s="4">
        <v>19</v>
      </c>
    </row>
    <row r="319" spans="1:6" x14ac:dyDescent="0.35">
      <c r="A319" t="s">
        <v>105</v>
      </c>
      <c r="B319" s="1">
        <v>45827</v>
      </c>
      <c r="C319" t="s">
        <v>760</v>
      </c>
      <c r="D319" t="s">
        <v>763</v>
      </c>
      <c r="E319">
        <v>7755</v>
      </c>
      <c r="F319" s="4">
        <v>20</v>
      </c>
    </row>
    <row r="320" spans="1:6" x14ac:dyDescent="0.35">
      <c r="A320" t="s">
        <v>119</v>
      </c>
      <c r="B320" s="1">
        <v>45712</v>
      </c>
      <c r="C320" t="s">
        <v>764</v>
      </c>
      <c r="D320" t="s">
        <v>765</v>
      </c>
      <c r="E320">
        <v>2070</v>
      </c>
      <c r="F320" s="4">
        <v>14</v>
      </c>
    </row>
    <row r="321" spans="1:6" x14ac:dyDescent="0.35">
      <c r="A321" t="s">
        <v>775</v>
      </c>
      <c r="B321" s="1">
        <v>45933</v>
      </c>
      <c r="C321" t="s">
        <v>762</v>
      </c>
      <c r="D321" t="s">
        <v>763</v>
      </c>
      <c r="E321">
        <v>24775</v>
      </c>
      <c r="F321" s="4">
        <v>6</v>
      </c>
    </row>
    <row r="322" spans="1:6" x14ac:dyDescent="0.35">
      <c r="A322" t="s">
        <v>584</v>
      </c>
      <c r="B322" s="1">
        <v>45892</v>
      </c>
      <c r="C322" t="s">
        <v>760</v>
      </c>
      <c r="D322" t="s">
        <v>761</v>
      </c>
      <c r="E322">
        <v>13957</v>
      </c>
      <c r="F322" s="4">
        <v>8</v>
      </c>
    </row>
    <row r="323" spans="1:6" x14ac:dyDescent="0.35">
      <c r="A323" t="s">
        <v>365</v>
      </c>
      <c r="B323" s="1">
        <v>45810</v>
      </c>
      <c r="C323" t="s">
        <v>762</v>
      </c>
      <c r="D323" t="s">
        <v>763</v>
      </c>
      <c r="E323">
        <v>21639</v>
      </c>
      <c r="F323" s="4">
        <v>11</v>
      </c>
    </row>
    <row r="324" spans="1:6" x14ac:dyDescent="0.35">
      <c r="A324" t="s">
        <v>195</v>
      </c>
      <c r="B324" s="1">
        <v>45757</v>
      </c>
      <c r="C324" t="s">
        <v>766</v>
      </c>
      <c r="D324" t="s">
        <v>765</v>
      </c>
      <c r="E324">
        <v>18565</v>
      </c>
      <c r="F324" s="4">
        <v>20</v>
      </c>
    </row>
    <row r="325" spans="1:6" x14ac:dyDescent="0.35">
      <c r="A325" t="s">
        <v>160</v>
      </c>
      <c r="B325" s="1">
        <v>45843</v>
      </c>
      <c r="C325" t="s">
        <v>766</v>
      </c>
      <c r="D325" t="s">
        <v>763</v>
      </c>
      <c r="E325">
        <v>15643</v>
      </c>
      <c r="F325" s="4">
        <v>4</v>
      </c>
    </row>
    <row r="326" spans="1:6" x14ac:dyDescent="0.35">
      <c r="A326" t="s">
        <v>617</v>
      </c>
      <c r="B326" s="1">
        <v>45763</v>
      </c>
      <c r="C326" t="s">
        <v>764</v>
      </c>
      <c r="D326" t="s">
        <v>761</v>
      </c>
      <c r="E326">
        <v>5525</v>
      </c>
      <c r="F326" s="4">
        <v>10</v>
      </c>
    </row>
    <row r="327" spans="1:6" x14ac:dyDescent="0.35">
      <c r="A327" t="s">
        <v>119</v>
      </c>
      <c r="B327" s="1">
        <v>45989</v>
      </c>
      <c r="C327" t="s">
        <v>764</v>
      </c>
      <c r="D327" t="s">
        <v>761</v>
      </c>
      <c r="E327">
        <v>7815</v>
      </c>
      <c r="F327" s="4">
        <v>14</v>
      </c>
    </row>
    <row r="328" spans="1:6" x14ac:dyDescent="0.35">
      <c r="A328" t="s">
        <v>617</v>
      </c>
      <c r="B328" s="1">
        <v>45735</v>
      </c>
      <c r="C328" t="s">
        <v>760</v>
      </c>
      <c r="D328" t="s">
        <v>761</v>
      </c>
      <c r="E328">
        <v>23516</v>
      </c>
      <c r="F328" s="4">
        <v>13</v>
      </c>
    </row>
    <row r="329" spans="1:6" x14ac:dyDescent="0.35">
      <c r="A329" t="s">
        <v>236</v>
      </c>
      <c r="B329" s="1">
        <v>45878</v>
      </c>
      <c r="C329" t="s">
        <v>766</v>
      </c>
      <c r="D329" t="s">
        <v>761</v>
      </c>
      <c r="E329">
        <v>7090</v>
      </c>
      <c r="F329" s="4">
        <v>5</v>
      </c>
    </row>
    <row r="330" spans="1:6" x14ac:dyDescent="0.35">
      <c r="A330" t="s">
        <v>166</v>
      </c>
      <c r="B330" s="1">
        <v>45762</v>
      </c>
      <c r="C330" t="s">
        <v>766</v>
      </c>
      <c r="D330" t="s">
        <v>761</v>
      </c>
      <c r="E330">
        <v>14541</v>
      </c>
      <c r="F330" s="4">
        <v>2</v>
      </c>
    </row>
    <row r="331" spans="1:6" x14ac:dyDescent="0.35">
      <c r="A331" t="s">
        <v>51</v>
      </c>
      <c r="B331" s="1">
        <v>45724</v>
      </c>
      <c r="C331" t="s">
        <v>766</v>
      </c>
      <c r="D331" t="s">
        <v>765</v>
      </c>
      <c r="E331">
        <v>14320</v>
      </c>
      <c r="F331" s="4">
        <v>16</v>
      </c>
    </row>
    <row r="332" spans="1:6" x14ac:dyDescent="0.35">
      <c r="A332" t="s">
        <v>560</v>
      </c>
      <c r="B332" s="1">
        <v>45954</v>
      </c>
      <c r="C332" t="s">
        <v>760</v>
      </c>
      <c r="D332" t="s">
        <v>763</v>
      </c>
      <c r="E332">
        <v>19699</v>
      </c>
      <c r="F332" s="4">
        <v>13</v>
      </c>
    </row>
    <row r="333" spans="1:6" x14ac:dyDescent="0.35">
      <c r="A333" t="s">
        <v>57</v>
      </c>
      <c r="B333" s="1">
        <v>45938</v>
      </c>
      <c r="C333" t="s">
        <v>760</v>
      </c>
      <c r="D333" t="s">
        <v>761</v>
      </c>
      <c r="E333">
        <v>16887</v>
      </c>
      <c r="F333" s="4">
        <v>8</v>
      </c>
    </row>
    <row r="334" spans="1:6" x14ac:dyDescent="0.35">
      <c r="A334" t="s">
        <v>409</v>
      </c>
      <c r="B334" s="1">
        <v>45841</v>
      </c>
      <c r="C334" t="s">
        <v>762</v>
      </c>
      <c r="D334" t="s">
        <v>765</v>
      </c>
      <c r="E334">
        <v>24432</v>
      </c>
      <c r="F334" s="4">
        <v>1</v>
      </c>
    </row>
    <row r="335" spans="1:6" x14ac:dyDescent="0.35">
      <c r="A335" t="s">
        <v>213</v>
      </c>
      <c r="B335" s="1">
        <v>45983</v>
      </c>
      <c r="C335" t="s">
        <v>764</v>
      </c>
      <c r="D335" t="s">
        <v>763</v>
      </c>
      <c r="E335">
        <v>4076</v>
      </c>
      <c r="F335" s="4">
        <v>6</v>
      </c>
    </row>
    <row r="336" spans="1:6" x14ac:dyDescent="0.35">
      <c r="A336" t="s">
        <v>34</v>
      </c>
      <c r="B336" s="1">
        <v>45973</v>
      </c>
      <c r="C336" t="s">
        <v>762</v>
      </c>
      <c r="D336" t="s">
        <v>765</v>
      </c>
      <c r="E336">
        <v>23159</v>
      </c>
      <c r="F336" s="4">
        <v>16</v>
      </c>
    </row>
    <row r="337" spans="1:6" x14ac:dyDescent="0.35">
      <c r="A337" t="s">
        <v>317</v>
      </c>
      <c r="B337" s="1">
        <v>45826</v>
      </c>
      <c r="C337" t="s">
        <v>766</v>
      </c>
      <c r="D337" t="s">
        <v>765</v>
      </c>
      <c r="E337">
        <v>12910</v>
      </c>
      <c r="F337" s="4">
        <v>12</v>
      </c>
    </row>
    <row r="338" spans="1:6" x14ac:dyDescent="0.35">
      <c r="A338" t="s">
        <v>227</v>
      </c>
      <c r="B338" s="1">
        <v>45989</v>
      </c>
      <c r="C338" t="s">
        <v>764</v>
      </c>
      <c r="D338" t="s">
        <v>761</v>
      </c>
      <c r="E338">
        <v>20709</v>
      </c>
      <c r="F338" s="4">
        <v>10</v>
      </c>
    </row>
    <row r="339" spans="1:6" x14ac:dyDescent="0.35">
      <c r="A339" t="s">
        <v>227</v>
      </c>
      <c r="B339" s="1">
        <v>45933</v>
      </c>
      <c r="C339" t="s">
        <v>762</v>
      </c>
      <c r="D339" t="s">
        <v>763</v>
      </c>
      <c r="E339">
        <v>10208</v>
      </c>
      <c r="F339" s="4">
        <v>8</v>
      </c>
    </row>
    <row r="340" spans="1:6" x14ac:dyDescent="0.35">
      <c r="A340" t="s">
        <v>286</v>
      </c>
      <c r="B340" s="1">
        <v>45995</v>
      </c>
      <c r="C340" t="s">
        <v>762</v>
      </c>
      <c r="D340" t="s">
        <v>763</v>
      </c>
      <c r="E340">
        <v>21844</v>
      </c>
      <c r="F340" s="4">
        <v>2</v>
      </c>
    </row>
    <row r="341" spans="1:6" x14ac:dyDescent="0.35">
      <c r="A341" t="s">
        <v>201</v>
      </c>
      <c r="B341" s="1">
        <v>45877</v>
      </c>
      <c r="C341" t="s">
        <v>764</v>
      </c>
      <c r="D341" t="s">
        <v>763</v>
      </c>
      <c r="E341">
        <v>14187</v>
      </c>
      <c r="F341" s="4">
        <v>1</v>
      </c>
    </row>
    <row r="342" spans="1:6" x14ac:dyDescent="0.35">
      <c r="A342" t="s">
        <v>18</v>
      </c>
      <c r="B342" s="1">
        <v>45770</v>
      </c>
      <c r="C342" t="s">
        <v>766</v>
      </c>
      <c r="D342" t="s">
        <v>765</v>
      </c>
      <c r="E342">
        <v>12747</v>
      </c>
      <c r="F342" s="4">
        <v>10</v>
      </c>
    </row>
    <row r="343" spans="1:6" x14ac:dyDescent="0.35">
      <c r="A343" t="s">
        <v>204</v>
      </c>
      <c r="B343" s="1">
        <v>45683</v>
      </c>
      <c r="C343" t="s">
        <v>760</v>
      </c>
      <c r="D343" t="s">
        <v>761</v>
      </c>
      <c r="E343">
        <v>21293</v>
      </c>
      <c r="F343" s="4">
        <v>5</v>
      </c>
    </row>
    <row r="344" spans="1:6" x14ac:dyDescent="0.35">
      <c r="A344" t="s">
        <v>786</v>
      </c>
      <c r="B344" s="1">
        <v>46012</v>
      </c>
      <c r="C344" t="s">
        <v>762</v>
      </c>
      <c r="D344" t="s">
        <v>765</v>
      </c>
      <c r="E344">
        <v>20372</v>
      </c>
      <c r="F344" s="4">
        <v>10</v>
      </c>
    </row>
    <row r="345" spans="1:6" x14ac:dyDescent="0.35">
      <c r="A345" t="s">
        <v>303</v>
      </c>
      <c r="B345" s="1">
        <v>45734</v>
      </c>
      <c r="C345" t="s">
        <v>766</v>
      </c>
      <c r="D345" t="s">
        <v>761</v>
      </c>
      <c r="E345">
        <v>4144</v>
      </c>
      <c r="F345" s="4">
        <v>3</v>
      </c>
    </row>
    <row r="346" spans="1:6" x14ac:dyDescent="0.35">
      <c r="A346" t="s">
        <v>62</v>
      </c>
      <c r="B346" s="1">
        <v>45791</v>
      </c>
      <c r="C346" t="s">
        <v>764</v>
      </c>
      <c r="D346" t="s">
        <v>761</v>
      </c>
      <c r="E346">
        <v>8614</v>
      </c>
      <c r="F346" s="4">
        <v>14</v>
      </c>
    </row>
    <row r="347" spans="1:6" x14ac:dyDescent="0.35">
      <c r="A347" t="s">
        <v>523</v>
      </c>
      <c r="B347" s="1">
        <v>45663</v>
      </c>
      <c r="C347" t="s">
        <v>764</v>
      </c>
      <c r="D347" t="s">
        <v>763</v>
      </c>
      <c r="E347">
        <v>5726</v>
      </c>
      <c r="F347" s="4">
        <v>11</v>
      </c>
    </row>
    <row r="348" spans="1:6" x14ac:dyDescent="0.35">
      <c r="A348" t="s">
        <v>257</v>
      </c>
      <c r="B348" s="1">
        <v>45764</v>
      </c>
      <c r="C348" t="s">
        <v>766</v>
      </c>
      <c r="D348" t="s">
        <v>763</v>
      </c>
      <c r="E348">
        <v>3349</v>
      </c>
      <c r="F348" s="4">
        <v>17</v>
      </c>
    </row>
    <row r="349" spans="1:6" x14ac:dyDescent="0.35">
      <c r="A349" t="s">
        <v>734</v>
      </c>
      <c r="B349" s="1">
        <v>45955</v>
      </c>
      <c r="C349" t="s">
        <v>764</v>
      </c>
      <c r="D349" t="s">
        <v>763</v>
      </c>
      <c r="E349">
        <v>11462</v>
      </c>
      <c r="F349" s="4">
        <v>9</v>
      </c>
    </row>
    <row r="350" spans="1:6" x14ac:dyDescent="0.35">
      <c r="A350" t="s">
        <v>28</v>
      </c>
      <c r="B350" s="1">
        <v>45831</v>
      </c>
      <c r="C350" t="s">
        <v>762</v>
      </c>
      <c r="D350" t="s">
        <v>765</v>
      </c>
      <c r="E350">
        <v>16484</v>
      </c>
      <c r="F350" s="4">
        <v>14</v>
      </c>
    </row>
    <row r="351" spans="1:6" x14ac:dyDescent="0.35">
      <c r="A351" t="s">
        <v>346</v>
      </c>
      <c r="B351" s="1">
        <v>45666</v>
      </c>
      <c r="C351" t="s">
        <v>760</v>
      </c>
      <c r="D351" t="s">
        <v>765</v>
      </c>
      <c r="E351">
        <v>3561</v>
      </c>
      <c r="F351" s="4">
        <v>10</v>
      </c>
    </row>
    <row r="352" spans="1:6" x14ac:dyDescent="0.35">
      <c r="A352" t="s">
        <v>359</v>
      </c>
      <c r="B352" s="1">
        <v>45772</v>
      </c>
      <c r="C352" t="s">
        <v>760</v>
      </c>
      <c r="D352" t="s">
        <v>761</v>
      </c>
      <c r="E352">
        <v>14105</v>
      </c>
      <c r="F352" s="4">
        <v>20</v>
      </c>
    </row>
    <row r="353" spans="1:6" x14ac:dyDescent="0.35">
      <c r="A353" t="s">
        <v>113</v>
      </c>
      <c r="B353" s="1">
        <v>45919</v>
      </c>
      <c r="C353" t="s">
        <v>766</v>
      </c>
      <c r="D353" t="s">
        <v>761</v>
      </c>
      <c r="E353">
        <v>23053</v>
      </c>
      <c r="F353" s="4">
        <v>19</v>
      </c>
    </row>
    <row r="354" spans="1:6" x14ac:dyDescent="0.35">
      <c r="A354" t="s">
        <v>584</v>
      </c>
      <c r="B354" s="1">
        <v>45791</v>
      </c>
      <c r="C354" t="s">
        <v>766</v>
      </c>
      <c r="D354" t="s">
        <v>763</v>
      </c>
      <c r="E354">
        <v>7343</v>
      </c>
      <c r="F354" s="4">
        <v>4</v>
      </c>
    </row>
    <row r="355" spans="1:6" x14ac:dyDescent="0.35">
      <c r="A355" t="s">
        <v>788</v>
      </c>
      <c r="B355" s="1">
        <v>45720</v>
      </c>
      <c r="C355" t="s">
        <v>764</v>
      </c>
      <c r="D355" t="s">
        <v>763</v>
      </c>
      <c r="E355">
        <v>3569</v>
      </c>
      <c r="F355" s="4">
        <v>8</v>
      </c>
    </row>
    <row r="356" spans="1:6" x14ac:dyDescent="0.35">
      <c r="A356" t="s">
        <v>673</v>
      </c>
      <c r="B356" s="1">
        <v>45680</v>
      </c>
      <c r="C356" t="s">
        <v>762</v>
      </c>
      <c r="D356" t="s">
        <v>763</v>
      </c>
      <c r="E356">
        <v>8191</v>
      </c>
      <c r="F356" s="4">
        <v>20</v>
      </c>
    </row>
    <row r="357" spans="1:6" x14ac:dyDescent="0.35">
      <c r="A357" t="s">
        <v>772</v>
      </c>
      <c r="B357" s="1">
        <v>45800</v>
      </c>
      <c r="C357" t="s">
        <v>766</v>
      </c>
      <c r="D357" t="s">
        <v>761</v>
      </c>
      <c r="E357">
        <v>21898</v>
      </c>
      <c r="F357" s="4">
        <v>13</v>
      </c>
    </row>
    <row r="358" spans="1:6" x14ac:dyDescent="0.35">
      <c r="A358" t="s">
        <v>489</v>
      </c>
      <c r="B358" s="1">
        <v>45978</v>
      </c>
      <c r="C358" t="s">
        <v>760</v>
      </c>
      <c r="D358" t="s">
        <v>763</v>
      </c>
      <c r="E358">
        <v>19145</v>
      </c>
      <c r="F358" s="4">
        <v>2</v>
      </c>
    </row>
    <row r="359" spans="1:6" x14ac:dyDescent="0.35">
      <c r="A359" t="s">
        <v>119</v>
      </c>
      <c r="B359" s="1">
        <v>46011</v>
      </c>
      <c r="C359" t="s">
        <v>760</v>
      </c>
      <c r="D359" t="s">
        <v>765</v>
      </c>
      <c r="E359">
        <v>21312</v>
      </c>
      <c r="F359" s="4">
        <v>12</v>
      </c>
    </row>
    <row r="360" spans="1:6" x14ac:dyDescent="0.35">
      <c r="A360" t="s">
        <v>570</v>
      </c>
      <c r="B360" s="1">
        <v>45666</v>
      </c>
      <c r="C360" t="s">
        <v>762</v>
      </c>
      <c r="D360" t="s">
        <v>761</v>
      </c>
      <c r="E360">
        <v>6291</v>
      </c>
      <c r="F360" s="4">
        <v>20</v>
      </c>
    </row>
    <row r="361" spans="1:6" x14ac:dyDescent="0.35">
      <c r="A361" t="s">
        <v>135</v>
      </c>
      <c r="B361" s="1">
        <v>45850</v>
      </c>
      <c r="C361" t="s">
        <v>760</v>
      </c>
      <c r="D361" t="s">
        <v>761</v>
      </c>
      <c r="E361">
        <v>20940</v>
      </c>
      <c r="F361" s="4">
        <v>15</v>
      </c>
    </row>
    <row r="362" spans="1:6" x14ac:dyDescent="0.35">
      <c r="A362" t="s">
        <v>322</v>
      </c>
      <c r="B362" s="1">
        <v>45993</v>
      </c>
      <c r="C362" t="s">
        <v>764</v>
      </c>
      <c r="D362" t="s">
        <v>765</v>
      </c>
      <c r="E362">
        <v>7446</v>
      </c>
      <c r="F362" s="4">
        <v>3</v>
      </c>
    </row>
    <row r="363" spans="1:6" x14ac:dyDescent="0.35">
      <c r="A363" t="s">
        <v>784</v>
      </c>
      <c r="B363" s="1">
        <v>45841</v>
      </c>
      <c r="C363" t="s">
        <v>762</v>
      </c>
      <c r="D363" t="s">
        <v>763</v>
      </c>
      <c r="E363">
        <v>18850</v>
      </c>
      <c r="F363" s="4">
        <v>6</v>
      </c>
    </row>
    <row r="364" spans="1:6" x14ac:dyDescent="0.35">
      <c r="A364" t="s">
        <v>456</v>
      </c>
      <c r="B364" s="1">
        <v>45799</v>
      </c>
      <c r="C364" t="s">
        <v>764</v>
      </c>
      <c r="D364" t="s">
        <v>765</v>
      </c>
      <c r="E364">
        <v>16687</v>
      </c>
      <c r="F364" s="4">
        <v>19</v>
      </c>
    </row>
    <row r="365" spans="1:6" x14ac:dyDescent="0.35">
      <c r="A365" t="s">
        <v>471</v>
      </c>
      <c r="B365" s="1">
        <v>45707</v>
      </c>
      <c r="C365" t="s">
        <v>762</v>
      </c>
      <c r="D365" t="s">
        <v>763</v>
      </c>
      <c r="E365">
        <v>6535</v>
      </c>
      <c r="F365" s="4">
        <v>7</v>
      </c>
    </row>
    <row r="366" spans="1:6" x14ac:dyDescent="0.35">
      <c r="A366" t="s">
        <v>523</v>
      </c>
      <c r="B366" s="1">
        <v>46017</v>
      </c>
      <c r="C366" t="s">
        <v>762</v>
      </c>
      <c r="D366" t="s">
        <v>765</v>
      </c>
      <c r="E366">
        <v>2783</v>
      </c>
      <c r="F366" s="4">
        <v>15</v>
      </c>
    </row>
    <row r="367" spans="1:6" x14ac:dyDescent="0.35">
      <c r="A367" t="s">
        <v>783</v>
      </c>
      <c r="B367" s="1">
        <v>45948</v>
      </c>
      <c r="C367" t="s">
        <v>764</v>
      </c>
      <c r="D367" t="s">
        <v>763</v>
      </c>
      <c r="E367">
        <v>2101</v>
      </c>
      <c r="F367" s="4">
        <v>4</v>
      </c>
    </row>
    <row r="368" spans="1:6" x14ac:dyDescent="0.35">
      <c r="A368" t="s">
        <v>322</v>
      </c>
      <c r="B368" s="1">
        <v>45799</v>
      </c>
      <c r="C368" t="s">
        <v>762</v>
      </c>
      <c r="D368" t="s">
        <v>761</v>
      </c>
      <c r="E368">
        <v>21268</v>
      </c>
      <c r="F368" s="4">
        <v>9</v>
      </c>
    </row>
    <row r="369" spans="1:6" x14ac:dyDescent="0.35">
      <c r="A369" t="s">
        <v>169</v>
      </c>
      <c r="B369" s="1">
        <v>45973</v>
      </c>
      <c r="C369" t="s">
        <v>766</v>
      </c>
      <c r="D369" t="s">
        <v>765</v>
      </c>
      <c r="E369">
        <v>19321</v>
      </c>
      <c r="F369" s="4">
        <v>16</v>
      </c>
    </row>
    <row r="370" spans="1:6" x14ac:dyDescent="0.35">
      <c r="A370" t="s">
        <v>789</v>
      </c>
      <c r="B370" s="1">
        <v>45672</v>
      </c>
      <c r="C370" t="s">
        <v>760</v>
      </c>
      <c r="D370" t="s">
        <v>763</v>
      </c>
      <c r="E370">
        <v>14777</v>
      </c>
      <c r="F370" s="4">
        <v>2</v>
      </c>
    </row>
    <row r="371" spans="1:6" x14ac:dyDescent="0.35">
      <c r="A371" t="s">
        <v>22</v>
      </c>
      <c r="B371" s="1">
        <v>45791</v>
      </c>
      <c r="C371" t="s">
        <v>764</v>
      </c>
      <c r="D371" t="s">
        <v>765</v>
      </c>
      <c r="E371">
        <v>24083</v>
      </c>
      <c r="F371" s="4">
        <v>6</v>
      </c>
    </row>
    <row r="372" spans="1:6" x14ac:dyDescent="0.35">
      <c r="A372" t="s">
        <v>166</v>
      </c>
      <c r="B372" s="1">
        <v>45981</v>
      </c>
      <c r="C372" t="s">
        <v>766</v>
      </c>
      <c r="D372" t="s">
        <v>763</v>
      </c>
      <c r="E372">
        <v>7515</v>
      </c>
      <c r="F372" s="4">
        <v>16</v>
      </c>
    </row>
    <row r="373" spans="1:6" x14ac:dyDescent="0.35">
      <c r="A373" t="s">
        <v>125</v>
      </c>
      <c r="B373" s="1">
        <v>45714</v>
      </c>
      <c r="C373" t="s">
        <v>764</v>
      </c>
      <c r="D373" t="s">
        <v>765</v>
      </c>
      <c r="E373">
        <v>14817</v>
      </c>
      <c r="F373" s="4">
        <v>9</v>
      </c>
    </row>
    <row r="374" spans="1:6" x14ac:dyDescent="0.35">
      <c r="A374" t="s">
        <v>349</v>
      </c>
      <c r="B374" s="1">
        <v>45700</v>
      </c>
      <c r="C374" t="s">
        <v>764</v>
      </c>
      <c r="D374" t="s">
        <v>765</v>
      </c>
      <c r="E374">
        <v>2638</v>
      </c>
      <c r="F374" s="4">
        <v>2</v>
      </c>
    </row>
    <row r="375" spans="1:6" x14ac:dyDescent="0.35">
      <c r="A375" t="s">
        <v>471</v>
      </c>
      <c r="B375" s="1">
        <v>45734</v>
      </c>
      <c r="C375" t="s">
        <v>760</v>
      </c>
      <c r="D375" t="s">
        <v>761</v>
      </c>
      <c r="E375">
        <v>5924</v>
      </c>
      <c r="F375" s="4">
        <v>11</v>
      </c>
    </row>
    <row r="376" spans="1:6" x14ac:dyDescent="0.35">
      <c r="A376" t="s">
        <v>138</v>
      </c>
      <c r="B376" s="1">
        <v>45812</v>
      </c>
      <c r="C376" t="s">
        <v>766</v>
      </c>
      <c r="D376" t="s">
        <v>761</v>
      </c>
      <c r="E376">
        <v>11757</v>
      </c>
      <c r="F376" s="4">
        <v>12</v>
      </c>
    </row>
    <row r="377" spans="1:6" x14ac:dyDescent="0.35">
      <c r="A377" t="s">
        <v>329</v>
      </c>
      <c r="B377" s="1">
        <v>45972</v>
      </c>
      <c r="C377" t="s">
        <v>762</v>
      </c>
      <c r="D377" t="s">
        <v>765</v>
      </c>
      <c r="E377">
        <v>7704</v>
      </c>
      <c r="F377" s="4">
        <v>10</v>
      </c>
    </row>
    <row r="378" spans="1:6" x14ac:dyDescent="0.35">
      <c r="A378" t="s">
        <v>336</v>
      </c>
      <c r="B378" s="1">
        <v>45966</v>
      </c>
      <c r="C378" t="s">
        <v>762</v>
      </c>
      <c r="D378" t="s">
        <v>765</v>
      </c>
      <c r="E378">
        <v>8662</v>
      </c>
      <c r="F378" s="4">
        <v>18</v>
      </c>
    </row>
    <row r="379" spans="1:6" x14ac:dyDescent="0.35">
      <c r="A379" t="s">
        <v>516</v>
      </c>
      <c r="B379" s="1">
        <v>45666</v>
      </c>
      <c r="C379" t="s">
        <v>760</v>
      </c>
      <c r="D379" t="s">
        <v>765</v>
      </c>
      <c r="E379">
        <v>4954</v>
      </c>
      <c r="F379" s="4">
        <v>3</v>
      </c>
    </row>
    <row r="380" spans="1:6" x14ac:dyDescent="0.35">
      <c r="A380" t="s">
        <v>489</v>
      </c>
      <c r="B380" s="1">
        <v>45853</v>
      </c>
      <c r="C380" t="s">
        <v>764</v>
      </c>
      <c r="D380" t="s">
        <v>765</v>
      </c>
      <c r="E380">
        <v>20867</v>
      </c>
      <c r="F380" s="4">
        <v>17</v>
      </c>
    </row>
    <row r="381" spans="1:6" x14ac:dyDescent="0.35">
      <c r="A381" t="s">
        <v>528</v>
      </c>
      <c r="B381" s="1">
        <v>46004</v>
      </c>
      <c r="C381" t="s">
        <v>764</v>
      </c>
      <c r="D381" t="s">
        <v>763</v>
      </c>
      <c r="E381">
        <v>11456</v>
      </c>
      <c r="F381" s="4">
        <v>14</v>
      </c>
    </row>
    <row r="382" spans="1:6" x14ac:dyDescent="0.35">
      <c r="A382" t="s">
        <v>28</v>
      </c>
      <c r="B382" s="1">
        <v>45981</v>
      </c>
      <c r="C382" t="s">
        <v>762</v>
      </c>
      <c r="D382" t="s">
        <v>765</v>
      </c>
      <c r="E382">
        <v>8916</v>
      </c>
      <c r="F382" s="4">
        <v>14</v>
      </c>
    </row>
    <row r="383" spans="1:6" x14ac:dyDescent="0.35">
      <c r="A383" t="s">
        <v>346</v>
      </c>
      <c r="B383" s="1">
        <v>45748</v>
      </c>
      <c r="C383" t="s">
        <v>764</v>
      </c>
      <c r="D383" t="s">
        <v>765</v>
      </c>
      <c r="E383">
        <v>11662</v>
      </c>
      <c r="F383" s="4">
        <v>11</v>
      </c>
    </row>
    <row r="384" spans="1:6" x14ac:dyDescent="0.35">
      <c r="A384" t="s">
        <v>362</v>
      </c>
      <c r="B384" s="1">
        <v>45812</v>
      </c>
      <c r="C384" t="s">
        <v>762</v>
      </c>
      <c r="D384" t="s">
        <v>761</v>
      </c>
      <c r="E384">
        <v>12935</v>
      </c>
      <c r="F384" s="4">
        <v>6</v>
      </c>
    </row>
    <row r="385" spans="1:6" x14ac:dyDescent="0.35">
      <c r="A385" t="s">
        <v>65</v>
      </c>
      <c r="B385" s="1">
        <v>45672</v>
      </c>
      <c r="C385" t="s">
        <v>760</v>
      </c>
      <c r="D385" t="s">
        <v>761</v>
      </c>
      <c r="E385">
        <v>3625</v>
      </c>
      <c r="F385" s="4">
        <v>8</v>
      </c>
    </row>
    <row r="386" spans="1:6" x14ac:dyDescent="0.35">
      <c r="A386" t="s">
        <v>343</v>
      </c>
      <c r="B386" s="1">
        <v>45924</v>
      </c>
      <c r="C386" t="s">
        <v>766</v>
      </c>
      <c r="D386" t="s">
        <v>765</v>
      </c>
      <c r="E386">
        <v>13296</v>
      </c>
      <c r="F386" s="4">
        <v>19</v>
      </c>
    </row>
    <row r="387" spans="1:6" x14ac:dyDescent="0.35">
      <c r="A387" t="s">
        <v>65</v>
      </c>
      <c r="B387" s="1">
        <v>45666</v>
      </c>
      <c r="C387" t="s">
        <v>760</v>
      </c>
      <c r="D387" t="s">
        <v>765</v>
      </c>
      <c r="E387">
        <v>12319</v>
      </c>
      <c r="F387" s="4">
        <v>14</v>
      </c>
    </row>
    <row r="388" spans="1:6" x14ac:dyDescent="0.35">
      <c r="A388" t="s">
        <v>281</v>
      </c>
      <c r="B388" s="1">
        <v>45816</v>
      </c>
      <c r="C388" t="s">
        <v>762</v>
      </c>
      <c r="D388" t="s">
        <v>761</v>
      </c>
      <c r="E388">
        <v>22948</v>
      </c>
      <c r="F388" s="4">
        <v>14</v>
      </c>
    </row>
    <row r="389" spans="1:6" x14ac:dyDescent="0.35">
      <c r="A389" t="s">
        <v>105</v>
      </c>
      <c r="B389" s="1">
        <v>45802</v>
      </c>
      <c r="C389" t="s">
        <v>766</v>
      </c>
      <c r="D389" t="s">
        <v>761</v>
      </c>
      <c r="E389">
        <v>20012</v>
      </c>
      <c r="F389" s="4">
        <v>14</v>
      </c>
    </row>
    <row r="390" spans="1:6" x14ac:dyDescent="0.35">
      <c r="A390" t="s">
        <v>177</v>
      </c>
      <c r="B390" s="1">
        <v>45875</v>
      </c>
      <c r="C390" t="s">
        <v>766</v>
      </c>
      <c r="D390" t="s">
        <v>761</v>
      </c>
      <c r="E390">
        <v>20798</v>
      </c>
      <c r="F390" s="4">
        <v>7</v>
      </c>
    </row>
    <row r="391" spans="1:6" x14ac:dyDescent="0.35">
      <c r="A391" t="s">
        <v>157</v>
      </c>
      <c r="B391" s="1">
        <v>45818</v>
      </c>
      <c r="C391" t="s">
        <v>762</v>
      </c>
      <c r="D391" t="s">
        <v>761</v>
      </c>
      <c r="E391">
        <v>13842</v>
      </c>
      <c r="F391" s="4">
        <v>20</v>
      </c>
    </row>
    <row r="392" spans="1:6" x14ac:dyDescent="0.35">
      <c r="A392" t="s">
        <v>152</v>
      </c>
      <c r="B392" s="1">
        <v>45701</v>
      </c>
      <c r="C392" t="s">
        <v>766</v>
      </c>
      <c r="D392" t="s">
        <v>765</v>
      </c>
      <c r="E392">
        <v>3367</v>
      </c>
      <c r="F392" s="4">
        <v>19</v>
      </c>
    </row>
    <row r="393" spans="1:6" x14ac:dyDescent="0.35">
      <c r="A393" t="s">
        <v>174</v>
      </c>
      <c r="B393" s="1">
        <v>46015</v>
      </c>
      <c r="C393" t="s">
        <v>764</v>
      </c>
      <c r="D393" t="s">
        <v>763</v>
      </c>
      <c r="E393">
        <v>3646</v>
      </c>
      <c r="F393" s="4">
        <v>8</v>
      </c>
    </row>
    <row r="394" spans="1:6" x14ac:dyDescent="0.35">
      <c r="A394" t="s">
        <v>152</v>
      </c>
      <c r="B394" s="1">
        <v>45793</v>
      </c>
      <c r="C394" t="s">
        <v>760</v>
      </c>
      <c r="D394" t="s">
        <v>763</v>
      </c>
      <c r="E394">
        <v>6190</v>
      </c>
      <c r="F394" s="4">
        <v>1</v>
      </c>
    </row>
    <row r="395" spans="1:6" x14ac:dyDescent="0.35">
      <c r="A395" t="s">
        <v>119</v>
      </c>
      <c r="B395" s="1">
        <v>45733</v>
      </c>
      <c r="C395" t="s">
        <v>762</v>
      </c>
      <c r="D395" t="s">
        <v>761</v>
      </c>
      <c r="E395">
        <v>11410</v>
      </c>
      <c r="F395" s="4">
        <v>7</v>
      </c>
    </row>
    <row r="396" spans="1:6" x14ac:dyDescent="0.35">
      <c r="A396" t="s">
        <v>441</v>
      </c>
      <c r="B396" s="1">
        <v>45774</v>
      </c>
      <c r="C396" t="s">
        <v>760</v>
      </c>
      <c r="D396" t="s">
        <v>763</v>
      </c>
      <c r="E396">
        <v>17509</v>
      </c>
      <c r="F396" s="4">
        <v>16</v>
      </c>
    </row>
    <row r="397" spans="1:6" x14ac:dyDescent="0.35">
      <c r="A397" t="s">
        <v>412</v>
      </c>
      <c r="B397" s="1">
        <v>45717</v>
      </c>
      <c r="C397" t="s">
        <v>760</v>
      </c>
      <c r="D397" t="s">
        <v>765</v>
      </c>
      <c r="E397">
        <v>19574</v>
      </c>
      <c r="F397" s="4">
        <v>5</v>
      </c>
    </row>
    <row r="398" spans="1:6" x14ac:dyDescent="0.35">
      <c r="A398" t="s">
        <v>400</v>
      </c>
      <c r="B398" s="1">
        <v>45881</v>
      </c>
      <c r="C398" t="s">
        <v>762</v>
      </c>
      <c r="D398" t="s">
        <v>765</v>
      </c>
      <c r="E398">
        <v>18155</v>
      </c>
      <c r="F398" s="4">
        <v>2</v>
      </c>
    </row>
    <row r="399" spans="1:6" x14ac:dyDescent="0.35">
      <c r="A399" t="s">
        <v>210</v>
      </c>
      <c r="B399" s="1">
        <v>45921</v>
      </c>
      <c r="C399" t="s">
        <v>764</v>
      </c>
      <c r="D399" t="s">
        <v>763</v>
      </c>
      <c r="E399">
        <v>17071</v>
      </c>
      <c r="F399" s="4">
        <v>13</v>
      </c>
    </row>
    <row r="400" spans="1:6" x14ac:dyDescent="0.35">
      <c r="A400" t="s">
        <v>163</v>
      </c>
      <c r="B400" s="1">
        <v>45700</v>
      </c>
      <c r="C400" t="s">
        <v>760</v>
      </c>
      <c r="D400" t="s">
        <v>761</v>
      </c>
      <c r="E400">
        <v>10658</v>
      </c>
      <c r="F400" s="4">
        <v>9</v>
      </c>
    </row>
    <row r="401" spans="1:6" x14ac:dyDescent="0.35">
      <c r="A401" t="s">
        <v>37</v>
      </c>
      <c r="B401" s="1">
        <v>45875</v>
      </c>
      <c r="C401" t="s">
        <v>764</v>
      </c>
      <c r="D401" t="s">
        <v>761</v>
      </c>
      <c r="E401">
        <v>11270</v>
      </c>
      <c r="F401" s="4">
        <v>10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KPI Sheet</vt:lpstr>
      <vt:lpstr>Pivot Sheet</vt:lpstr>
      <vt:lpstr>Lease_Tracking</vt:lpstr>
      <vt:lpstr>Rent_Collections</vt:lpstr>
      <vt:lpstr>Maintenance_Log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Debojyoti Bose</cp:lastModifiedBy>
  <dcterms:created xsi:type="dcterms:W3CDTF">2026-02-11T11:52:25Z</dcterms:created>
  <dcterms:modified xsi:type="dcterms:W3CDTF">2026-02-14T13:39:43Z</dcterms:modified>
</cp:coreProperties>
</file>